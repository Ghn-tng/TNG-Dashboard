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% GTC AM" sheetId="1" r:id="rId5"/>
    <sheet state="visible" name="2. %LTC AM - BC" sheetId="2" r:id="rId6"/>
    <sheet state="visible" name="3. % GTC-BC" sheetId="3" r:id="rId7"/>
    <sheet state="visible" name="4. GTC CA 1-TỒN" sheetId="4" r:id="rId8"/>
    <sheet state="visible" name="5. % GTC TTS-BC" sheetId="5" r:id="rId9"/>
    <sheet state="visible" name="6.ONTIME TTS" sheetId="6" r:id="rId10"/>
    <sheet state="visible" name="7.%FD SME" sheetId="7" r:id="rId11"/>
    <sheet state="visible" name=" 8.%FD TTS" sheetId="8" r:id="rId12"/>
    <sheet state="visible" name="9.BC Cảnh Báo" sheetId="9" r:id="rId13"/>
    <sheet state="visible" name="10.BC Cảnh Báo Vùng" sheetId="10" r:id="rId14"/>
    <sheet state="visible" name="11. BC KINH DOANH" sheetId="11" r:id="rId15"/>
    <sheet state="hidden" name="DataCB" sheetId="12" r:id="rId16"/>
    <sheet state="hidden" name="Data" sheetId="13" r:id="rId17"/>
  </sheets>
  <definedNames>
    <definedName hidden="1" localSheetId="2" name="Z_853F9650_C8E8_4F8C_A9B8_29ADB453C663_.wvu.FilterData">'3. % GTC-BC'!$A$1:$AB$82</definedName>
    <definedName hidden="1" localSheetId="2" name="Z_4E3CF775_31EE_4796_86C5_8F7171594F01_.wvu.FilterData">'3. % GTC-BC'!$A$1:$P$65</definedName>
    <definedName hidden="1" localSheetId="2" name="Z_D4BF262F_3C2A_4732_A6C9_36F6B9BEA41D_.wvu.FilterData">'3. % GTC-BC'!$A$1:$P$65</definedName>
    <definedName hidden="1" localSheetId="2" name="Z_F63D09EE_2FCA_4FF0_A9C2_716F2B275002_.wvu.FilterData">'3. % GTC-BC'!$A$1:$P$65</definedName>
    <definedName hidden="1" localSheetId="2" name="Z_54AB3151_B227_4998_9851_D1D0E06C5247_.wvu.FilterData">'3. % GTC-BC'!$A$1:$P$65</definedName>
  </definedNames>
  <calcPr/>
  <customWorkbookViews>
    <customWorkbookView activeSheetId="0" maximized="1" windowHeight="0" windowWidth="0" guid="{853F9650-C8E8-4F8C-A9B8-29ADB453C663}" name="Bộ lọc 5"/>
    <customWorkbookView activeSheetId="0" maximized="1" windowHeight="0" windowWidth="0" guid="{54AB3151-B227-4998-9851-D1D0E06C5247}" name="Bộ lọc 3"/>
    <customWorkbookView activeSheetId="0" maximized="1" windowHeight="0" windowWidth="0" guid="{F63D09EE-2FCA-4FF0-A9C2-716F2B275002}" name="Bộ lọc 4"/>
    <customWorkbookView activeSheetId="0" maximized="1" windowHeight="0" windowWidth="0" guid="{D4BF262F-3C2A-4732-A6C9-36F6B9BEA41D}" name="Bộ lọc 1"/>
    <customWorkbookView activeSheetId="0" maximized="1" windowHeight="0" windowWidth="0" guid="{4E3CF775-31EE-4796-86C5-8F7171594F01}" name="Bộ lọc 2"/>
  </customWorkbookViews>
</workbook>
</file>

<file path=xl/sharedStrings.xml><?xml version="1.0" encoding="utf-8"?>
<sst xmlns="http://schemas.openxmlformats.org/spreadsheetml/2006/main" count="478" uniqueCount="149">
  <si>
    <t xml:space="preserve">%GTC  TỔNG THEO TỈNH </t>
  </si>
  <si>
    <t>BÁO CÁO KẾT QUẢ GIAO THÀNH CÔNG TỔNG NGÀY</t>
  </si>
  <si>
    <t>Loại hàng</t>
  </si>
  <si>
    <t>Hàng mới ca 1</t>
  </si>
  <si>
    <t>Hàng mới ca 2</t>
  </si>
  <si>
    <t>Hàng tồn</t>
  </si>
  <si>
    <t>Ngày</t>
  </si>
  <si>
    <t xml:space="preserve">%GTC  TỔNG THEO AM </t>
  </si>
  <si>
    <t xml:space="preserve">%GTC  TTS THEO TỈNH </t>
  </si>
  <si>
    <r>
      <rPr>
        <rFont val="Arial"/>
        <b/>
        <color rgb="FFFF0000"/>
        <sz val="12.0"/>
      </rPr>
      <t xml:space="preserve">BÁO CÁO KẾT QUẢ </t>
    </r>
    <r>
      <rPr>
        <rFont val="Arial"/>
        <b/>
        <color rgb="FF0000FF"/>
        <sz val="12.0"/>
      </rPr>
      <t>GIAO THÀNH CÔNG TTS</t>
    </r>
    <r>
      <rPr>
        <rFont val="Arial"/>
        <b/>
        <color rgb="FFFF0000"/>
        <sz val="12.0"/>
      </rPr>
      <t xml:space="preserve"> NGÀY</t>
    </r>
  </si>
  <si>
    <t xml:space="preserve">%GTC  TTS THEO AM </t>
  </si>
  <si>
    <r>
      <rPr>
        <rFont val="Arial"/>
        <b/>
        <color rgb="FFFF0000"/>
        <sz val="12.0"/>
      </rPr>
      <t xml:space="preserve">BÁO CÁO KẾT QUẢ </t>
    </r>
    <r>
      <rPr>
        <rFont val="Arial"/>
        <b/>
        <color rgb="FF0000FF"/>
        <sz val="12.0"/>
      </rPr>
      <t>GIAO THÀNH CÔNG TTS</t>
    </r>
    <r>
      <rPr>
        <rFont val="Arial"/>
        <b/>
        <color rgb="FFFF0000"/>
        <sz val="12.0"/>
      </rPr>
      <t xml:space="preserve"> NGÀY</t>
    </r>
  </si>
  <si>
    <t>* Số liệu update: 8h30- 9h hằng ngày</t>
  </si>
  <si>
    <t xml:space="preserve">LTC TỔNG CHI TIẾT THEO BC </t>
  </si>
  <si>
    <t>BÁO CÁO KẾT QUẢ LẤY THÀNH CÔNG TỔNG NGÀY</t>
  </si>
  <si>
    <t>AM</t>
  </si>
  <si>
    <t>BC</t>
  </si>
  <si>
    <t>Hàng Mới Ca 1</t>
  </si>
  <si>
    <t>Hàng Tồn</t>
  </si>
  <si>
    <t>TỔNG NGÀY</t>
  </si>
  <si>
    <t>Volume</t>
  </si>
  <si>
    <t xml:space="preserve"> %Gán</t>
  </si>
  <si>
    <t xml:space="preserve"> %LTC</t>
  </si>
  <si>
    <t xml:space="preserve"> %LC</t>
  </si>
  <si>
    <r>
      <rPr>
        <rFont val="Arial"/>
        <b/>
        <color rgb="FFFF0000"/>
        <sz val="12.0"/>
      </rPr>
      <t>BÁO CÁO KẾT QUẢ</t>
    </r>
    <r>
      <rPr>
        <rFont val="Arial"/>
        <b/>
        <color rgb="FF0000FF"/>
        <sz val="12.0"/>
      </rPr>
      <t xml:space="preserve"> LẤY THÀNH CÔNG TTS</t>
    </r>
    <r>
      <rPr>
        <rFont val="Arial"/>
        <b/>
        <color rgb="FFFF0000"/>
        <sz val="12.0"/>
      </rPr>
      <t xml:space="preserve"> NGÀY</t>
    </r>
  </si>
  <si>
    <t xml:space="preserve">LTC TTS CHI TIẾT THEO BC </t>
  </si>
  <si>
    <t xml:space="preserve">  </t>
  </si>
  <si>
    <t>Bưu Cục</t>
  </si>
  <si>
    <t>Hàng Mới Ca 2</t>
  </si>
  <si>
    <t>% Gán</t>
  </si>
  <si>
    <t>% GTC</t>
  </si>
  <si>
    <t>Leadtime</t>
  </si>
  <si>
    <t>STT</t>
  </si>
  <si>
    <r>
      <rPr>
        <rFont val="Arial"/>
        <b/>
        <color theme="1"/>
        <sz val="12.0"/>
      </rPr>
      <t xml:space="preserve">ODR TTS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</si>
  <si>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t>Tuần trước</t>
  </si>
  <si>
    <t>Ngày N-1</t>
  </si>
  <si>
    <t xml:space="preserve">So sánh </t>
  </si>
  <si>
    <t>W-1</t>
  </si>
  <si>
    <t>N-1</t>
  </si>
  <si>
    <r>
      <rPr>
        <rFont val="Arial"/>
        <b/>
        <color theme="1"/>
        <sz val="12.0"/>
      </rPr>
      <t>ODR TTS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</si>
  <si>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 xml:space="preserve">%FD SME -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</si>
  <si>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>%FD SME 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</si>
  <si>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 xml:space="preserve">%FD TTS -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</si>
  <si>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>%FD TTS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</si>
  <si>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t>"Logic: 
- %GTC của 7 ngày gần nhất
- HN và HCM lấy full hàng mới và hàng tồn
- Các tỉnh khác lấy hàng mới ca 1 + tồn
- Nếu HCM và HN &lt; 50% =&gt; Cảnh báo
- Nếu các tỉnh khác &lt; 45% =&gt; Cảnh báo
- Nếu %GTC &lt; 70% Mốc %GTC tốt nhất trong lịch sử =&gt; Cảnh báo
Update config gần nhất: 18/3/2026"</t>
  </si>
  <si>
    <t>Aging Backlog (cập nhật 21h30 mỗi ngày)</t>
  </si>
  <si>
    <t>Hiện tại</t>
  </si>
  <si>
    <t>2 tuần liên tục (&gt;0)</t>
  </si>
  <si>
    <t>Chênh lệch</t>
  </si>
  <si>
    <t>Nhóm</t>
  </si>
  <si>
    <t>1. Danh sách cảnh báo OE</t>
  </si>
  <si>
    <t>Tỉnh</t>
  </si>
  <si>
    <t>Tỷ lệ GTC 7 ngày gần nhất</t>
  </si>
  <si>
    <t>%GTC tốt nhất</t>
  </si>
  <si>
    <t>% cần đạt để không cảnh báo</t>
  </si>
  <si>
    <t>%GTC cần đạt</t>
  </si>
  <si>
    <t>2. Nguy hiểm</t>
  </si>
  <si>
    <t>TNG</t>
  </si>
  <si>
    <t>Đắk Lắk</t>
  </si>
  <si>
    <t>BC 225 Phạm Văn Đồng-Buôn Ma Thuột-Đắk Lắk</t>
  </si>
  <si>
    <t>3. Cảnh báo</t>
  </si>
  <si>
    <t>BC 70 Đường 30/4-Ea Tam-Buôn Ma Thuột-Đắk Lắk</t>
  </si>
  <si>
    <t>4. An Toàn</t>
  </si>
  <si>
    <t>BC 34 Quang Trung-Eakar-Đắk Lắk</t>
  </si>
  <si>
    <t>BC 01 An Bình-Ea KNốp-Ea Kar-Đắk Lắk</t>
  </si>
  <si>
    <t>BC Ngã Ba Đắk Liêng-Huyện Lắk-Đắk Lắk</t>
  </si>
  <si>
    <t>BC Phạm Văn Đồng-Pơng Đrang-Krông Búk-Đắk Lắk</t>
  </si>
  <si>
    <t>BC Ea Phê-Krông Pắk-Đắk Lắk</t>
  </si>
  <si>
    <t>Gia Lai</t>
  </si>
  <si>
    <t>BC 236A Nguyễn Huệ-Đak Đoa-Gia Lai</t>
  </si>
  <si>
    <t>BC 39 Nguyễn Huệ-Ayun Pa-Gia Lai</t>
  </si>
  <si>
    <t>BC 172 Quang Trung-Đức Cơ-Gia Lai</t>
  </si>
  <si>
    <t>BC 245 Hùng Vương-Ea Súp-Đắk Lắk</t>
  </si>
  <si>
    <t>BC 204 Trần Hưng Đạo-Buôn Hồ-Đắk Lắk</t>
  </si>
  <si>
    <t>BC 125 Lý Chính Thắng-Buôn Ma Thuột-Đắk Lắk</t>
  </si>
  <si>
    <t>BC 153 Hùng Vương-Ia Grai-Gia Lai</t>
  </si>
  <si>
    <t>BC 499 Phạm Văn Đồng-Pleiku-Gia Lai</t>
  </si>
  <si>
    <t>BC 138 Hùng Vương-Phú Thiện-Gia Lai</t>
  </si>
  <si>
    <t>BC 274 Hùng Vương-Chư Pưh-Gia Lai</t>
  </si>
  <si>
    <t>BC 56 Đường 17 Tháng 3-Chư Sê-Gia Lai</t>
  </si>
  <si>
    <t>BC 159 Tân Quảng-EaTóh-Krông Năng-Đắk Lắk</t>
  </si>
  <si>
    <t>BC 941 Giải Phóng-Ea Đrăng-Ea H'Leo-Đắk Lắk</t>
  </si>
  <si>
    <t>BC 327A Cách Mạng Tháng 8-Pleiku-Gia Lai</t>
  </si>
  <si>
    <t>BC Km18-Cư Kuin-Đắk Lắk</t>
  </si>
  <si>
    <t>BC 64 Hùng Vương-Thị Trấn Krông Năng-Đắk Lắk</t>
  </si>
  <si>
    <t>BC 414 Trần Hưng Đạo-Mang Yang-Gia Lai</t>
  </si>
  <si>
    <t>Bình Định</t>
  </si>
  <si>
    <t>BC 565 Trần Phú-Tuy Phước-Bình Định</t>
  </si>
  <si>
    <t>BC KM92 QL14-Xã Ea Drăng-Đắk Lắk</t>
  </si>
  <si>
    <t>BC 99 Nguyễn Khuyến-Buôn Ma Thuột-Đắk Lắk</t>
  </si>
  <si>
    <t>BC 132 Hoàng Hoa Thám-Buôn Ma Thuột-Đắk Lắk</t>
  </si>
  <si>
    <t>Phú Yên</t>
  </si>
  <si>
    <t>BC KP3 TT Hai Riềng-Sông Hinh-Phú Yên</t>
  </si>
  <si>
    <t>BC Km 30 Tân Hòa-Buôn Đôn-Đắk Lắk</t>
  </si>
  <si>
    <t>BC KP4 Hòa Vinh- Đông Hòa- Phú Yên</t>
  </si>
  <si>
    <t>BC 263 Đống Đa-Quy Nhơn-Bình Định</t>
  </si>
  <si>
    <t>BC 73 Lê Lợi-Chư Pah-Gia Lai</t>
  </si>
  <si>
    <t>BC 172 Hùng Vương-Chư Prông-Gia Lai</t>
  </si>
  <si>
    <t>BC 297 Hùng Vương-CưMgar-Đắk Lắk</t>
  </si>
  <si>
    <t>BC 138 Trần Phú- Đồng Xuân- Phú Yên</t>
  </si>
  <si>
    <t>BC 569 Trường Chinh-Pleiku-Gia Lai</t>
  </si>
  <si>
    <t>BC 61 Quang Trung-Xã Vân Canh-Bình Định</t>
  </si>
  <si>
    <t>BC 396 Âu Cơ-Bùi Thị Xuân-Quy Nhơn-Bình Định</t>
  </si>
  <si>
    <t>BC 44 Quang Trung-Tây Sơn-Bình Định</t>
  </si>
  <si>
    <t>BC 03 Trần Hưng Đạo-Krông Pắc-Đắk Lắk</t>
  </si>
  <si>
    <t>BC 15 Hoàng Văn Thụ-An Khê-Gia Lai</t>
  </si>
  <si>
    <t>BC Khu Vực Kim Châu-An Nhơn-Bình Định</t>
  </si>
  <si>
    <t>BC 274 Hùng Vương-Tuy Hòa-Phú Yên</t>
  </si>
  <si>
    <t>BC 21 Tây Sơn-Xã Phù Mỹ-Bình Định</t>
  </si>
  <si>
    <t>BC Thị Trấn Buôn Trấp-Krông A Na-Đắk Lắk</t>
  </si>
  <si>
    <t>BC Hoài Nhơn-Bình Định</t>
  </si>
  <si>
    <t>BC TDP3 Thị Trấn Krông Kmart-Krông Bông-Đắk Lắk</t>
  </si>
  <si>
    <t>BC 127B Lê Văn Tám-Thị Trấn Kbang-Huyện Kbang-Gia Lai</t>
  </si>
  <si>
    <t>BC Đường 3 Tháng 2-Xã Phù Cát-Bình Định</t>
  </si>
  <si>
    <t>BC 27 Nguyễn Tất Thành-Tuy Hòa-Phú Yên</t>
  </si>
  <si>
    <t>BC DT644-Sông Cầu-Phú Yên</t>
  </si>
  <si>
    <t>BC 838 Quang Trung-Phường Hoài Nhơn Tây-Bình Định</t>
  </si>
  <si>
    <t>BC Thị Trấn Phú Thứ-Tây Hoà-Phú Yên</t>
  </si>
  <si>
    <t>BC Thôn Chánh Hóa-Xã Cát Tiến-Bình Định</t>
  </si>
  <si>
    <t>BC 767 Hùng Vương-Quy Nhơn-Bình Định</t>
  </si>
  <si>
    <t>BC 269 Tây Sơn-Quy Nhơn-Bình Định</t>
  </si>
  <si>
    <t>BC 71 Quốc Lộ 1A-Xã Tuy An Bắc-Phú Yên</t>
  </si>
  <si>
    <t>BC Số 35 Phạm Văn Đồng-Tăng Bạt Hổ-Hoài Ân-Bình Định</t>
  </si>
  <si>
    <t>BC Đường Tỉnh 643-Xã Tuy An Nam-Phú Yên</t>
  </si>
  <si>
    <t>BC 09 Quốc Lộ 14-Hoà Phú-Đắk Lắk</t>
  </si>
  <si>
    <t>BC 271 Nguyễn Văn Cừ-Tân Lập-Đắk Lắk</t>
  </si>
  <si>
    <t>DT LẤY THÀNH CÔNG THEO SO</t>
  </si>
  <si>
    <t>Ngày báo cáo (N)</t>
  </si>
  <si>
    <t>Doanh thu luỹ kế tháng</t>
  </si>
  <si>
    <t>DT Vùng ngày cao nhất lịch sử</t>
  </si>
  <si>
    <t>1879121-Vòng Vạn Nhơn</t>
  </si>
  <si>
    <t>201974-Phan Đình Duy</t>
  </si>
  <si>
    <t>202619-Trần Thu Ba</t>
  </si>
  <si>
    <t>2034333-Nguyễn Thanh Thủy</t>
  </si>
  <si>
    <t>241743-Phan Thanh Thức</t>
  </si>
  <si>
    <t>242536-Đặng Đức Toàn</t>
  </si>
  <si>
    <t>252765-Đặng Văn Dũng</t>
  </si>
  <si>
    <t>256118-Nguyễn Quang Dũng</t>
  </si>
  <si>
    <t>3000689-Lê Văn Cường</t>
  </si>
  <si>
    <t>3001406-Bùi Anh Trịnh</t>
  </si>
  <si>
    <t>3025003-Nguyễn Xuân Nguyên</t>
  </si>
  <si>
    <t>3029184-Thái Thị Thu Quyên</t>
  </si>
  <si>
    <t>3104336-Dương Vũ Đăng Khoa</t>
  </si>
  <si>
    <t>3106080-Bùi Hồng Khải</t>
  </si>
  <si>
    <t>Chưa gán Zone</t>
  </si>
  <si>
    <t>DT GIAO TRẢ TC THEO SO</t>
  </si>
  <si>
    <t>Doanh thu Kế Hoạch</t>
  </si>
  <si>
    <t>Tỷ lệ hoàn thành</t>
  </si>
  <si>
    <t>Tổng cộng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</si>
</sst>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yy"/>
    <numFmt numFmtId="165" formatCode="M/d/yyyy"/>
    <numFmt numFmtId="166" formatCode="dd/mm"/>
    <numFmt numFmtId="167" formatCode="#,##0.0"/>
    <numFmt numFmtId="168" formatCode="d.m"/>
    <numFmt numFmtId="169" formatCode="dd/MM/yyyy"/>
  </numFmts>
  <fonts count="32">
    <font>
      <sz val="10.0"/>
      <color rgb="FF000000"/>
      <name val="Arial"/>
      <scheme val="minor"/>
    </font>
    <font>
      <b/>
      <sz val="12.0"/>
      <color rgb="FFFF0000"/>
      <name val="Arial"/>
      <scheme val="minor"/>
    </font>
    <font>
      <b/>
      <i/>
      <sz val="12.0"/>
      <color rgb="FF0000FF"/>
      <name val="Arial"/>
      <scheme val="minor"/>
    </font>
    <font>
      <color theme="1"/>
      <name val="Arial"/>
      <scheme val="minor"/>
    </font>
    <font/>
    <font>
      <b/>
      <color rgb="FF000000"/>
      <name val="Arial"/>
      <scheme val="minor"/>
    </font>
    <font>
      <b/>
      <color theme="1"/>
      <name val="Arial"/>
      <scheme val="minor"/>
    </font>
    <font>
      <b/>
      <i/>
      <sz val="10.0"/>
      <color rgb="FF000000"/>
      <name val="Arial"/>
      <scheme val="minor"/>
    </font>
    <font>
      <b/>
      <sz val="10.0"/>
      <color rgb="FF000000"/>
      <name val="Arial"/>
      <scheme val="minor"/>
    </font>
    <font>
      <i/>
      <sz val="10.0"/>
      <color rgb="FF000000"/>
      <name val="Arial"/>
      <scheme val="minor"/>
    </font>
    <font>
      <color rgb="FF000000"/>
      <name val="Arial"/>
      <scheme val="minor"/>
    </font>
    <font>
      <color theme="1"/>
      <name val="Arial"/>
    </font>
    <font>
      <i/>
      <sz val="12.0"/>
      <color rgb="FF0000FF"/>
      <name val="Arial"/>
      <scheme val="minor"/>
    </font>
    <font>
      <b/>
      <color rgb="FFFF0000"/>
      <name val="Arial"/>
      <scheme val="minor"/>
    </font>
    <font>
      <b/>
      <sz val="12.0"/>
      <color theme="1"/>
      <name val="Arial"/>
    </font>
    <font>
      <b/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color rgb="FFFF0000"/>
      <name val="Arial"/>
      <scheme val="minor"/>
    </font>
    <font>
      <b/>
      <i/>
      <color theme="1"/>
      <name val="Arial"/>
    </font>
    <font>
      <b/>
      <sz val="25.0"/>
      <color theme="1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theme="1"/>
      <name val="Arial"/>
    </font>
    <font>
      <b/>
      <sz val="10.0"/>
      <color theme="1"/>
      <name val="Arial"/>
      <scheme val="minor"/>
    </font>
    <font>
      <sz val="10.0"/>
      <color rgb="FFFF0000"/>
      <name val="Arial"/>
      <scheme val="minor"/>
    </font>
    <font>
      <sz val="10.0"/>
      <color theme="1"/>
      <name val="Arial"/>
      <scheme val="minor"/>
    </font>
    <font>
      <b/>
      <sz val="16.0"/>
      <color rgb="FFFF0000"/>
      <name val="Arial"/>
    </font>
    <font>
      <b/>
      <sz val="11.0"/>
      <color theme="1"/>
      <name val="Arial"/>
    </font>
    <font>
      <b/>
      <color rgb="FFFF0000"/>
      <name val="Arial"/>
    </font>
    <font>
      <b/>
      <i/>
      <color rgb="FF000000"/>
      <name val="Arial"/>
    </font>
    <font>
      <b/>
      <color rgb="FF000000"/>
      <name val="Arial"/>
    </font>
  </fonts>
  <fills count="4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  <fill>
      <patternFill patternType="solid">
        <fgColor rgb="FFFFC000"/>
        <bgColor rgb="FFFFC000"/>
      </patternFill>
    </fill>
    <fill>
      <patternFill patternType="solid">
        <fgColor rgb="FF00B0F0"/>
        <bgColor rgb="FF00B0F0"/>
      </patternFill>
    </fill>
    <fill>
      <patternFill patternType="solid">
        <fgColor rgb="FFFBBC04"/>
        <bgColor rgb="FFFBBC04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FE2F3"/>
        <bgColor rgb="FFCFE2F3"/>
      </patternFill>
    </fill>
    <fill>
      <patternFill patternType="solid">
        <fgColor theme="6"/>
        <bgColor theme="6"/>
      </patternFill>
    </fill>
    <fill>
      <patternFill patternType="solid">
        <fgColor rgb="FFFCFEFD"/>
        <bgColor rgb="FFFCFEFD"/>
      </patternFill>
    </fill>
    <fill>
      <patternFill patternType="solid">
        <fgColor rgb="FFFEFEFE"/>
        <bgColor rgb="FFFEFEFE"/>
      </patternFill>
    </fill>
    <fill>
      <patternFill patternType="solid">
        <fgColor rgb="FFC1E6D4"/>
        <bgColor rgb="FFC1E6D4"/>
      </patternFill>
    </fill>
    <fill>
      <patternFill patternType="solid">
        <fgColor rgb="FFE7F6EF"/>
        <bgColor rgb="FFE7F6EF"/>
      </patternFill>
    </fill>
    <fill>
      <patternFill patternType="solid">
        <fgColor rgb="FFF4FBF8"/>
        <bgColor rgb="FFF4FBF8"/>
      </patternFill>
    </fill>
    <fill>
      <patternFill patternType="solid">
        <fgColor rgb="FF7FCBA6"/>
        <bgColor rgb="FF7FCBA6"/>
      </patternFill>
    </fill>
    <fill>
      <patternFill patternType="solid">
        <fgColor rgb="FFEDF8F3"/>
        <bgColor rgb="FFEDF8F3"/>
      </patternFill>
    </fill>
    <fill>
      <patternFill patternType="solid">
        <fgColor rgb="FFA9DDC3"/>
        <bgColor rgb="FFA9DDC3"/>
      </patternFill>
    </fill>
    <fill>
      <patternFill patternType="solid">
        <fgColor rgb="FFE67C73"/>
        <bgColor rgb="FFE67C73"/>
      </patternFill>
    </fill>
    <fill>
      <patternFill patternType="solid">
        <fgColor rgb="FF57BB8A"/>
        <bgColor rgb="FF57BB8A"/>
      </patternFill>
    </fill>
    <fill>
      <patternFill patternType="solid">
        <fgColor rgb="FF71C69C"/>
        <bgColor rgb="FF71C69C"/>
      </patternFill>
    </fill>
    <fill>
      <patternFill patternType="solid">
        <fgColor rgb="FFBEE5D2"/>
        <bgColor rgb="FFBEE5D2"/>
      </patternFill>
    </fill>
    <fill>
      <patternFill patternType="solid">
        <fgColor rgb="FFD5EEE2"/>
        <bgColor rgb="FFD5EEE2"/>
      </patternFill>
    </fill>
    <fill>
      <patternFill patternType="solid">
        <fgColor rgb="FFDDF2E8"/>
        <bgColor rgb="FFDDF2E8"/>
      </patternFill>
    </fill>
    <fill>
      <patternFill patternType="solid">
        <fgColor rgb="FFE2F3EB"/>
        <bgColor rgb="FFE2F3EB"/>
      </patternFill>
    </fill>
    <fill>
      <patternFill patternType="solid">
        <fgColor rgb="FFE6F5EE"/>
        <bgColor rgb="FFE6F5EE"/>
      </patternFill>
    </fill>
    <fill>
      <patternFill patternType="solid">
        <fgColor rgb="FFF8FCFA"/>
        <bgColor rgb="FFF8FCFA"/>
      </patternFill>
    </fill>
    <fill>
      <patternFill patternType="solid">
        <fgColor rgb="FFF5FBF8"/>
        <bgColor rgb="FFF5FBF8"/>
      </patternFill>
    </fill>
    <fill>
      <patternFill patternType="solid">
        <fgColor rgb="FFFEFAFA"/>
        <bgColor rgb="FFFEFAFA"/>
      </patternFill>
    </fill>
    <fill>
      <patternFill patternType="solid">
        <fgColor rgb="FFF2FAF6"/>
        <bgColor rgb="FFF2FAF6"/>
      </patternFill>
    </fill>
    <fill>
      <patternFill patternType="solid">
        <fgColor rgb="FFC8E9D9"/>
        <bgColor rgb="FFC8E9D9"/>
      </patternFill>
    </fill>
    <fill>
      <patternFill patternType="solid">
        <fgColor rgb="FFEBF7F1"/>
        <bgColor rgb="FFEBF7F1"/>
      </patternFill>
    </fill>
    <fill>
      <patternFill patternType="solid">
        <fgColor rgb="FFF0B5B0"/>
        <bgColor rgb="FFF0B5B0"/>
      </patternFill>
    </fill>
    <fill>
      <patternFill patternType="solid">
        <fgColor rgb="FFF0F9F5"/>
        <bgColor rgb="FFF0F9F5"/>
      </patternFill>
    </fill>
    <fill>
      <patternFill patternType="solid">
        <fgColor rgb="FFF6FCF9"/>
        <bgColor rgb="FFF6FCF9"/>
      </patternFill>
    </fill>
    <fill>
      <patternFill patternType="solid">
        <fgColor rgb="FFEA948D"/>
        <bgColor rgb="FFEA948D"/>
      </patternFill>
    </fill>
    <fill>
      <patternFill patternType="solid">
        <fgColor rgb="FFEEF8F3"/>
        <bgColor rgb="FFEEF8F3"/>
      </patternFill>
    </fill>
    <fill>
      <patternFill patternType="solid">
        <fgColor rgb="FFFBFEFC"/>
        <bgColor rgb="FFFBFEFC"/>
      </patternFill>
    </fill>
    <fill>
      <patternFill patternType="solid">
        <fgColor rgb="FFF9FDFB"/>
        <bgColor rgb="FFF9FDFB"/>
      </patternFill>
    </fill>
  </fills>
  <borders count="4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hair">
        <color rgb="FFFFFFFF"/>
      </right>
      <top style="hair">
        <color rgb="FFFFFFFF"/>
      </top>
      <bottom style="hair">
        <color rgb="FFFFFFFF"/>
      </bottom>
    </border>
    <border>
      <left style="hair">
        <color rgb="FFFFFFFF"/>
      </left>
      <right style="hair">
        <color rgb="FFFFFFFF"/>
      </right>
      <top style="hair">
        <color rgb="FFFFFFFF"/>
      </top>
      <bottom style="hair">
        <color rgb="FFFFFFFF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  <border>
      <left style="thin">
        <color rgb="FF000000"/>
      </left>
      <right style="thin">
        <color rgb="FF000000"/>
      </right>
    </border>
    <border>
      <bottom style="thin">
        <color rgb="FF000000"/>
      </bottom>
    </border>
    <border>
      <left style="thin">
        <color rgb="FFB7B7B7"/>
      </left>
      <bottom style="thin">
        <color rgb="FFB7B7B7"/>
      </bottom>
    </border>
  </borders>
  <cellStyleXfs count="1">
    <xf borderId="0" fillId="0" fontId="0" numFmtId="0" applyAlignment="1" applyFont="1"/>
  </cellStyleXfs>
  <cellXfs count="4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vertical="center"/>
    </xf>
    <xf borderId="0" fillId="2" fontId="2" numFmtId="0" xfId="0" applyAlignment="1" applyFont="1">
      <alignment horizontal="left" readingOrder="0" shrinkToFit="0" vertical="center" wrapText="0"/>
    </xf>
    <xf borderId="0" fillId="2" fontId="1" numFmtId="0" xfId="0" applyAlignment="1" applyFont="1">
      <alignment horizontal="left" readingOrder="0" vertical="center"/>
    </xf>
    <xf borderId="0" fillId="2" fontId="3" numFmtId="0" xfId="0" applyAlignment="1" applyFont="1">
      <alignment vertical="center"/>
    </xf>
    <xf borderId="1" fillId="2" fontId="1" numFmtId="0" xfId="0" applyAlignment="1" applyBorder="1" applyFont="1">
      <alignment horizontal="right" readingOrder="0" vertical="center"/>
    </xf>
    <xf borderId="2" fillId="0" fontId="4" numFmtId="0" xfId="0" applyBorder="1" applyFont="1"/>
    <xf borderId="2" fillId="2" fontId="1" numFmtId="14" xfId="0" applyAlignment="1" applyBorder="1" applyFont="1" applyNumberFormat="1">
      <alignment horizontal="left" readingOrder="0" vertical="center"/>
    </xf>
    <xf borderId="3" fillId="0" fontId="4" numFmtId="0" xfId="0" applyBorder="1" applyFont="1"/>
    <xf borderId="4" fillId="3" fontId="5" numFmtId="0" xfId="0" applyAlignment="1" applyBorder="1" applyFill="1" applyFon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0" fillId="5" fontId="6" numFmtId="0" xfId="0" applyAlignment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 vertical="center"/>
    </xf>
    <xf borderId="0" fillId="7" fontId="6" numFmtId="0" xfId="0" applyAlignment="1" applyFill="1" applyFont="1">
      <alignment horizontal="right" readingOrder="0" vertical="center"/>
    </xf>
    <xf borderId="0" fillId="7" fontId="6" numFmtId="14" xfId="0" applyAlignment="1" applyFont="1" applyNumberFormat="1">
      <alignment horizontal="left" vertical="center"/>
    </xf>
    <xf borderId="5" fillId="0" fontId="4" numFmtId="0" xfId="0" applyBorder="1" applyFont="1"/>
    <xf borderId="6" fillId="3" fontId="7" numFmtId="0" xfId="0" applyAlignment="1" applyBorder="1" applyFont="1">
      <alignment horizontal="center" readingOrder="0" shrinkToFit="0" vertical="center" wrapText="0"/>
    </xf>
    <xf borderId="6" fillId="3" fontId="8" numFmtId="0" xfId="0" applyAlignment="1" applyBorder="1" applyFont="1">
      <alignment horizontal="center" readingOrder="0" vertical="center"/>
    </xf>
    <xf borderId="6" fillId="3" fontId="8" numFmtId="10" xfId="0" applyAlignment="1" applyBorder="1" applyFont="1" applyNumberFormat="1">
      <alignment horizontal="center" readingOrder="0" vertical="center"/>
    </xf>
    <xf borderId="6" fillId="2" fontId="9" numFmtId="0" xfId="0" applyAlignment="1" applyBorder="1" applyFont="1">
      <alignment horizontal="center" readingOrder="0" shrinkToFit="0" vertical="center" wrapText="0"/>
    </xf>
    <xf borderId="6" fillId="2" fontId="0" numFmtId="3" xfId="0" applyAlignment="1" applyBorder="1" applyFont="1" applyNumberFormat="1">
      <alignment horizontal="center" readingOrder="0" vertical="center"/>
    </xf>
    <xf borderId="6" fillId="2" fontId="0" numFmtId="10" xfId="0" applyAlignment="1" applyBorder="1" applyFont="1" applyNumberFormat="1">
      <alignment horizontal="center" readingOrder="0" vertical="center"/>
    </xf>
    <xf borderId="6" fillId="8" fontId="7" numFmtId="0" xfId="0" applyAlignment="1" applyBorder="1" applyFill="1" applyFont="1">
      <alignment horizontal="center" readingOrder="0" shrinkToFit="0" vertical="center" wrapText="0"/>
    </xf>
    <xf borderId="6" fillId="8" fontId="8" numFmtId="3" xfId="0" applyAlignment="1" applyBorder="1" applyFont="1" applyNumberFormat="1">
      <alignment horizontal="center" readingOrder="0" vertical="center"/>
    </xf>
    <xf borderId="6" fillId="8" fontId="8" numFmtId="10" xfId="0" applyAlignment="1" applyBorder="1" applyFont="1" applyNumberForma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6" numFmtId="0" xfId="0" applyAlignment="1" applyFont="1">
      <alignment horizontal="center" vertical="center"/>
    </xf>
    <xf borderId="4" fillId="3" fontId="6" numFmtId="0" xfId="0" applyAlignment="1" applyBorder="1" applyFont="1">
      <alignment horizontal="center" vertical="center"/>
    </xf>
    <xf borderId="0" fillId="3" fontId="6" numFmtId="0" xfId="0" applyAlignment="1" applyFont="1">
      <alignment horizontal="center" vertical="center"/>
    </xf>
    <xf borderId="0" fillId="3" fontId="6" numFmtId="10" xfId="0" applyAlignment="1" applyFont="1" applyNumberFormat="1">
      <alignment horizontal="center" vertical="center"/>
    </xf>
    <xf borderId="5" fillId="3" fontId="6" numFmtId="10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0" fillId="0" fontId="3" numFmtId="3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5" fillId="0" fontId="3" numFmtId="10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2" fontId="3" numFmtId="0" xfId="0" applyAlignment="1" applyBorder="1" applyFont="1">
      <alignment vertical="center"/>
    </xf>
    <xf borderId="0" fillId="2" fontId="3" numFmtId="3" xfId="0" applyAlignment="1" applyFont="1" applyNumberFormat="1">
      <alignment horizontal="center" vertical="center"/>
    </xf>
    <xf borderId="0" fillId="2" fontId="3" numFmtId="10" xfId="0" applyAlignment="1" applyFont="1" applyNumberFormat="1">
      <alignment horizontal="center" vertical="center"/>
    </xf>
    <xf borderId="5" fillId="2" fontId="3" numFmtId="10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left" vertical="center"/>
    </xf>
    <xf borderId="5" fillId="2" fontId="10" numFmtId="10" xfId="0" applyAlignment="1" applyBorder="1" applyFont="1" applyNumberFormat="1">
      <alignment horizontal="center" vertical="center"/>
    </xf>
    <xf borderId="7" fillId="8" fontId="6" numFmtId="0" xfId="0" applyAlignment="1" applyBorder="1" applyFont="1">
      <alignment horizontal="left" vertical="center"/>
    </xf>
    <xf borderId="8" fillId="8" fontId="6" numFmtId="3" xfId="0" applyAlignment="1" applyBorder="1" applyFont="1" applyNumberFormat="1">
      <alignment horizontal="center" vertical="center"/>
    </xf>
    <xf borderId="8" fillId="8" fontId="6" numFmtId="10" xfId="0" applyAlignment="1" applyBorder="1" applyFont="1" applyNumberFormat="1">
      <alignment horizontal="center" vertical="center"/>
    </xf>
    <xf borderId="9" fillId="8" fontId="5" numFmtId="10" xfId="0" applyAlignment="1" applyBorder="1" applyFont="1" applyNumberFormat="1">
      <alignment horizontal="center" vertical="center"/>
    </xf>
    <xf borderId="0" fillId="2" fontId="10" numFmtId="0" xfId="0" applyAlignment="1" applyFont="1">
      <alignment vertical="center"/>
    </xf>
    <xf borderId="0" fillId="0" fontId="3" numFmtId="0" xfId="0" applyFont="1"/>
    <xf borderId="0" fillId="0" fontId="3" numFmtId="3" xfId="0" applyFont="1" applyNumberFormat="1"/>
    <xf borderId="0" fillId="2" fontId="3" numFmtId="0" xfId="0" applyFont="1"/>
    <xf borderId="0" fillId="2" fontId="3" numFmtId="0" xfId="0" applyAlignment="1" applyFont="1">
      <alignment horizontal="center" vertical="center"/>
    </xf>
    <xf borderId="0" fillId="2" fontId="10" numFmtId="0" xfId="0" applyAlignment="1" applyFont="1">
      <alignment horizontal="center" vertical="center"/>
    </xf>
    <xf borderId="10" fillId="2" fontId="3" numFmtId="0" xfId="0" applyAlignment="1" applyBorder="1" applyFont="1">
      <alignment horizontal="center" vertical="center"/>
    </xf>
    <xf borderId="6" fillId="2" fontId="3" numFmtId="3" xfId="0" applyAlignment="1" applyBorder="1" applyFont="1" applyNumberFormat="1">
      <alignment horizontal="center" vertical="center"/>
    </xf>
    <xf borderId="6" fillId="2" fontId="3" numFmtId="10" xfId="0" applyAlignment="1" applyBorder="1" applyFont="1" applyNumberFormat="1">
      <alignment horizontal="center" vertical="center"/>
    </xf>
    <xf borderId="11" fillId="2" fontId="10" numFmtId="10" xfId="0" applyAlignment="1" applyBorder="1" applyFont="1" applyNumberFormat="1">
      <alignment horizontal="center" vertical="center"/>
    </xf>
    <xf borderId="12" fillId="8" fontId="6" numFmtId="0" xfId="0" applyAlignment="1" applyBorder="1" applyFont="1">
      <alignment horizontal="center" vertical="center"/>
    </xf>
    <xf borderId="13" fillId="8" fontId="6" numFmtId="3" xfId="0" applyAlignment="1" applyBorder="1" applyFont="1" applyNumberFormat="1">
      <alignment horizontal="center" vertical="center"/>
    </xf>
    <xf borderId="13" fillId="8" fontId="6" numFmtId="10" xfId="0" applyAlignment="1" applyBorder="1" applyFont="1" applyNumberFormat="1">
      <alignment horizontal="center" vertical="center"/>
    </xf>
    <xf borderId="14" fillId="8" fontId="6" numFmtId="10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vertical="center"/>
    </xf>
    <xf borderId="4" fillId="2" fontId="3" numFmtId="10" xfId="0" applyAlignment="1" applyBorder="1" applyFont="1" applyNumberFormat="1">
      <alignment vertical="center"/>
    </xf>
    <xf borderId="4" fillId="2" fontId="3" numFmtId="10" xfId="0" applyAlignment="1" applyBorder="1" applyFont="1" applyNumberFormat="1">
      <alignment horizontal="left" vertical="center"/>
    </xf>
    <xf borderId="9" fillId="8" fontId="6" numFmtId="10" xfId="0" applyAlignment="1" applyBorder="1" applyFont="1" applyNumberFormat="1">
      <alignment horizontal="center" vertical="center"/>
    </xf>
    <xf borderId="0" fillId="0" fontId="11" numFmtId="10" xfId="0" applyAlignment="1" applyFont="1" applyNumberFormat="1">
      <alignment horizontal="right" vertical="bottom"/>
    </xf>
    <xf borderId="0" fillId="2" fontId="12" numFmtId="0" xfId="0" applyAlignment="1" applyFont="1">
      <alignment horizontal="left" readingOrder="0" shrinkToFit="0" vertical="center" wrapText="0"/>
    </xf>
    <xf borderId="0" fillId="4" fontId="13" numFmtId="0" xfId="0" applyAlignment="1" applyFont="1">
      <alignment readingOrder="0" vertical="center"/>
    </xf>
    <xf borderId="15" fillId="2" fontId="1" numFmtId="0" xfId="0" applyAlignment="1" applyBorder="1" applyFont="1">
      <alignment horizontal="right" readingOrder="0" vertical="center"/>
    </xf>
    <xf borderId="16" fillId="0" fontId="4" numFmtId="0" xfId="0" applyBorder="1" applyFont="1"/>
    <xf borderId="16" fillId="2" fontId="1" numFmtId="14" xfId="0" applyAlignment="1" applyBorder="1" applyFont="1" applyNumberFormat="1">
      <alignment horizontal="left" readingOrder="0" vertical="center"/>
    </xf>
    <xf borderId="17" fillId="0" fontId="4" numFmtId="0" xfId="0" applyBorder="1" applyFont="1"/>
    <xf borderId="18" fillId="9" fontId="14" numFmtId="0" xfId="0" applyAlignment="1" applyBorder="1" applyFill="1" applyFont="1">
      <alignment horizontal="center" vertical="center"/>
    </xf>
    <xf borderId="19" fillId="9" fontId="14" numFmtId="3" xfId="0" applyAlignment="1" applyBorder="1" applyFont="1" applyNumberFormat="1">
      <alignment horizontal="center"/>
    </xf>
    <xf borderId="20" fillId="0" fontId="4" numFmtId="0" xfId="0" applyBorder="1" applyFont="1"/>
    <xf borderId="21" fillId="0" fontId="4" numFmtId="0" xfId="0" applyBorder="1" applyFont="1"/>
    <xf borderId="19" fillId="10" fontId="14" numFmtId="3" xfId="0" applyAlignment="1" applyBorder="1" applyFill="1" applyFont="1" applyNumberFormat="1">
      <alignment horizontal="center"/>
    </xf>
    <xf borderId="19" fillId="10" fontId="14" numFmtId="164" xfId="0" applyAlignment="1" applyBorder="1" applyFont="1" applyNumberFormat="1">
      <alignment horizontal="center"/>
    </xf>
    <xf borderId="22" fillId="3" fontId="6" numFmtId="0" xfId="0" applyAlignment="1" applyBorder="1" applyFont="1">
      <alignment horizontal="center" vertical="center"/>
    </xf>
    <xf borderId="0" fillId="4" fontId="6" numFmtId="0" xfId="0" applyAlignment="1" applyFont="1">
      <alignment horizontal="center" vertical="center"/>
    </xf>
    <xf borderId="0" fillId="5" fontId="6" numFmtId="0" xfId="0" applyAlignment="1" applyFont="1">
      <alignment horizontal="center" vertical="center"/>
    </xf>
    <xf borderId="0" fillId="6" fontId="6" numFmtId="0" xfId="0" applyAlignment="1" applyFont="1">
      <alignment horizontal="center" vertical="center"/>
    </xf>
    <xf borderId="0" fillId="7" fontId="6" numFmtId="0" xfId="0" applyAlignment="1" applyFont="1">
      <alignment horizontal="center" vertical="center"/>
    </xf>
    <xf borderId="23" fillId="0" fontId="4" numFmtId="0" xfId="0" applyBorder="1" applyFont="1"/>
    <xf borderId="24" fillId="0" fontId="4" numFmtId="0" xfId="0" applyBorder="1" applyFont="1"/>
    <xf borderId="6" fillId="11" fontId="15" numFmtId="0" xfId="0" applyAlignment="1" applyBorder="1" applyFill="1" applyFont="1">
      <alignment horizontal="center"/>
    </xf>
    <xf borderId="6" fillId="10" fontId="15" numFmtId="0" xfId="0" applyAlignment="1" applyBorder="1" applyFont="1">
      <alignment horizontal="center"/>
    </xf>
    <xf borderId="22" fillId="8" fontId="6" numFmtId="0" xfId="0" applyAlignment="1" applyBorder="1" applyFont="1">
      <alignment horizontal="center" vertical="center"/>
    </xf>
    <xf borderId="0" fillId="8" fontId="6" numFmtId="3" xfId="0" applyAlignment="1" applyFont="1" applyNumberFormat="1">
      <alignment horizontal="center" vertical="center"/>
    </xf>
    <xf borderId="0" fillId="8" fontId="6" numFmtId="0" xfId="0" applyAlignment="1" applyFont="1">
      <alignment horizontal="center" vertical="center"/>
    </xf>
    <xf borderId="0" fillId="8" fontId="6" numFmtId="10" xfId="0" applyAlignment="1" applyFont="1" applyNumberFormat="1">
      <alignment horizontal="center" vertical="center"/>
    </xf>
    <xf borderId="23" fillId="8" fontId="6" numFmtId="0" xfId="0" applyAlignment="1" applyBorder="1" applyFont="1">
      <alignment horizontal="center" vertical="center"/>
    </xf>
    <xf borderId="6" fillId="2" fontId="3" numFmtId="0" xfId="0" applyAlignment="1" applyBorder="1" applyFont="1">
      <alignment horizontal="left" vertical="center"/>
    </xf>
    <xf borderId="6" fillId="0" fontId="3" numFmtId="0" xfId="0" applyAlignment="1" applyBorder="1" applyFont="1">
      <alignment horizontal="left" vertical="center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vertical="center"/>
    </xf>
    <xf borderId="19" fillId="0" fontId="3" numFmtId="10" xfId="0" applyAlignment="1" applyBorder="1" applyFont="1" applyNumberFormat="1">
      <alignment horizontal="center" vertical="center"/>
    </xf>
    <xf borderId="22" fillId="0" fontId="3" numFmtId="0" xfId="0" applyAlignment="1" applyBorder="1" applyFont="1">
      <alignment vertical="center"/>
    </xf>
    <xf borderId="23" fillId="0" fontId="3" numFmtId="10" xfId="0" applyAlignment="1" applyBorder="1" applyFont="1" applyNumberFormat="1">
      <alignment horizontal="center" vertical="center"/>
    </xf>
    <xf borderId="22" fillId="2" fontId="3" numFmtId="0" xfId="0" applyAlignment="1" applyBorder="1" applyFont="1">
      <alignment vertical="center"/>
    </xf>
    <xf borderId="23" fillId="2" fontId="3" numFmtId="10" xfId="0" applyAlignment="1" applyBorder="1" applyFont="1" applyNumberFormat="1">
      <alignment horizontal="center" vertical="center"/>
    </xf>
    <xf borderId="22" fillId="2" fontId="3" numFmtId="0" xfId="0" applyAlignment="1" applyBorder="1" applyFont="1">
      <alignment horizontal="left" vertical="center"/>
    </xf>
    <xf borderId="25" fillId="8" fontId="6" numFmtId="0" xfId="0" applyAlignment="1" applyBorder="1" applyFont="1">
      <alignment horizontal="left" vertical="center"/>
    </xf>
    <xf borderId="26" fillId="8" fontId="6" numFmtId="3" xfId="0" applyAlignment="1" applyBorder="1" applyFont="1" applyNumberFormat="1">
      <alignment horizontal="center" vertical="center"/>
    </xf>
    <xf borderId="26" fillId="8" fontId="6" numFmtId="10" xfId="0" applyAlignment="1" applyBorder="1" applyFont="1" applyNumberFormat="1">
      <alignment horizontal="center" vertical="center"/>
    </xf>
    <xf borderId="26" fillId="8" fontId="6" numFmtId="0" xfId="0" applyAlignment="1" applyBorder="1" applyFont="1">
      <alignment horizontal="center" vertical="center"/>
    </xf>
    <xf borderId="27" fillId="8" fontId="6" numFmtId="10" xfId="0" applyAlignment="1" applyBorder="1" applyFont="1" applyNumberFormat="1">
      <alignment horizontal="center" vertical="center"/>
    </xf>
    <xf borderId="0" fillId="3" fontId="6" numFmtId="3" xfId="0" applyAlignment="1" applyFont="1" applyNumberFormat="1">
      <alignment horizontal="center" vertical="center"/>
    </xf>
    <xf borderId="5" fillId="3" fontId="6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0" fontId="3" numFmtId="10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center" vertical="center"/>
    </xf>
    <xf borderId="4" fillId="2" fontId="3" numFmtId="10" xfId="0" applyAlignment="1" applyBorder="1" applyFont="1" applyNumberFormat="1">
      <alignment horizontal="center" vertical="center"/>
    </xf>
    <xf borderId="4" fillId="2" fontId="10" numFmtId="10" xfId="0" applyAlignment="1" applyBorder="1" applyFont="1" applyNumberFormat="1">
      <alignment horizontal="center" vertical="center"/>
    </xf>
    <xf borderId="0" fillId="2" fontId="10" numFmtId="3" xfId="0" applyAlignment="1" applyFont="1" applyNumberFormat="1">
      <alignment horizontal="center" vertical="center"/>
    </xf>
    <xf borderId="0" fillId="2" fontId="10" numFmtId="10" xfId="0" applyAlignment="1" applyFont="1" applyNumberFormat="1">
      <alignment horizontal="center" vertical="center"/>
    </xf>
    <xf borderId="7" fillId="8" fontId="5" numFmtId="0" xfId="0" applyAlignment="1" applyBorder="1" applyFont="1">
      <alignment horizontal="center" vertical="center"/>
    </xf>
    <xf borderId="8" fillId="8" fontId="5" numFmtId="3" xfId="0" applyAlignment="1" applyBorder="1" applyFont="1" applyNumberFormat="1">
      <alignment horizontal="center" vertical="center"/>
    </xf>
    <xf borderId="8" fillId="8" fontId="5" numFmtId="10" xfId="0" applyAlignment="1" applyBorder="1" applyFont="1" applyNumberFormat="1">
      <alignment horizontal="center" vertical="center"/>
    </xf>
    <xf borderId="8" fillId="8" fontId="5" numFmtId="0" xfId="0" applyAlignment="1" applyBorder="1" applyFont="1">
      <alignment horizontal="center" vertical="center"/>
    </xf>
    <xf borderId="6" fillId="8" fontId="6" numFmtId="0" xfId="0" applyAlignment="1" applyBorder="1" applyFont="1">
      <alignment horizontal="center" vertical="center"/>
    </xf>
    <xf borderId="6" fillId="8" fontId="6" numFmtId="10" xfId="0" applyAlignment="1" applyBorder="1" applyFont="1" applyNumberFormat="1">
      <alignment horizontal="center" vertical="center"/>
    </xf>
    <xf borderId="19" fillId="8" fontId="6" numFmtId="10" xfId="0" applyAlignment="1" applyBorder="1" applyFont="1" applyNumberFormat="1">
      <alignment horizontal="center" vertical="center"/>
    </xf>
    <xf borderId="0" fillId="2" fontId="5" numFmtId="3" xfId="0" applyAlignment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6" fillId="10" fontId="11" numFmtId="0" xfId="0" applyAlignment="1" applyBorder="1" applyFont="1">
      <alignment horizontal="center"/>
    </xf>
    <xf borderId="0" fillId="0" fontId="3" numFmtId="10" xfId="0" applyFont="1" applyNumberFormat="1"/>
    <xf borderId="6" fillId="0" fontId="3" numFmtId="0" xfId="0" applyBorder="1" applyFont="1"/>
    <xf borderId="6" fillId="0" fontId="3" numFmtId="0" xfId="0" applyAlignment="1" applyBorder="1" applyFont="1">
      <alignment horizontal="center"/>
    </xf>
    <xf borderId="6" fillId="0" fontId="3" numFmtId="10" xfId="0" applyAlignment="1" applyBorder="1" applyFont="1" applyNumberFormat="1">
      <alignment horizontal="center"/>
    </xf>
    <xf borderId="0" fillId="0" fontId="3" numFmtId="0" xfId="0" applyAlignment="1" applyFont="1">
      <alignment horizontal="center"/>
    </xf>
    <xf borderId="0" fillId="0" fontId="3" numFmtId="10" xfId="0" applyAlignment="1" applyFont="1" applyNumberFormat="1">
      <alignment horizontal="center"/>
    </xf>
    <xf borderId="6" fillId="2" fontId="3" numFmtId="0" xfId="0" applyBorder="1" applyFont="1"/>
    <xf borderId="6" fillId="2" fontId="3" numFmtId="0" xfId="0" applyAlignment="1" applyBorder="1" applyFont="1">
      <alignment horizontal="center" vertical="center"/>
    </xf>
    <xf borderId="6" fillId="8" fontId="3" numFmtId="0" xfId="0" applyAlignment="1" applyBorder="1" applyFont="1">
      <alignment horizontal="left" vertical="center"/>
    </xf>
    <xf borderId="6" fillId="8" fontId="6" numFmtId="0" xfId="0" applyAlignment="1" applyBorder="1" applyFont="1">
      <alignment horizontal="left" vertical="center"/>
    </xf>
    <xf borderId="28" fillId="12" fontId="16" numFmtId="0" xfId="0" applyAlignment="1" applyBorder="1" applyFill="1" applyFont="1">
      <alignment horizontal="center" readingOrder="0" vertical="center"/>
    </xf>
    <xf borderId="28" fillId="12" fontId="16" numFmtId="0" xfId="0" applyAlignment="1" applyBorder="1" applyFont="1">
      <alignment horizontal="center" vertical="center"/>
    </xf>
    <xf borderId="29" fillId="4" fontId="16" numFmtId="0" xfId="0" applyAlignment="1" applyBorder="1" applyFont="1">
      <alignment horizontal="center" vertical="center"/>
    </xf>
    <xf borderId="30" fillId="0" fontId="4" numFmtId="0" xfId="0" applyBorder="1" applyFont="1"/>
    <xf borderId="31" fillId="0" fontId="4" numFmtId="0" xfId="0" applyBorder="1" applyFont="1"/>
    <xf borderId="29" fillId="5" fontId="16" numFmtId="0" xfId="0" applyAlignment="1" applyBorder="1" applyFont="1">
      <alignment horizontal="center" vertical="center"/>
    </xf>
    <xf borderId="29" fillId="13" fontId="16" numFmtId="0" xfId="0" applyAlignment="1" applyBorder="1" applyFill="1" applyFont="1">
      <alignment horizontal="center" vertical="center"/>
    </xf>
    <xf borderId="29" fillId="7" fontId="16" numFmtId="0" xfId="0" applyAlignment="1" applyBorder="1" applyFont="1">
      <alignment horizontal="right" vertical="center"/>
    </xf>
    <xf borderId="29" fillId="7" fontId="16" numFmtId="164" xfId="0" applyAlignment="1" applyBorder="1" applyFont="1" applyNumberFormat="1">
      <alignment horizontal="left" vertical="center"/>
    </xf>
    <xf borderId="0" fillId="0" fontId="17" numFmtId="0" xfId="0" applyAlignment="1" applyFont="1">
      <alignment vertical="center"/>
    </xf>
    <xf borderId="32" fillId="0" fontId="4" numFmtId="0" xfId="0" applyBorder="1" applyFont="1"/>
    <xf borderId="33" fillId="12" fontId="16" numFmtId="0" xfId="0" applyAlignment="1" applyBorder="1" applyFont="1">
      <alignment horizontal="center" vertical="center"/>
    </xf>
    <xf borderId="33" fillId="8" fontId="18" numFmtId="0" xfId="0" applyAlignment="1" applyBorder="1" applyFont="1">
      <alignment horizontal="center"/>
    </xf>
    <xf borderId="33" fillId="8" fontId="18" numFmtId="0" xfId="0" applyBorder="1" applyFont="1"/>
    <xf borderId="33" fillId="8" fontId="18" numFmtId="3" xfId="0" applyAlignment="1" applyBorder="1" applyFont="1" applyNumberFormat="1">
      <alignment horizontal="center"/>
    </xf>
    <xf borderId="33" fillId="8" fontId="18" numFmtId="10" xfId="0" applyAlignment="1" applyBorder="1" applyFont="1" applyNumberFormat="1">
      <alignment horizontal="center"/>
    </xf>
    <xf borderId="33" fillId="8" fontId="18" numFmtId="4" xfId="0" applyAlignment="1" applyBorder="1" applyFont="1" applyNumberFormat="1">
      <alignment horizontal="center"/>
    </xf>
    <xf borderId="0" fillId="0" fontId="18" numFmtId="0" xfId="0" applyFont="1"/>
    <xf borderId="0" fillId="0" fontId="18" numFmtId="0" xfId="0" applyAlignment="1" applyFont="1">
      <alignment readingOrder="0"/>
    </xf>
    <xf borderId="33" fillId="2" fontId="3" numFmtId="0" xfId="0" applyAlignment="1" applyBorder="1" applyFont="1">
      <alignment horizontal="center"/>
    </xf>
    <xf borderId="33" fillId="2" fontId="3" numFmtId="0" xfId="0" applyBorder="1" applyFont="1"/>
    <xf borderId="33" fillId="2" fontId="3" numFmtId="3" xfId="0" applyAlignment="1" applyBorder="1" applyFont="1" applyNumberFormat="1">
      <alignment horizontal="center"/>
    </xf>
    <xf borderId="33" fillId="2" fontId="3" numFmtId="10" xfId="0" applyAlignment="1" applyBorder="1" applyFont="1" applyNumberFormat="1">
      <alignment horizontal="center"/>
    </xf>
    <xf borderId="33" fillId="2" fontId="3" numFmtId="4" xfId="0" applyAlignment="1" applyBorder="1" applyFont="1" applyNumberFormat="1">
      <alignment horizontal="center"/>
    </xf>
    <xf borderId="33" fillId="0" fontId="3" numFmtId="0" xfId="0" applyAlignment="1" applyBorder="1" applyFont="1">
      <alignment horizontal="center"/>
    </xf>
    <xf borderId="33" fillId="0" fontId="3" numFmtId="0" xfId="0" applyBorder="1" applyFont="1"/>
    <xf borderId="33" fillId="0" fontId="3" numFmtId="3" xfId="0" applyAlignment="1" applyBorder="1" applyFont="1" applyNumberFormat="1">
      <alignment horizontal="center"/>
    </xf>
    <xf borderId="33" fillId="0" fontId="3" numFmtId="10" xfId="0" applyAlignment="1" applyBorder="1" applyFont="1" applyNumberFormat="1">
      <alignment horizontal="center"/>
    </xf>
    <xf borderId="33" fillId="0" fontId="3" numFmtId="4" xfId="0" applyAlignment="1" applyBorder="1" applyFont="1" applyNumberFormat="1">
      <alignment horizontal="center"/>
    </xf>
    <xf borderId="33" fillId="2" fontId="3" numFmtId="0" xfId="0" applyAlignment="1" applyBorder="1" applyFont="1">
      <alignment horizontal="left"/>
    </xf>
    <xf borderId="33" fillId="2" fontId="10" numFmtId="0" xfId="0" applyAlignment="1" applyBorder="1" applyFont="1">
      <alignment horizontal="center"/>
    </xf>
    <xf borderId="33" fillId="2" fontId="10" numFmtId="0" xfId="0" applyBorder="1" applyFont="1"/>
    <xf borderId="33" fillId="2" fontId="10" numFmtId="3" xfId="0" applyAlignment="1" applyBorder="1" applyFont="1" applyNumberFormat="1">
      <alignment horizontal="center"/>
    </xf>
    <xf borderId="33" fillId="2" fontId="10" numFmtId="10" xfId="0" applyAlignment="1" applyBorder="1" applyFont="1" applyNumberFormat="1">
      <alignment horizontal="center"/>
    </xf>
    <xf borderId="33" fillId="2" fontId="10" numFmtId="4" xfId="0" applyAlignment="1" applyBorder="1" applyFont="1" applyNumberFormat="1">
      <alignment horizontal="center"/>
    </xf>
    <xf borderId="0" fillId="2" fontId="10" numFmtId="0" xfId="0" applyFont="1"/>
    <xf borderId="0" fillId="2" fontId="18" numFmtId="0" xfId="0" applyFont="1"/>
    <xf borderId="33" fillId="2" fontId="10" numFmtId="3" xfId="0" applyAlignment="1" applyBorder="1" applyFont="1" applyNumberFormat="1">
      <alignment horizontal="center" vertical="center"/>
    </xf>
    <xf borderId="33" fillId="2" fontId="10" numFmtId="10" xfId="0" applyAlignment="1" applyBorder="1" applyFont="1" applyNumberFormat="1">
      <alignment horizontal="center" vertical="center"/>
    </xf>
    <xf borderId="33" fillId="2" fontId="10" numFmtId="4" xfId="0" applyAlignment="1" applyBorder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/>
    </xf>
    <xf borderId="0" fillId="8" fontId="6" numFmtId="0" xfId="0" applyAlignment="1" applyFont="1">
      <alignment horizontal="center"/>
    </xf>
    <xf borderId="0" fillId="8" fontId="6" numFmtId="0" xfId="0" applyFont="1"/>
    <xf borderId="0" fillId="8" fontId="6" numFmtId="4" xfId="0" applyAlignment="1" applyFont="1" applyNumberFormat="1">
      <alignment horizontal="center" vertical="center"/>
    </xf>
    <xf borderId="0" fillId="0" fontId="6" numFmtId="0" xfId="0" applyFont="1"/>
    <xf borderId="29" fillId="7" fontId="16" numFmtId="0" xfId="0" applyAlignment="1" applyBorder="1" applyFont="1">
      <alignment horizontal="center" vertical="center"/>
    </xf>
    <xf borderId="33" fillId="7" fontId="16" numFmtId="164" xfId="0" applyAlignment="1" applyBorder="1" applyFont="1" applyNumberFormat="1">
      <alignment horizontal="center" vertical="center"/>
    </xf>
    <xf borderId="33" fillId="8" fontId="3" numFmtId="0" xfId="0" applyAlignment="1" applyBorder="1" applyFont="1">
      <alignment horizontal="center" vertical="center"/>
    </xf>
    <xf borderId="33" fillId="8" fontId="3" numFmtId="0" xfId="0" applyAlignment="1" applyBorder="1" applyFont="1">
      <alignment horizontal="left" vertical="center"/>
    </xf>
    <xf borderId="33" fillId="8" fontId="3" numFmtId="3" xfId="0" applyAlignment="1" applyBorder="1" applyFont="1" applyNumberFormat="1">
      <alignment horizontal="center" vertical="center"/>
    </xf>
    <xf borderId="33" fillId="8" fontId="3" numFmtId="10" xfId="0" applyAlignment="1" applyBorder="1" applyFont="1" applyNumberFormat="1">
      <alignment horizontal="center" vertical="center"/>
    </xf>
    <xf borderId="33" fillId="0" fontId="3" numFmtId="0" xfId="0" applyAlignment="1" applyBorder="1" applyFont="1">
      <alignment horizontal="center" vertical="center"/>
    </xf>
    <xf borderId="33" fillId="0" fontId="3" numFmtId="0" xfId="0" applyAlignment="1" applyBorder="1" applyFont="1">
      <alignment horizontal="left" vertical="center"/>
    </xf>
    <xf borderId="33" fillId="0" fontId="3" numFmtId="3" xfId="0" applyAlignment="1" applyBorder="1" applyFont="1" applyNumberFormat="1">
      <alignment horizontal="center" vertical="center"/>
    </xf>
    <xf borderId="33" fillId="0" fontId="3" numFmtId="10" xfId="0" applyAlignment="1" applyBorder="1" applyFont="1" applyNumberFormat="1">
      <alignment horizontal="center" vertical="center"/>
    </xf>
    <xf borderId="33" fillId="0" fontId="3" numFmtId="4" xfId="0" applyAlignment="1" applyBorder="1" applyFont="1" applyNumberFormat="1">
      <alignment horizontal="center" vertical="center"/>
    </xf>
    <xf borderId="33" fillId="2" fontId="3" numFmtId="0" xfId="0" applyAlignment="1" applyBorder="1" applyFont="1">
      <alignment horizontal="center" vertical="center"/>
    </xf>
    <xf borderId="33" fillId="2" fontId="3" numFmtId="0" xfId="0" applyAlignment="1" applyBorder="1" applyFont="1">
      <alignment horizontal="left" vertical="center"/>
    </xf>
    <xf borderId="33" fillId="2" fontId="3" numFmtId="3" xfId="0" applyAlignment="1" applyBorder="1" applyFont="1" applyNumberFormat="1">
      <alignment horizontal="center" vertical="center"/>
    </xf>
    <xf borderId="33" fillId="2" fontId="3" numFmtId="10" xfId="0" applyAlignment="1" applyBorder="1" applyFont="1" applyNumberFormat="1">
      <alignment horizontal="center" vertical="center"/>
    </xf>
    <xf borderId="0" fillId="2" fontId="3" numFmtId="0" xfId="0" applyAlignment="1" applyFont="1">
      <alignment horizontal="center"/>
    </xf>
    <xf borderId="33" fillId="0" fontId="3" numFmtId="0" xfId="0" applyAlignment="1" applyBorder="1" applyFont="1">
      <alignment horizontal="left"/>
    </xf>
    <xf borderId="0" fillId="8" fontId="6" numFmtId="0" xfId="0" applyAlignment="1" applyFont="1">
      <alignment horizontal="left"/>
    </xf>
    <xf borderId="0" fillId="0" fontId="3" numFmtId="0" xfId="0" applyAlignment="1" applyFont="1">
      <alignment horizontal="left"/>
    </xf>
    <xf borderId="28" fillId="3" fontId="16" numFmtId="0" xfId="0" applyAlignment="1" applyBorder="1" applyFont="1">
      <alignment horizontal="center" readingOrder="0" vertical="center"/>
    </xf>
    <xf borderId="28" fillId="3" fontId="16" numFmtId="0" xfId="0" applyAlignment="1" applyBorder="1" applyFont="1">
      <alignment horizontal="center" vertical="center"/>
    </xf>
    <xf borderId="0" fillId="2" fontId="17" numFmtId="0" xfId="0" applyAlignment="1" applyFont="1">
      <alignment vertical="center"/>
    </xf>
    <xf borderId="33" fillId="3" fontId="16" numFmtId="0" xfId="0" applyAlignment="1" applyBorder="1" applyFont="1">
      <alignment horizontal="center" vertical="center"/>
    </xf>
    <xf borderId="0" fillId="2" fontId="18" numFmtId="10" xfId="0" applyAlignment="1" applyFont="1" applyNumberFormat="1">
      <alignment horizontal="center"/>
    </xf>
    <xf borderId="0" fillId="0" fontId="18" numFmtId="10" xfId="0" applyFont="1" applyNumberFormat="1"/>
    <xf borderId="0" fillId="0" fontId="18" numFmtId="3" xfId="0" applyFont="1" applyNumberFormat="1"/>
    <xf borderId="0" fillId="2" fontId="3" numFmtId="10" xfId="0" applyAlignment="1" applyFont="1" applyNumberFormat="1">
      <alignment horizontal="center"/>
    </xf>
    <xf borderId="34" fillId="2" fontId="3" numFmtId="0" xfId="0" applyBorder="1" applyFont="1"/>
    <xf borderId="34" fillId="0" fontId="3" numFmtId="0" xfId="0" applyBorder="1" applyFont="1"/>
    <xf borderId="33" fillId="2" fontId="3" numFmtId="4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35" fillId="3" fontId="15" numFmtId="0" xfId="0" applyAlignment="1" applyBorder="1" applyFont="1">
      <alignment readingOrder="0" vertical="center"/>
    </xf>
    <xf borderId="19" fillId="14" fontId="15" numFmtId="0" xfId="0" applyAlignment="1" applyBorder="1" applyFill="1" applyFont="1">
      <alignment horizontal="center" vertical="center"/>
    </xf>
    <xf borderId="36" fillId="14" fontId="15" numFmtId="0" xfId="0" applyAlignment="1" applyBorder="1" applyFont="1">
      <alignment horizontal="center" readingOrder="0" vertical="center"/>
    </xf>
    <xf borderId="35" fillId="15" fontId="15" numFmtId="0" xfId="0" applyAlignment="1" applyBorder="1" applyFill="1" applyFont="1">
      <alignment horizontal="center" readingOrder="0" shrinkToFit="0" vertical="center" wrapText="1"/>
    </xf>
    <xf borderId="34" fillId="0" fontId="4" numFmtId="0" xfId="0" applyBorder="1" applyFont="1"/>
    <xf borderId="37" fillId="0" fontId="11" numFmtId="0" xfId="0" applyAlignment="1" applyBorder="1" applyFont="1">
      <alignment vertical="center"/>
    </xf>
    <xf borderId="38" fillId="0" fontId="11" numFmtId="0" xfId="0" applyAlignment="1" applyBorder="1" applyFont="1">
      <alignment vertical="center"/>
    </xf>
    <xf borderId="39" fillId="8" fontId="6" numFmtId="0" xfId="0" applyAlignment="1" applyBorder="1" applyFont="1">
      <alignment horizontal="center" shrinkToFit="0" vertical="center" wrapText="1"/>
    </xf>
    <xf borderId="40" fillId="8" fontId="6" numFmtId="165" xfId="0" applyAlignment="1" applyBorder="1" applyFont="1" applyNumberFormat="1">
      <alignment horizontal="center" shrinkToFit="0" vertical="center" wrapText="1"/>
    </xf>
    <xf borderId="39" fillId="15" fontId="6" numFmtId="165" xfId="0" applyAlignment="1" applyBorder="1" applyFont="1" applyNumberFormat="1">
      <alignment horizontal="center" shrinkToFit="0" vertical="center" wrapText="1"/>
    </xf>
    <xf borderId="39" fillId="15" fontId="15" numFmtId="0" xfId="0" applyAlignment="1" applyBorder="1" applyFont="1">
      <alignment horizontal="center" readingOrder="0" shrinkToFit="0" vertical="center" wrapText="1"/>
    </xf>
    <xf borderId="6" fillId="2" fontId="11" numFmtId="10" xfId="0" applyAlignment="1" applyBorder="1" applyFont="1" applyNumberFormat="1">
      <alignment horizontal="center" vertical="center"/>
    </xf>
    <xf borderId="6" fillId="2" fontId="3" numFmtId="10" xfId="0" applyAlignment="1" applyBorder="1" applyFont="1" applyNumberFormat="1">
      <alignment horizontal="center"/>
    </xf>
    <xf borderId="6" fillId="2" fontId="3" numFmtId="0" xfId="0" applyAlignment="1" applyBorder="1" applyFont="1">
      <alignment horizontal="center"/>
    </xf>
    <xf borderId="6" fillId="8" fontId="6" numFmtId="0" xfId="0" applyAlignment="1" applyBorder="1" applyFont="1">
      <alignment horizontal="center"/>
    </xf>
    <xf borderId="6" fillId="8" fontId="6" numFmtId="10" xfId="0" applyAlignment="1" applyBorder="1" applyFont="1" applyNumberFormat="1">
      <alignment horizontal="center"/>
    </xf>
    <xf borderId="6" fillId="8" fontId="13" numFmtId="10" xfId="0" applyAlignment="1" applyBorder="1" applyFont="1" applyNumberFormat="1">
      <alignment horizontal="center"/>
    </xf>
    <xf borderId="0" fillId="2" fontId="6" numFmtId="0" xfId="0" applyFont="1"/>
    <xf borderId="41" fillId="12" fontId="15" numFmtId="0" xfId="0" applyAlignment="1" applyBorder="1" applyFont="1">
      <alignment readingOrder="0" vertical="center"/>
    </xf>
    <xf borderId="35" fillId="12" fontId="15" numFmtId="0" xfId="0" applyAlignment="1" applyBorder="1" applyFont="1">
      <alignment horizontal="center" vertical="center"/>
    </xf>
    <xf borderId="36" fillId="0" fontId="4" numFmtId="0" xfId="0" applyBorder="1" applyFont="1"/>
    <xf borderId="41" fillId="12" fontId="15" numFmtId="0" xfId="0" applyAlignment="1" applyBorder="1" applyFont="1">
      <alignment horizontal="center" readingOrder="0" shrinkToFit="0" vertical="center" wrapText="1"/>
    </xf>
    <xf borderId="35" fillId="12" fontId="15" numFmtId="0" xfId="0" applyAlignment="1" applyBorder="1" applyFont="1">
      <alignment horizontal="center" readingOrder="0" shrinkToFit="0" vertical="center" wrapText="1"/>
    </xf>
    <xf borderId="41" fillId="16" fontId="6" numFmtId="0" xfId="0" applyAlignment="1" applyBorder="1" applyFill="1" applyFont="1">
      <alignment horizontal="center" shrinkToFit="0" vertical="center" wrapText="1"/>
    </xf>
    <xf borderId="41" fillId="16" fontId="6" numFmtId="10" xfId="0" applyAlignment="1" applyBorder="1" applyFont="1" applyNumberFormat="1">
      <alignment horizontal="center" shrinkToFit="0" vertical="center" wrapText="1"/>
    </xf>
    <xf borderId="41" fillId="16" fontId="15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41" fillId="8" fontId="18" numFmtId="0" xfId="0" applyBorder="1" applyFont="1"/>
    <xf borderId="41" fillId="8" fontId="18" numFmtId="0" xfId="0" applyAlignment="1" applyBorder="1" applyFont="1">
      <alignment horizontal="center"/>
    </xf>
    <xf borderId="41" fillId="8" fontId="18" numFmtId="10" xfId="0" applyAlignment="1" applyBorder="1" applyFont="1" applyNumberFormat="1">
      <alignment horizontal="center"/>
    </xf>
    <xf borderId="41" fillId="0" fontId="3" numFmtId="10" xfId="0" applyAlignment="1" applyBorder="1" applyFont="1" applyNumberFormat="1">
      <alignment horizontal="center"/>
    </xf>
    <xf borderId="41" fillId="2" fontId="10" numFmtId="10" xfId="0" applyAlignment="1" applyBorder="1" applyFont="1" applyNumberFormat="1">
      <alignment horizontal="center"/>
    </xf>
    <xf borderId="41" fillId="2" fontId="10" numFmtId="0" xfId="0" applyBorder="1" applyFont="1"/>
    <xf borderId="41" fillId="0" fontId="3" numFmtId="0" xfId="0" applyBorder="1" applyFont="1"/>
    <xf borderId="41" fillId="2" fontId="3" numFmtId="0" xfId="0" applyAlignment="1" applyBorder="1" applyFont="1">
      <alignment horizontal="left" vertical="center"/>
    </xf>
    <xf borderId="41" fillId="2" fontId="3" numFmtId="10" xfId="0" applyAlignment="1" applyBorder="1" applyFont="1" applyNumberFormat="1">
      <alignment horizontal="center"/>
    </xf>
    <xf borderId="41" fillId="2" fontId="10" numFmtId="0" xfId="0" applyAlignment="1" applyBorder="1" applyFont="1">
      <alignment horizontal="left"/>
    </xf>
    <xf borderId="0" fillId="2" fontId="10" numFmtId="0" xfId="0" applyAlignment="1" applyFont="1">
      <alignment horizontal="center"/>
    </xf>
    <xf borderId="41" fillId="2" fontId="10" numFmtId="0" xfId="0" applyAlignment="1" applyBorder="1" applyFont="1">
      <alignment horizontal="left" vertical="center"/>
    </xf>
    <xf borderId="41" fillId="2" fontId="10" numFmtId="10" xfId="0" applyAlignment="1" applyBorder="1" applyFont="1" applyNumberFormat="1">
      <alignment horizontal="center" vertical="center"/>
    </xf>
    <xf borderId="41" fillId="2" fontId="3" numFmtId="0" xfId="0" applyBorder="1" applyFont="1"/>
    <xf borderId="41" fillId="0" fontId="3" numFmtId="10" xfId="0" applyAlignment="1" applyBorder="1" applyFont="1" applyNumberFormat="1">
      <alignment horizontal="center" vertical="center"/>
    </xf>
    <xf borderId="41" fillId="8" fontId="6" numFmtId="0" xfId="0" applyAlignment="1" applyBorder="1" applyFont="1">
      <alignment horizontal="center"/>
    </xf>
    <xf borderId="42" fillId="8" fontId="6" numFmtId="10" xfId="0" applyAlignment="1" applyBorder="1" applyFont="1" applyNumberFormat="1">
      <alignment horizontal="center" vertical="center"/>
    </xf>
    <xf borderId="42" fillId="8" fontId="13" numFmtId="10" xfId="0" applyAlignment="1" applyBorder="1" applyFont="1" applyNumberFormat="1">
      <alignment horizontal="center" vertical="center"/>
    </xf>
    <xf borderId="41" fillId="0" fontId="3" numFmtId="0" xfId="0" applyAlignment="1" applyBorder="1" applyFont="1">
      <alignment horizontal="center"/>
    </xf>
    <xf borderId="39" fillId="8" fontId="15" numFmtId="0" xfId="0" applyAlignment="1" applyBorder="1" applyFont="1">
      <alignment readingOrder="0" vertical="center"/>
    </xf>
    <xf borderId="43" fillId="14" fontId="15" numFmtId="0" xfId="0" applyAlignment="1" applyBorder="1" applyFont="1">
      <alignment horizontal="center" vertical="center"/>
    </xf>
    <xf borderId="44" fillId="0" fontId="4" numFmtId="0" xfId="0" applyBorder="1" applyFont="1"/>
    <xf borderId="45" fillId="0" fontId="4" numFmtId="0" xfId="0" applyBorder="1" applyFont="1"/>
    <xf borderId="43" fillId="15" fontId="15" numFmtId="0" xfId="0" applyAlignment="1" applyBorder="1" applyFont="1">
      <alignment horizontal="center" readingOrder="0" shrinkToFit="0" vertical="center" wrapText="1"/>
    </xf>
    <xf borderId="6" fillId="15" fontId="15" numFmtId="0" xfId="0" applyAlignment="1" applyBorder="1" applyFont="1">
      <alignment horizontal="center" readingOrder="0" shrinkToFit="0" vertical="center" wrapText="1"/>
    </xf>
    <xf borderId="6" fillId="8" fontId="5" numFmtId="0" xfId="0" applyAlignment="1" applyBorder="1" applyFont="1">
      <alignment horizontal="center" vertical="center"/>
    </xf>
    <xf borderId="6" fillId="8" fontId="5" numFmtId="10" xfId="0" applyAlignment="1" applyBorder="1" applyFont="1" applyNumberFormat="1">
      <alignment horizontal="center" vertical="center"/>
    </xf>
    <xf borderId="6" fillId="8" fontId="13" numFmtId="10" xfId="0" applyAlignment="1" applyBorder="1" applyFont="1" applyNumberFormat="1">
      <alignment horizontal="center" vertical="center"/>
    </xf>
    <xf borderId="6" fillId="12" fontId="15" numFmtId="0" xfId="0" applyAlignment="1" applyBorder="1" applyFont="1">
      <alignment horizontal="center" readingOrder="0" vertical="center"/>
    </xf>
    <xf borderId="19" fillId="12" fontId="15" numFmtId="0" xfId="0" applyAlignment="1" applyBorder="1" applyFont="1">
      <alignment horizontal="center" vertical="center"/>
    </xf>
    <xf borderId="6" fillId="12" fontId="15" numFmtId="0" xfId="0" applyAlignment="1" applyBorder="1" applyFont="1">
      <alignment horizontal="center" readingOrder="0" shrinkToFit="0" vertical="center" wrapText="1"/>
    </xf>
    <xf borderId="19" fillId="12" fontId="15" numFmtId="0" xfId="0" applyAlignment="1" applyBorder="1" applyFont="1">
      <alignment horizontal="center" readingOrder="0" shrinkToFit="0" vertical="center" wrapText="1"/>
    </xf>
    <xf borderId="6" fillId="0" fontId="3" numFmtId="0" xfId="0" applyAlignment="1" applyBorder="1" applyFont="1">
      <alignment horizontal="left"/>
    </xf>
    <xf borderId="0" fillId="2" fontId="19" numFmtId="0" xfId="0" applyAlignment="1" applyFont="1">
      <alignment horizontal="left" readingOrder="0" shrinkToFit="0" wrapText="1"/>
    </xf>
    <xf borderId="0" fillId="2" fontId="11" numFmtId="0" xfId="0" applyFont="1"/>
    <xf borderId="0" fillId="7" fontId="20" numFmtId="0" xfId="0" applyAlignment="1" applyFont="1">
      <alignment horizontal="center" vertical="center"/>
    </xf>
    <xf borderId="33" fillId="8" fontId="21" numFmtId="0" xfId="0" applyAlignment="1" applyBorder="1" applyFont="1">
      <alignment horizontal="center" readingOrder="0" shrinkToFit="0" vertical="center" wrapText="1"/>
    </xf>
    <xf borderId="29" fillId="17" fontId="22" numFmtId="164" xfId="0" applyAlignment="1" applyBorder="1" applyFill="1" applyFont="1" applyNumberFormat="1">
      <alignment horizontal="center" readingOrder="0" shrinkToFit="0" vertical="center" wrapText="1"/>
    </xf>
    <xf borderId="29" fillId="13" fontId="21" numFmtId="164" xfId="0" applyAlignment="1" applyBorder="1" applyFont="1" applyNumberFormat="1">
      <alignment horizontal="center" readingOrder="0" shrinkToFit="0" vertical="center" wrapText="1"/>
    </xf>
    <xf borderId="29" fillId="18" fontId="21" numFmtId="164" xfId="0" applyAlignment="1" applyBorder="1" applyFill="1" applyFont="1" applyNumberFormat="1">
      <alignment horizontal="center" readingOrder="0" shrinkToFit="0" vertical="center" wrapText="1"/>
    </xf>
    <xf borderId="33" fillId="8" fontId="15" numFmtId="0" xfId="0" applyAlignment="1" applyBorder="1" applyFont="1">
      <alignment horizontal="center" readingOrder="0" shrinkToFit="0" vertical="center" wrapText="1"/>
    </xf>
    <xf borderId="29" fillId="8" fontId="15" numFmtId="0" xfId="0" applyAlignment="1" applyBorder="1" applyFont="1">
      <alignment horizontal="center" readingOrder="0" shrinkToFit="0" vertical="center" wrapText="1"/>
    </xf>
    <xf borderId="33" fillId="8" fontId="6" numFmtId="0" xfId="0" applyAlignment="1" applyBorder="1" applyFont="1">
      <alignment horizontal="center" readingOrder="0" shrinkToFit="0" vertical="center" wrapText="1"/>
    </xf>
    <xf borderId="33" fillId="8" fontId="6" numFmtId="166" xfId="0" applyAlignment="1" applyBorder="1" applyFont="1" applyNumberForma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33" fillId="17" fontId="22" numFmtId="0" xfId="0" applyAlignment="1" applyBorder="1" applyFont="1">
      <alignment horizontal="center" readingOrder="0" shrinkToFit="0" vertical="center" wrapText="1"/>
    </xf>
    <xf borderId="33" fillId="13" fontId="21" numFmtId="0" xfId="0" applyAlignment="1" applyBorder="1" applyFont="1">
      <alignment horizontal="center" readingOrder="0" shrinkToFit="0" vertical="center" wrapText="1"/>
    </xf>
    <xf borderId="33" fillId="18" fontId="21" numFmtId="0" xfId="0" applyAlignment="1" applyBorder="1" applyFont="1">
      <alignment horizontal="center" readingOrder="0" shrinkToFit="0" vertical="center" wrapText="1"/>
    </xf>
    <xf borderId="33" fillId="2" fontId="23" numFmtId="0" xfId="0" applyAlignment="1" applyBorder="1" applyFont="1">
      <alignment horizontal="center" shrinkToFit="0" vertical="bottom" wrapText="0"/>
    </xf>
    <xf borderId="33" fillId="2" fontId="23" numFmtId="0" xfId="0" applyAlignment="1" applyBorder="1" applyFont="1">
      <alignment shrinkToFit="0" vertical="bottom" wrapText="0"/>
    </xf>
    <xf borderId="33" fillId="2" fontId="23" numFmtId="10" xfId="0" applyAlignment="1" applyBorder="1" applyFont="1" applyNumberFormat="1">
      <alignment horizontal="center" shrinkToFit="0" vertical="bottom" wrapText="0"/>
    </xf>
    <xf borderId="33" fillId="2" fontId="23" numFmtId="3" xfId="0" applyAlignment="1" applyBorder="1" applyFont="1" applyNumberFormat="1">
      <alignment horizontal="center" shrinkToFit="0" vertical="bottom" wrapText="0"/>
    </xf>
    <xf borderId="33" fillId="2" fontId="11" numFmtId="3" xfId="0" applyAlignment="1" applyBorder="1" applyFont="1" applyNumberFormat="1">
      <alignment horizontal="center" shrinkToFit="0" vertical="bottom" wrapText="0"/>
    </xf>
    <xf borderId="33" fillId="2" fontId="11" numFmtId="167" xfId="0" applyAlignment="1" applyBorder="1" applyFont="1" applyNumberFormat="1">
      <alignment horizontal="center" shrinkToFit="0" vertical="bottom" wrapText="0"/>
    </xf>
    <xf borderId="33" fillId="2" fontId="11" numFmtId="10" xfId="0" applyAlignment="1" applyBorder="1" applyFont="1" applyNumberFormat="1">
      <alignment horizontal="center" shrinkToFit="0" vertical="bottom" wrapText="0"/>
    </xf>
    <xf borderId="33" fillId="2" fontId="11" numFmtId="10" xfId="0" applyAlignment="1" applyBorder="1" applyFont="1" applyNumberFormat="1">
      <alignment horizontal="center" vertical="bottom"/>
    </xf>
    <xf borderId="0" fillId="2" fontId="11" numFmtId="3" xfId="0" applyAlignment="1" applyFont="1" applyNumberFormat="1">
      <alignment horizontal="center" shrinkToFit="0" vertical="bottom" wrapText="0"/>
    </xf>
    <xf borderId="33" fillId="2" fontId="11" numFmtId="0" xfId="0" applyAlignment="1" applyBorder="1" applyFont="1">
      <alignment horizontal="center" shrinkToFit="0" vertical="bottom" wrapText="0"/>
    </xf>
    <xf borderId="33" fillId="2" fontId="11" numFmtId="0" xfId="0" applyAlignment="1" applyBorder="1" applyFont="1">
      <alignment shrinkToFit="0" vertical="bottom" wrapText="0"/>
    </xf>
    <xf borderId="33" fillId="2" fontId="11" numFmtId="0" xfId="0" applyAlignment="1" applyBorder="1" applyFont="1">
      <alignment horizontal="center" readingOrder="0" vertical="bottom"/>
    </xf>
    <xf borderId="33" fillId="2" fontId="11" numFmtId="0" xfId="0" applyAlignment="1" applyBorder="1" applyFont="1">
      <alignment horizontal="left" readingOrder="0" vertical="bottom"/>
    </xf>
    <xf borderId="33" fillId="2" fontId="11" numFmtId="3" xfId="0" applyAlignment="1" applyBorder="1" applyFont="1" applyNumberFormat="1">
      <alignment horizontal="center" readingOrder="0" vertical="bottom"/>
    </xf>
    <xf borderId="33" fillId="2" fontId="11" numFmtId="167" xfId="0" applyAlignment="1" applyBorder="1" applyFont="1" applyNumberFormat="1">
      <alignment horizontal="center" readingOrder="0" vertical="bottom"/>
    </xf>
    <xf borderId="33" fillId="2" fontId="11" numFmtId="168" xfId="0" applyAlignment="1" applyBorder="1" applyFont="1" applyNumberFormat="1">
      <alignment horizontal="center" readingOrder="0" vertical="bottom"/>
    </xf>
    <xf borderId="0" fillId="2" fontId="11" numFmtId="3" xfId="0" applyAlignment="1" applyFont="1" applyNumberFormat="1">
      <alignment horizontal="center" readingOrder="0" vertical="bottom"/>
    </xf>
    <xf borderId="0" fillId="2" fontId="3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2" fontId="3" numFmtId="168" xfId="0" applyAlignment="1" applyFont="1" applyNumberFormat="1">
      <alignment horizontal="center" readingOrder="0"/>
    </xf>
    <xf borderId="41" fillId="19" fontId="24" numFmtId="0" xfId="0" applyAlignment="1" applyBorder="1" applyFill="1" applyFont="1">
      <alignment horizontal="center" shrinkToFit="0" vertical="center" wrapText="1"/>
    </xf>
    <xf borderId="41" fillId="8" fontId="25" numFmtId="0" xfId="0" applyAlignment="1" applyBorder="1" applyFont="1">
      <alignment horizontal="center"/>
    </xf>
    <xf borderId="41" fillId="8" fontId="25" numFmtId="0" xfId="0" applyBorder="1" applyFont="1"/>
    <xf borderId="41" fillId="8" fontId="25" numFmtId="10" xfId="0" applyAlignment="1" applyBorder="1" applyFont="1" applyNumberFormat="1">
      <alignment horizontal="center"/>
    </xf>
    <xf borderId="41" fillId="8" fontId="0" numFmtId="0" xfId="0" applyAlignment="1" applyBorder="1" applyFont="1">
      <alignment horizontal="center"/>
    </xf>
    <xf borderId="41" fillId="8" fontId="0" numFmtId="0" xfId="0" applyBorder="1" applyFont="1"/>
    <xf borderId="41" fillId="8" fontId="0" numFmtId="10" xfId="0" applyAlignment="1" applyBorder="1" applyFont="1" applyNumberFormat="1">
      <alignment horizontal="center"/>
    </xf>
    <xf borderId="0" fillId="0" fontId="10" numFmtId="0" xfId="0" applyFont="1"/>
    <xf borderId="41" fillId="2" fontId="0" numFmtId="0" xfId="0" applyAlignment="1" applyBorder="1" applyFont="1">
      <alignment horizontal="center"/>
    </xf>
    <xf borderId="41" fillId="2" fontId="0" numFmtId="0" xfId="0" applyBorder="1" applyFont="1"/>
    <xf borderId="41" fillId="2" fontId="0" numFmtId="10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/>
    </xf>
    <xf borderId="41" fillId="2" fontId="26" numFmtId="0" xfId="0" applyBorder="1" applyFont="1"/>
    <xf borderId="41" fillId="2" fontId="26" numFmtId="10" xfId="0" applyAlignment="1" applyBorder="1" applyFont="1" applyNumberFormat="1">
      <alignment horizontal="center"/>
    </xf>
    <xf borderId="41" fillId="0" fontId="26" numFmtId="0" xfId="0" applyAlignment="1" applyBorder="1" applyFont="1">
      <alignment horizontal="center"/>
    </xf>
    <xf borderId="41" fillId="0" fontId="26" numFmtId="0" xfId="0" applyBorder="1" applyFont="1"/>
    <xf borderId="41" fillId="0" fontId="26" numFmtId="10" xfId="0" applyAlignment="1" applyBorder="1" applyFont="1" applyNumberFormat="1">
      <alignment horizontal="center"/>
    </xf>
    <xf borderId="6" fillId="11" fontId="11" numFmtId="0" xfId="0" applyAlignment="1" applyBorder="1" applyFont="1">
      <alignment readingOrder="0" vertical="center"/>
    </xf>
    <xf borderId="19" fillId="11" fontId="27" numFmtId="0" xfId="0" applyAlignment="1" applyBorder="1" applyFont="1">
      <alignment horizontal="center" shrinkToFit="0" vertical="center" wrapText="1"/>
    </xf>
    <xf borderId="19" fillId="0" fontId="11" numFmtId="0" xfId="0" applyAlignment="1" applyBorder="1" applyFont="1">
      <alignment vertical="center"/>
    </xf>
    <xf borderId="19" fillId="15" fontId="28" numFmtId="0" xfId="0" applyAlignment="1" applyBorder="1" applyFont="1">
      <alignment horizontal="center" vertical="center"/>
    </xf>
    <xf borderId="18" fillId="15" fontId="15" numFmtId="0" xfId="0" applyAlignment="1" applyBorder="1" applyFont="1">
      <alignment horizontal="center" shrinkToFit="0" vertical="center" wrapText="1"/>
    </xf>
    <xf borderId="18" fillId="5" fontId="15" numFmtId="0" xfId="0" applyAlignment="1" applyBorder="1" applyFont="1">
      <alignment horizontal="center" shrinkToFit="0" vertical="center" wrapText="1"/>
    </xf>
    <xf borderId="6" fillId="15" fontId="11" numFmtId="0" xfId="0" applyAlignment="1" applyBorder="1" applyFont="1">
      <alignment vertical="center"/>
    </xf>
    <xf borderId="19" fillId="15" fontId="15" numFmtId="169" xfId="0" applyAlignment="1" applyBorder="1" applyFont="1" applyNumberFormat="1">
      <alignment horizontal="center" shrinkToFit="0" vertical="center" wrapText="1"/>
    </xf>
    <xf borderId="19" fillId="15" fontId="15" numFmtId="169" xfId="0" applyAlignment="1" applyBorder="1" applyFont="1" applyNumberFormat="1">
      <alignment horizontal="center" vertical="center"/>
    </xf>
    <xf borderId="19" fillId="8" fontId="15" numFmtId="0" xfId="0" applyAlignment="1" applyBorder="1" applyFont="1">
      <alignment horizontal="center" vertical="center"/>
    </xf>
    <xf borderId="19" fillId="15" fontId="15" numFmtId="0" xfId="0" applyAlignment="1" applyBorder="1" applyFont="1">
      <alignment horizontal="center" shrinkToFit="0" vertical="center" wrapText="1"/>
    </xf>
    <xf borderId="46" fillId="0" fontId="4" numFmtId="0" xfId="0" applyBorder="1" applyFont="1"/>
    <xf borderId="6" fillId="15" fontId="15" numFmtId="0" xfId="0" applyAlignment="1" applyBorder="1" applyFont="1">
      <alignment horizontal="center" vertical="center"/>
    </xf>
    <xf borderId="6" fillId="15" fontId="19" numFmtId="3" xfId="0" applyAlignment="1" applyBorder="1" applyFont="1" applyNumberFormat="1">
      <alignment horizontal="center" vertical="center"/>
    </xf>
    <xf borderId="6" fillId="15" fontId="19" numFmtId="0" xfId="0" applyAlignment="1" applyBorder="1" applyFont="1">
      <alignment horizontal="center" vertical="center"/>
    </xf>
    <xf borderId="6" fillId="8" fontId="19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6" fillId="0" fontId="11" numFmtId="3" xfId="0" applyAlignment="1" applyBorder="1" applyFont="1" applyNumberFormat="1">
      <alignment horizontal="center" vertical="center"/>
    </xf>
    <xf borderId="6" fillId="20" fontId="11" numFmtId="3" xfId="0" applyAlignment="1" applyBorder="1" applyFill="1" applyFont="1" applyNumberFormat="1">
      <alignment horizontal="center" vertical="center"/>
    </xf>
    <xf borderId="6" fillId="21" fontId="11" numFmtId="3" xfId="0" applyAlignment="1" applyBorder="1" applyFill="1" applyFont="1" applyNumberFormat="1">
      <alignment horizontal="center" vertical="center"/>
    </xf>
    <xf borderId="6" fillId="2" fontId="11" numFmtId="3" xfId="0" applyAlignment="1" applyBorder="1" applyFont="1" applyNumberFormat="1">
      <alignment horizontal="center" vertical="center"/>
    </xf>
    <xf borderId="6" fillId="22" fontId="11" numFmtId="3" xfId="0" applyAlignment="1" applyBorder="1" applyFill="1" applyFont="1" applyNumberFormat="1">
      <alignment horizontal="center" vertical="center"/>
    </xf>
    <xf borderId="6" fillId="23" fontId="11" numFmtId="3" xfId="0" applyAlignment="1" applyBorder="1" applyFill="1" applyFont="1" applyNumberFormat="1">
      <alignment horizontal="center" vertical="center"/>
    </xf>
    <xf borderId="6" fillId="24" fontId="11" numFmtId="3" xfId="0" applyAlignment="1" applyBorder="1" applyFill="1" applyFont="1" applyNumberFormat="1">
      <alignment horizontal="center" vertical="center"/>
    </xf>
    <xf borderId="6" fillId="25" fontId="11" numFmtId="3" xfId="0" applyAlignment="1" applyBorder="1" applyFill="1" applyFont="1" applyNumberFormat="1">
      <alignment horizontal="center" vertical="center"/>
    </xf>
    <xf borderId="6" fillId="2" fontId="11" numFmtId="0" xfId="0" applyAlignment="1" applyBorder="1" applyFont="1">
      <alignment horizontal="center" vertical="center"/>
    </xf>
    <xf borderId="6" fillId="26" fontId="11" numFmtId="3" xfId="0" applyAlignment="1" applyBorder="1" applyFill="1" applyFont="1" applyNumberFormat="1">
      <alignment horizontal="center" vertical="center"/>
    </xf>
    <xf borderId="6" fillId="27" fontId="11" numFmtId="3" xfId="0" applyAlignment="1" applyBorder="1" applyFill="1" applyFont="1" applyNumberFormat="1">
      <alignment horizontal="center" vertical="center"/>
    </xf>
    <xf borderId="6" fillId="2" fontId="11" numFmtId="169" xfId="0" applyAlignment="1" applyBorder="1" applyFont="1" applyNumberFormat="1">
      <alignment horizontal="center" vertical="center"/>
    </xf>
    <xf borderId="6" fillId="28" fontId="11" numFmtId="3" xfId="0" applyAlignment="1" applyBorder="1" applyFill="1" applyFont="1" applyNumberFormat="1">
      <alignment horizontal="center" vertical="center"/>
    </xf>
    <xf borderId="6" fillId="29" fontId="11" numFmtId="3" xfId="0" applyAlignment="1" applyBorder="1" applyFill="1" applyFont="1" applyNumberFormat="1">
      <alignment horizontal="center" vertical="center"/>
    </xf>
    <xf borderId="6" fillId="30" fontId="11" numFmtId="3" xfId="0" applyAlignment="1" applyBorder="1" applyFill="1" applyFont="1" applyNumberFormat="1">
      <alignment horizontal="center" vertical="center"/>
    </xf>
    <xf borderId="6" fillId="31" fontId="11" numFmtId="3" xfId="0" applyAlignment="1" applyBorder="1" applyFill="1" applyFont="1" applyNumberFormat="1">
      <alignment horizontal="center" vertical="center"/>
    </xf>
    <xf borderId="6" fillId="32" fontId="11" numFmtId="3" xfId="0" applyAlignment="1" applyBorder="1" applyFill="1" applyFont="1" applyNumberFormat="1">
      <alignment horizontal="center" vertical="center"/>
    </xf>
    <xf borderId="6" fillId="2" fontId="15" numFmtId="3" xfId="0" applyAlignment="1" applyBorder="1" applyFont="1" applyNumberFormat="1">
      <alignment horizontal="center" vertical="center"/>
    </xf>
    <xf borderId="6" fillId="33" fontId="11" numFmtId="3" xfId="0" applyAlignment="1" applyBorder="1" applyFill="1" applyFont="1" applyNumberFormat="1">
      <alignment horizontal="center" vertical="center"/>
    </xf>
    <xf borderId="6" fillId="34" fontId="11" numFmtId="3" xfId="0" applyAlignment="1" applyBorder="1" applyFill="1" applyFont="1" applyNumberFormat="1">
      <alignment horizontal="center" vertical="center"/>
    </xf>
    <xf borderId="6" fillId="35" fontId="11" numFmtId="3" xfId="0" applyAlignment="1" applyBorder="1" applyFill="1" applyFont="1" applyNumberFormat="1">
      <alignment horizontal="center" vertical="center"/>
    </xf>
    <xf borderId="6" fillId="8" fontId="15" numFmtId="0" xfId="0" applyAlignment="1" applyBorder="1" applyFont="1">
      <alignment horizontal="center" vertical="center"/>
    </xf>
    <xf borderId="6" fillId="8" fontId="15" numFmtId="3" xfId="0" applyAlignment="1" applyBorder="1" applyFont="1" applyNumberFormat="1">
      <alignment horizontal="center" vertical="center"/>
    </xf>
    <xf borderId="6" fillId="8" fontId="29" numFmtId="3" xfId="0" applyAlignment="1" applyBorder="1" applyFont="1" applyNumberFormat="1">
      <alignment horizontal="center" vertical="center"/>
    </xf>
    <xf borderId="47" fillId="0" fontId="11" numFmtId="0" xfId="0" applyAlignment="1" applyBorder="1" applyFont="1">
      <alignment vertical="center"/>
    </xf>
    <xf borderId="0" fillId="0" fontId="11" numFmtId="0" xfId="0" applyAlignment="1" applyFont="1">
      <alignment vertical="center"/>
    </xf>
    <xf borderId="47" fillId="11" fontId="11" numFmtId="0" xfId="0" applyAlignment="1" applyBorder="1" applyFont="1">
      <alignment vertical="center"/>
    </xf>
    <xf borderId="47" fillId="11" fontId="27" numFmtId="0" xfId="0" applyAlignment="1" applyBorder="1" applyFont="1">
      <alignment horizontal="center" vertical="center"/>
    </xf>
    <xf borderId="47" fillId="8" fontId="15" numFmtId="0" xfId="0" applyAlignment="1" applyBorder="1" applyFont="1">
      <alignment horizontal="center" shrinkToFit="0" vertical="center" wrapText="1"/>
    </xf>
    <xf borderId="47" fillId="15" fontId="28" numFmtId="0" xfId="0" applyAlignment="1" applyBorder="1" applyFont="1">
      <alignment horizontal="center" vertical="center"/>
    </xf>
    <xf borderId="47" fillId="15" fontId="15" numFmtId="0" xfId="0" applyAlignment="1" applyBorder="1" applyFont="1">
      <alignment horizontal="center" shrinkToFit="0" vertical="center" wrapText="1"/>
    </xf>
    <xf borderId="0" fillId="15" fontId="15" numFmtId="0" xfId="0" applyAlignment="1" applyFont="1">
      <alignment horizontal="center" shrinkToFit="0" vertical="center" wrapText="1"/>
    </xf>
    <xf borderId="0" fillId="5" fontId="15" numFmtId="0" xfId="0" applyAlignment="1" applyFont="1">
      <alignment horizontal="center" shrinkToFit="0" vertical="center" wrapText="1"/>
    </xf>
    <xf borderId="6" fillId="11" fontId="11" numFmtId="0" xfId="0" applyAlignment="1" applyBorder="1" applyFont="1">
      <alignment vertical="center"/>
    </xf>
    <xf borderId="19" fillId="11" fontId="27" numFmtId="0" xfId="0" applyAlignment="1" applyBorder="1" applyFont="1">
      <alignment horizontal="center" vertical="center"/>
    </xf>
    <xf borderId="19" fillId="8" fontId="15" numFmtId="0" xfId="0" applyAlignment="1" applyBorder="1" applyFont="1">
      <alignment horizontal="center" shrinkToFit="0" vertical="center" wrapText="1"/>
    </xf>
    <xf borderId="19" fillId="8" fontId="30" numFmtId="0" xfId="0" applyAlignment="1" applyBorder="1" applyFont="1">
      <alignment horizontal="center" vertical="center"/>
    </xf>
    <xf borderId="6" fillId="8" fontId="31" numFmtId="0" xfId="0" applyAlignment="1" applyBorder="1" applyFont="1">
      <alignment horizontal="center" vertical="center"/>
    </xf>
    <xf borderId="6" fillId="8" fontId="30" numFmtId="0" xfId="0" applyAlignment="1" applyBorder="1" applyFont="1">
      <alignment horizontal="center" vertical="center"/>
    </xf>
    <xf borderId="6" fillId="36" fontId="11" numFmtId="3" xfId="0" applyAlignment="1" applyBorder="1" applyFill="1" applyFont="1" applyNumberFormat="1">
      <alignment horizontal="center" vertical="center"/>
    </xf>
    <xf borderId="6" fillId="37" fontId="11" numFmtId="3" xfId="0" applyAlignment="1" applyBorder="1" applyFill="1" applyFont="1" applyNumberFormat="1">
      <alignment horizontal="center" vertical="center"/>
    </xf>
    <xf borderId="6" fillId="38" fontId="11" numFmtId="3" xfId="0" applyAlignment="1" applyBorder="1" applyFill="1" applyFont="1" applyNumberFormat="1">
      <alignment horizontal="center" vertical="center"/>
    </xf>
    <xf borderId="6" fillId="39" fontId="11" numFmtId="3" xfId="0" applyAlignment="1" applyBorder="1" applyFill="1" applyFont="1" applyNumberFormat="1">
      <alignment horizontal="center" vertical="center"/>
    </xf>
    <xf borderId="6" fillId="40" fontId="11" numFmtId="3" xfId="0" applyAlignment="1" applyBorder="1" applyFill="1" applyFont="1" applyNumberFormat="1">
      <alignment horizontal="center" vertical="center"/>
    </xf>
    <xf borderId="6" fillId="41" fontId="11" numFmtId="3" xfId="0" applyAlignment="1" applyBorder="1" applyFill="1" applyFont="1" applyNumberFormat="1">
      <alignment horizontal="center" vertical="center"/>
    </xf>
    <xf borderId="6" fillId="42" fontId="11" numFmtId="3" xfId="0" applyAlignment="1" applyBorder="1" applyFill="1" applyFont="1" applyNumberFormat="1">
      <alignment horizontal="center" vertical="center"/>
    </xf>
    <xf borderId="6" fillId="43" fontId="11" numFmtId="3" xfId="0" applyAlignment="1" applyBorder="1" applyFill="1" applyFont="1" applyNumberFormat="1">
      <alignment horizontal="center" vertical="center"/>
    </xf>
    <xf borderId="6" fillId="44" fontId="11" numFmtId="3" xfId="0" applyAlignment="1" applyBorder="1" applyFill="1" applyFont="1" applyNumberFormat="1">
      <alignment horizontal="center" vertical="center"/>
    </xf>
    <xf borderId="6" fillId="45" fontId="11" numFmtId="3" xfId="0" applyAlignment="1" applyBorder="1" applyFill="1" applyFont="1" applyNumberFormat="1">
      <alignment horizontal="center" vertical="center"/>
    </xf>
    <xf borderId="6" fillId="46" fontId="11" numFmtId="3" xfId="0" applyAlignment="1" applyBorder="1" applyFill="1" applyFont="1" applyNumberFormat="1">
      <alignment horizontal="center" vertical="center"/>
    </xf>
    <xf borderId="6" fillId="47" fontId="11" numFmtId="3" xfId="0" applyAlignment="1" applyBorder="1" applyFill="1" applyFont="1" applyNumberFormat="1">
      <alignment horizontal="center" vertical="center"/>
    </xf>
    <xf borderId="6" fillId="48" fontId="11" numFmtId="3" xfId="0" applyAlignment="1" applyBorder="1" applyFill="1" applyFont="1" applyNumberFormat="1">
      <alignment horizontal="center" vertical="center"/>
    </xf>
    <xf borderId="6" fillId="29" fontId="15" numFmtId="3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11" numFmtId="0" xfId="0" applyAlignment="1" applyFont="1">
      <alignment vertical="bottom"/>
    </xf>
    <xf borderId="0" fillId="0" fontId="11" numFmtId="9" xfId="0" applyAlignment="1" applyFont="1" applyNumberFormat="1">
      <alignment horizontal="right" vertical="bottom"/>
    </xf>
    <xf borderId="41" fillId="3" fontId="29" numFmtId="0" xfId="0" applyAlignment="1" applyBorder="1" applyFont="1">
      <alignment readingOrder="0" vertical="center"/>
    </xf>
    <xf borderId="35" fillId="14" fontId="15" numFmtId="0" xfId="0" applyAlignment="1" applyBorder="1" applyFont="1">
      <alignment horizontal="center" vertical="center"/>
    </xf>
    <xf borderId="41" fillId="15" fontId="15" numFmtId="0" xfId="0" applyAlignment="1" applyBorder="1" applyFont="1">
      <alignment horizontal="center" readingOrder="0" vertical="center"/>
    </xf>
    <xf borderId="35" fillId="15" fontId="15" numFmtId="0" xfId="0" applyAlignment="1" applyBorder="1" applyFont="1">
      <alignment horizontal="center" readingOrder="0" vertical="center"/>
    </xf>
    <xf borderId="28" fillId="7" fontId="15" numFmtId="0" xfId="0" applyAlignment="1" applyBorder="1" applyFont="1">
      <alignment horizontal="center" readingOrder="0" shrinkToFit="0" vertical="center" wrapText="1"/>
    </xf>
    <xf borderId="41" fillId="8" fontId="6" numFmtId="0" xfId="0" applyAlignment="1" applyBorder="1" applyFont="1">
      <alignment horizontal="center" shrinkToFit="0" vertical="center" wrapText="1"/>
    </xf>
    <xf borderId="41" fillId="8" fontId="6" numFmtId="169" xfId="0" applyAlignment="1" applyBorder="1" applyFont="1" applyNumberFormat="1">
      <alignment horizontal="center" shrinkToFit="0" vertical="center" wrapText="1"/>
    </xf>
    <xf borderId="41" fillId="15" fontId="6" numFmtId="169" xfId="0" applyAlignment="1" applyBorder="1" applyFont="1" applyNumberFormat="1">
      <alignment horizontal="center" shrinkToFit="0" vertical="center" wrapText="1"/>
    </xf>
    <xf borderId="41" fillId="15" fontId="15" numFmtId="0" xfId="0" applyAlignment="1" applyBorder="1" applyFont="1">
      <alignment horizontal="center" readingOrder="0" shrinkToFit="0" vertical="center" wrapText="1"/>
    </xf>
    <xf borderId="42" fillId="0" fontId="4" numFmtId="0" xfId="0" applyBorder="1" applyFont="1"/>
    <xf borderId="41" fillId="0" fontId="3" numFmtId="3" xfId="0" applyAlignment="1" applyBorder="1" applyFont="1" applyNumberFormat="1">
      <alignment horizontal="center"/>
    </xf>
    <xf borderId="35" fillId="0" fontId="3" numFmtId="3" xfId="0" applyAlignment="1" applyBorder="1" applyFont="1" applyNumberFormat="1">
      <alignment horizontal="center"/>
    </xf>
    <xf borderId="35" fillId="0" fontId="3" numFmtId="0" xfId="0" applyAlignment="1" applyBorder="1" applyFont="1">
      <alignment horizontal="center"/>
    </xf>
    <xf borderId="33" fillId="0" fontId="3" numFmtId="3" xfId="0" applyAlignment="1" applyBorder="1" applyFont="1" applyNumberFormat="1">
      <alignment horizontal="center" readingOrder="0"/>
    </xf>
    <xf borderId="39" fillId="2" fontId="3" numFmtId="0" xfId="0" applyAlignment="1" applyBorder="1" applyFont="1">
      <alignment horizontal="left"/>
    </xf>
    <xf borderId="39" fillId="2" fontId="3" numFmtId="0" xfId="0" applyAlignment="1" applyBorder="1" applyFont="1">
      <alignment horizontal="center"/>
    </xf>
    <xf borderId="39" fillId="2" fontId="3" numFmtId="3" xfId="0" applyAlignment="1" applyBorder="1" applyFont="1" applyNumberFormat="1">
      <alignment horizontal="center"/>
    </xf>
    <xf borderId="33" fillId="8" fontId="6" numFmtId="0" xfId="0" applyAlignment="1" applyBorder="1" applyFont="1">
      <alignment horizontal="center"/>
    </xf>
    <xf borderId="33" fillId="8" fontId="6" numFmtId="3" xfId="0" applyAlignment="1" applyBorder="1" applyFont="1" applyNumberFormat="1">
      <alignment horizontal="center"/>
    </xf>
    <xf borderId="39" fillId="8" fontId="6" numFmtId="3" xfId="0" applyAlignment="1" applyBorder="1" applyFont="1" applyNumberFormat="1">
      <alignment horizontal="center"/>
    </xf>
    <xf borderId="43" fillId="8" fontId="6" numFmtId="3" xfId="0" applyAlignment="1" applyBorder="1" applyFont="1" applyNumberFormat="1">
      <alignment horizontal="center"/>
    </xf>
    <xf borderId="48" fillId="0" fontId="4" numFmtId="0" xfId="0" applyBorder="1" applyFont="1"/>
    <xf borderId="33" fillId="0" fontId="3" numFmtId="3" xfId="0" applyAlignment="1" applyBorder="1" applyFont="1" applyNumberFormat="1">
      <alignment readingOrder="0"/>
    </xf>
    <xf borderId="29" fillId="8" fontId="6" numFmtId="3" xfId="0" applyAlignment="1" applyBorder="1" applyFont="1" applyNumberFormat="1">
      <alignment horizontal="center"/>
    </xf>
    <xf borderId="33" fillId="8" fontId="6" numFmtId="3" xfId="0" applyBorder="1" applyFont="1" applyNumberFormat="1"/>
    <xf borderId="33" fillId="8" fontId="6" numFmtId="10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>
        <b/>
        <color rgb="FFFF0000"/>
      </font>
      <fill>
        <patternFill patternType="solid">
          <fgColor rgb="FFFFF2CC"/>
          <bgColor rgb="FFFFF2CC"/>
        </patternFill>
      </fill>
      <border/>
    </dxf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</dxfs>
  <tableStyles count="1">
    <tableStyle count="2" pivot="0" name="9.BC Cảnh Báo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4:AK6" displayName="Table_1" name="Table_1" id="1">
  <tableColumns count="3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</tableColumns>
  <tableStyleInfo name="9.BC Cảnh Bá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5"/>
    <col customWidth="1" min="2" max="2" width="18.88"/>
    <col customWidth="1" min="3" max="14" width="11.13"/>
    <col customWidth="1" min="15" max="16" width="10.88"/>
  </cols>
  <sheetData>
    <row r="1" ht="23.25" customHeight="1">
      <c r="A1" s="1"/>
      <c r="B1" s="2" t="s">
        <v>0</v>
      </c>
      <c r="C1" s="1"/>
      <c r="D1" s="1"/>
      <c r="E1" s="1"/>
      <c r="F1" s="1"/>
      <c r="G1" s="1"/>
      <c r="H1" s="1"/>
      <c r="I1" s="1"/>
      <c r="J1" s="3"/>
      <c r="K1" s="3"/>
      <c r="L1" s="3"/>
      <c r="M1" s="3"/>
      <c r="N1" s="3"/>
      <c r="O1" s="4"/>
      <c r="P1" s="4"/>
    </row>
    <row r="2" ht="23.25" customHeight="1">
      <c r="A2" s="1"/>
      <c r="B2" s="5" t="s">
        <v>1</v>
      </c>
      <c r="C2" s="6"/>
      <c r="D2" s="6"/>
      <c r="E2" s="6"/>
      <c r="F2" s="6"/>
      <c r="G2" s="6"/>
      <c r="H2" s="6"/>
      <c r="I2" s="6"/>
      <c r="J2" s="7">
        <f>TODAY()-1</f>
        <v>46162</v>
      </c>
      <c r="K2" s="6"/>
      <c r="L2" s="6"/>
      <c r="M2" s="6"/>
      <c r="N2" s="8"/>
      <c r="O2" s="4"/>
      <c r="P2" s="4"/>
    </row>
    <row r="3" ht="23.25" customHeight="1">
      <c r="A3" s="1"/>
      <c r="B3" s="9" t="s">
        <v>2</v>
      </c>
      <c r="C3" s="10" t="s">
        <v>3</v>
      </c>
      <c r="F3" s="11" t="s">
        <v>4</v>
      </c>
      <c r="I3" s="12" t="s">
        <v>5</v>
      </c>
      <c r="L3" s="13" t="s">
        <v>6</v>
      </c>
      <c r="M3" s="14">
        <f>TODAY()-1</f>
        <v>46162</v>
      </c>
      <c r="N3" s="15"/>
      <c r="O3" s="4"/>
      <c r="P3" s="4"/>
    </row>
    <row r="4" ht="23.25" customHeight="1">
      <c r="A4" s="1"/>
      <c r="B4" s="16" t="str">
        <f>IFERROR(__xludf.DUMMYFUNCTION("IMPORTRANGE(""https://docs.google.com/spreadsheets/d/1487b2qDJjFxuit1ljyyJ220-vW46d0ImSvFQle7Fw-k/edit?gid=2083742761#gid=2083742761"",""PV 1!O25:AA30"")"),"Tỉnh ")</f>
        <v>Tỉnh </v>
      </c>
      <c r="C4" s="17" t="str">
        <f>IFERROR(__xludf.DUMMYFUNCTION("""COMPUTED_VALUE"""),"Volume")</f>
        <v>Volume</v>
      </c>
      <c r="D4" s="18" t="str">
        <f>IFERROR(__xludf.DUMMYFUNCTION("""COMPUTED_VALUE"""),"% Gán")</f>
        <v>% Gán</v>
      </c>
      <c r="E4" s="18" t="str">
        <f>IFERROR(__xludf.DUMMYFUNCTION("""COMPUTED_VALUE"""),"% GTC")</f>
        <v>% GTC</v>
      </c>
      <c r="F4" s="17" t="str">
        <f>IFERROR(__xludf.DUMMYFUNCTION("""COMPUTED_VALUE"""),"Volume")</f>
        <v>Volume</v>
      </c>
      <c r="G4" s="18" t="str">
        <f>IFERROR(__xludf.DUMMYFUNCTION("""COMPUTED_VALUE"""),"% Gán")</f>
        <v>% Gán</v>
      </c>
      <c r="H4" s="18" t="str">
        <f>IFERROR(__xludf.DUMMYFUNCTION("""COMPUTED_VALUE"""),"% GTC")</f>
        <v>% GTC</v>
      </c>
      <c r="I4" s="17" t="str">
        <f>IFERROR(__xludf.DUMMYFUNCTION("""COMPUTED_VALUE"""),"Volume")</f>
        <v>Volume</v>
      </c>
      <c r="J4" s="18" t="str">
        <f>IFERROR(__xludf.DUMMYFUNCTION("""COMPUTED_VALUE"""),"% Gán")</f>
        <v>% Gán</v>
      </c>
      <c r="K4" s="18" t="str">
        <f>IFERROR(__xludf.DUMMYFUNCTION("""COMPUTED_VALUE"""),"% GTC")</f>
        <v>% GTC</v>
      </c>
      <c r="L4" s="17" t="str">
        <f>IFERROR(__xludf.DUMMYFUNCTION("""COMPUTED_VALUE"""),"Volume")</f>
        <v>Volume</v>
      </c>
      <c r="M4" s="18" t="str">
        <f>IFERROR(__xludf.DUMMYFUNCTION("""COMPUTED_VALUE"""),"% Gán")</f>
        <v>% Gán</v>
      </c>
      <c r="N4" s="18" t="str">
        <f>IFERROR(__xludf.DUMMYFUNCTION("""COMPUTED_VALUE"""),"% GTC")</f>
        <v>% GTC</v>
      </c>
      <c r="O4" s="4"/>
      <c r="P4" s="4"/>
    </row>
    <row r="5" ht="23.25" customHeight="1">
      <c r="A5" s="1"/>
      <c r="B5" s="19" t="str">
        <f>IFERROR(__xludf.DUMMYFUNCTION("""COMPUTED_VALUE"""),"Đắk Lắk")</f>
        <v>Đắk Lắk</v>
      </c>
      <c r="C5" s="20">
        <f>IFERROR(__xludf.DUMMYFUNCTION("""COMPUTED_VALUE"""),11079.0)</f>
        <v>11079</v>
      </c>
      <c r="D5" s="21">
        <f>IFERROR(__xludf.DUMMYFUNCTION("""COMPUTED_VALUE"""),0.959111833197942)</f>
        <v>0.9591118332</v>
      </c>
      <c r="E5" s="21">
        <f>IFERROR(__xludf.DUMMYFUNCTION("""COMPUTED_VALUE"""),0.7582814333423594)</f>
        <v>0.7582814333</v>
      </c>
      <c r="F5" s="20">
        <f>IFERROR(__xludf.DUMMYFUNCTION("""COMPUTED_VALUE"""),3020.0)</f>
        <v>3020</v>
      </c>
      <c r="G5" s="21">
        <f>IFERROR(__xludf.DUMMYFUNCTION("""COMPUTED_VALUE"""),0.6294701986754967)</f>
        <v>0.6294701987</v>
      </c>
      <c r="H5" s="21">
        <f>IFERROR(__xludf.DUMMYFUNCTION("""COMPUTED_VALUE"""),0.5)</f>
        <v>0.5</v>
      </c>
      <c r="I5" s="20">
        <f>IFERROR(__xludf.DUMMYFUNCTION("""COMPUTED_VALUE"""),5954.0)</f>
        <v>5954</v>
      </c>
      <c r="J5" s="21">
        <f>IFERROR(__xludf.DUMMYFUNCTION("""COMPUTED_VALUE"""),0.9219012428619415)</f>
        <v>0.9219012429</v>
      </c>
      <c r="K5" s="21">
        <f>IFERROR(__xludf.DUMMYFUNCTION("""COMPUTED_VALUE"""),0.4544843802485724)</f>
        <v>0.4544843802</v>
      </c>
      <c r="L5" s="20">
        <f>IFERROR(__xludf.DUMMYFUNCTION("""COMPUTED_VALUE"""),20053.0)</f>
        <v>20053</v>
      </c>
      <c r="M5" s="21">
        <f>IFERROR(__xludf.DUMMYFUNCTION("""COMPUTED_VALUE"""),0.8984191891487558)</f>
        <v>0.8984191891</v>
      </c>
      <c r="N5" s="21">
        <f>IFERROR(__xludf.DUMMYFUNCTION("""COMPUTED_VALUE"""),0.6291826659352715)</f>
        <v>0.6291826659</v>
      </c>
      <c r="O5" s="4"/>
      <c r="P5" s="4"/>
    </row>
    <row r="6" ht="23.25" customHeight="1">
      <c r="A6" s="1"/>
      <c r="B6" s="19" t="str">
        <f>IFERROR(__xludf.DUMMYFUNCTION("""COMPUTED_VALUE"""),"Gia Lai")</f>
        <v>Gia Lai</v>
      </c>
      <c r="C6" s="20">
        <f>IFERROR(__xludf.DUMMYFUNCTION("""COMPUTED_VALUE"""),10057.0)</f>
        <v>10057</v>
      </c>
      <c r="D6" s="21">
        <f>IFERROR(__xludf.DUMMYFUNCTION("""COMPUTED_VALUE"""),0.9950283384707169)</f>
        <v>0.9950283385</v>
      </c>
      <c r="E6" s="21">
        <f>IFERROR(__xludf.DUMMYFUNCTION("""COMPUTED_VALUE"""),0.8376255344536144)</f>
        <v>0.8376255345</v>
      </c>
      <c r="F6" s="20">
        <f>IFERROR(__xludf.DUMMYFUNCTION("""COMPUTED_VALUE"""),431.0)</f>
        <v>431</v>
      </c>
      <c r="G6" s="21">
        <f>IFERROR(__xludf.DUMMYFUNCTION("""COMPUTED_VALUE"""),0.974477958236659)</f>
        <v>0.9744779582</v>
      </c>
      <c r="H6" s="21">
        <f>IFERROR(__xludf.DUMMYFUNCTION("""COMPUTED_VALUE"""),0.8375870069605569)</f>
        <v>0.837587007</v>
      </c>
      <c r="I6" s="20">
        <f>IFERROR(__xludf.DUMMYFUNCTION("""COMPUTED_VALUE"""),1989.0)</f>
        <v>1989</v>
      </c>
      <c r="J6" s="21">
        <f>IFERROR(__xludf.DUMMYFUNCTION("""COMPUTED_VALUE"""),0.9467068878833584)</f>
        <v>0.9467068879</v>
      </c>
      <c r="K6" s="21">
        <f>IFERROR(__xludf.DUMMYFUNCTION("""COMPUTED_VALUE"""),0.371543489190548)</f>
        <v>0.3715434892</v>
      </c>
      <c r="L6" s="20">
        <f>IFERROR(__xludf.DUMMYFUNCTION("""COMPUTED_VALUE"""),12477.0)</f>
        <v>12477</v>
      </c>
      <c r="M6" s="21">
        <f>IFERROR(__xludf.DUMMYFUNCTION("""COMPUTED_VALUE"""),0.9866153722850044)</f>
        <v>0.9866153723</v>
      </c>
      <c r="N6" s="21">
        <f>IFERROR(__xludf.DUMMYFUNCTION("""COMPUTED_VALUE"""),0.7633245171114851)</f>
        <v>0.7633245171</v>
      </c>
      <c r="O6" s="4"/>
      <c r="P6" s="4"/>
    </row>
    <row r="7" ht="23.25" customHeight="1">
      <c r="A7" s="1"/>
      <c r="B7" s="19" t="str">
        <f>IFERROR(__xludf.DUMMYFUNCTION("""COMPUTED_VALUE"""),"Phú Yên")</f>
        <v>Phú Yên</v>
      </c>
      <c r="C7" s="20">
        <f>IFERROR(__xludf.DUMMYFUNCTION("""COMPUTED_VALUE"""),6722.0)</f>
        <v>6722</v>
      </c>
      <c r="D7" s="21">
        <f>IFERROR(__xludf.DUMMYFUNCTION("""COMPUTED_VALUE"""),0.9916691460874739)</f>
        <v>0.9916691461</v>
      </c>
      <c r="E7" s="21">
        <f>IFERROR(__xludf.DUMMYFUNCTION("""COMPUTED_VALUE"""),0.8594168402261232)</f>
        <v>0.8594168402</v>
      </c>
      <c r="F7" s="20">
        <f>IFERROR(__xludf.DUMMYFUNCTION("""COMPUTED_VALUE"""),440.0)</f>
        <v>440</v>
      </c>
      <c r="G7" s="21">
        <f>IFERROR(__xludf.DUMMYFUNCTION("""COMPUTED_VALUE"""),0.6772727272727272)</f>
        <v>0.6772727273</v>
      </c>
      <c r="H7" s="21">
        <f>IFERROR(__xludf.DUMMYFUNCTION("""COMPUTED_VALUE"""),0.5727272727272728)</f>
        <v>0.5727272727</v>
      </c>
      <c r="I7" s="20">
        <f>IFERROR(__xludf.DUMMYFUNCTION("""COMPUTED_VALUE"""),1075.0)</f>
        <v>1075</v>
      </c>
      <c r="J7" s="21">
        <f>IFERROR(__xludf.DUMMYFUNCTION("""COMPUTED_VALUE"""),0.9786046511627907)</f>
        <v>0.9786046512</v>
      </c>
      <c r="K7" s="21">
        <f>IFERROR(__xludf.DUMMYFUNCTION("""COMPUTED_VALUE"""),0.4697674418604651)</f>
        <v>0.4697674419</v>
      </c>
      <c r="L7" s="20">
        <f>IFERROR(__xludf.DUMMYFUNCTION("""COMPUTED_VALUE"""),8237.0)</f>
        <v>8237</v>
      </c>
      <c r="M7" s="21">
        <f>IFERROR(__xludf.DUMMYFUNCTION("""COMPUTED_VALUE"""),0.9731698433895836)</f>
        <v>0.9731698434</v>
      </c>
      <c r="N7" s="21">
        <f>IFERROR(__xludf.DUMMYFUNCTION("""COMPUTED_VALUE"""),0.7932499696491441)</f>
        <v>0.7932499696</v>
      </c>
      <c r="O7" s="4"/>
      <c r="P7" s="4"/>
    </row>
    <row r="8" ht="23.25" customHeight="1">
      <c r="A8" s="1"/>
      <c r="B8" s="19" t="str">
        <f>IFERROR(__xludf.DUMMYFUNCTION("""COMPUTED_VALUE"""),"Bình Định")</f>
        <v>Bình Định</v>
      </c>
      <c r="C8" s="20">
        <f>IFERROR(__xludf.DUMMYFUNCTION("""COMPUTED_VALUE"""),12007.0)</f>
        <v>12007</v>
      </c>
      <c r="D8" s="21">
        <f>IFERROR(__xludf.DUMMYFUNCTION("""COMPUTED_VALUE"""),0.9974181727325727)</f>
        <v>0.9974181727</v>
      </c>
      <c r="E8" s="21">
        <f>IFERROR(__xludf.DUMMYFUNCTION("""COMPUTED_VALUE"""),0.8745731656533688)</f>
        <v>0.8745731657</v>
      </c>
      <c r="F8" s="20">
        <f>IFERROR(__xludf.DUMMYFUNCTION("""COMPUTED_VALUE"""),1032.0)</f>
        <v>1032</v>
      </c>
      <c r="G8" s="21">
        <f>IFERROR(__xludf.DUMMYFUNCTION("""COMPUTED_VALUE"""),0.8391472868217055)</f>
        <v>0.8391472868</v>
      </c>
      <c r="H8" s="21">
        <f>IFERROR(__xludf.DUMMYFUNCTION("""COMPUTED_VALUE"""),0.6521317829457365)</f>
        <v>0.6521317829</v>
      </c>
      <c r="I8" s="20">
        <f>IFERROR(__xludf.DUMMYFUNCTION("""COMPUTED_VALUE"""),1680.0)</f>
        <v>1680</v>
      </c>
      <c r="J8" s="21">
        <f>IFERROR(__xludf.DUMMYFUNCTION("""COMPUTED_VALUE"""),0.9845238095238096)</f>
        <v>0.9845238095</v>
      </c>
      <c r="K8" s="21">
        <f>IFERROR(__xludf.DUMMYFUNCTION("""COMPUTED_VALUE"""),0.475)</f>
        <v>0.475</v>
      </c>
      <c r="L8" s="20">
        <f>IFERROR(__xludf.DUMMYFUNCTION("""COMPUTED_VALUE"""),14719.0)</f>
        <v>14719</v>
      </c>
      <c r="M8" s="21">
        <f>IFERROR(__xludf.DUMMYFUNCTION("""COMPUTED_VALUE"""),0.9848495142333039)</f>
        <v>0.9848495142</v>
      </c>
      <c r="N8" s="21">
        <f>IFERROR(__xludf.DUMMYFUNCTION("""COMPUTED_VALUE"""),0.8133704735376045)</f>
        <v>0.8133704735</v>
      </c>
      <c r="O8" s="4"/>
      <c r="P8" s="4"/>
    </row>
    <row r="9" ht="23.25" customHeight="1">
      <c r="A9" s="1"/>
      <c r="B9" s="22" t="str">
        <f>IFERROR(__xludf.DUMMYFUNCTION("""COMPUTED_VALUE"""),"Grand Total")</f>
        <v>Grand Total</v>
      </c>
      <c r="C9" s="23">
        <f>IFERROR(__xludf.DUMMYFUNCTION("""COMPUTED_VALUE"""),39865.0)</f>
        <v>39865</v>
      </c>
      <c r="D9" s="24">
        <f>IFERROR(__xludf.DUMMYFUNCTION("""COMPUTED_VALUE"""),0.9852000501693214)</f>
        <v>0.9852000502</v>
      </c>
      <c r="E9" s="24">
        <f>IFERROR(__xludf.DUMMYFUNCTION("""COMPUTED_VALUE"""),0.8303775241439859)</f>
        <v>0.8303775241</v>
      </c>
      <c r="F9" s="23">
        <f>IFERROR(__xludf.DUMMYFUNCTION("""COMPUTED_VALUE"""),4923.0)</f>
        <v>4923</v>
      </c>
      <c r="G9" s="24">
        <f>IFERROR(__xludf.DUMMYFUNCTION("""COMPUTED_VALUE"""),0.7079016859638432)</f>
        <v>0.707901686</v>
      </c>
      <c r="H9" s="24">
        <f>IFERROR(__xludf.DUMMYFUNCTION("""COMPUTED_VALUE"""),0.5679463741620963)</f>
        <v>0.5679463742</v>
      </c>
      <c r="I9" s="23">
        <f>IFERROR(__xludf.DUMMYFUNCTION("""COMPUTED_VALUE"""),10698.0)</f>
        <v>10698</v>
      </c>
      <c r="J9" s="24">
        <f>IFERROR(__xludf.DUMMYFUNCTION("""COMPUTED_VALUE"""),0.9420452421013273)</f>
        <v>0.9420452421</v>
      </c>
      <c r="K9" s="24">
        <f>IFERROR(__xludf.DUMMYFUNCTION("""COMPUTED_VALUE"""),0.4438212750046738)</f>
        <v>0.443821275</v>
      </c>
      <c r="L9" s="23">
        <f>IFERROR(__xludf.DUMMYFUNCTION("""COMPUTED_VALUE"""),55486.0)</f>
        <v>55486</v>
      </c>
      <c r="M9" s="24">
        <f>IFERROR(__xludf.DUMMYFUNCTION("""COMPUTED_VALUE"""),0.9522762498648307)</f>
        <v>0.9522762499</v>
      </c>
      <c r="N9" s="24">
        <f>IFERROR(__xludf.DUMMYFUNCTION("""COMPUTED_VALUE"""),0.7325631690876978)</f>
        <v>0.7325631691</v>
      </c>
      <c r="O9" s="4"/>
      <c r="P9" s="4"/>
    </row>
    <row r="10" ht="12.0" customHeight="1">
      <c r="A10" s="1"/>
      <c r="B10" s="2"/>
      <c r="C10" s="1"/>
      <c r="D10" s="1"/>
      <c r="E10" s="1"/>
      <c r="F10" s="1"/>
      <c r="G10" s="1"/>
      <c r="H10" s="1"/>
      <c r="I10" s="1"/>
      <c r="J10" s="3"/>
      <c r="K10" s="3"/>
      <c r="L10" s="3"/>
      <c r="M10" s="3"/>
      <c r="N10" s="3"/>
      <c r="O10" s="4"/>
      <c r="P10" s="4"/>
    </row>
    <row r="11" ht="23.25" customHeight="1">
      <c r="A11" s="1"/>
      <c r="B11" s="2" t="s">
        <v>7</v>
      </c>
      <c r="C11" s="1"/>
      <c r="D11" s="1"/>
      <c r="E11" s="1"/>
      <c r="F11" s="1"/>
      <c r="G11" s="1"/>
      <c r="H11" s="1"/>
      <c r="I11" s="1"/>
      <c r="J11" s="3"/>
      <c r="K11" s="3"/>
      <c r="L11" s="3"/>
      <c r="M11" s="3"/>
      <c r="N11" s="3"/>
      <c r="O11" s="4"/>
      <c r="P11" s="4"/>
    </row>
    <row r="12" ht="23.25" customHeight="1">
      <c r="A12" s="1"/>
      <c r="B12" s="5" t="s">
        <v>1</v>
      </c>
      <c r="C12" s="6"/>
      <c r="D12" s="6"/>
      <c r="E12" s="6"/>
      <c r="F12" s="6"/>
      <c r="G12" s="6"/>
      <c r="H12" s="6"/>
      <c r="I12" s="6"/>
      <c r="J12" s="7">
        <f>TODAY()-1</f>
        <v>46162</v>
      </c>
      <c r="K12" s="6"/>
      <c r="L12" s="6"/>
      <c r="M12" s="6"/>
      <c r="N12" s="8"/>
      <c r="O12" s="4"/>
      <c r="P12" s="4"/>
    </row>
    <row r="13" ht="23.25" customHeight="1">
      <c r="A13" s="25"/>
      <c r="B13" s="9" t="s">
        <v>2</v>
      </c>
      <c r="C13" s="10" t="s">
        <v>3</v>
      </c>
      <c r="F13" s="11" t="s">
        <v>4</v>
      </c>
      <c r="I13" s="12" t="s">
        <v>5</v>
      </c>
      <c r="L13" s="13" t="s">
        <v>6</v>
      </c>
      <c r="M13" s="14">
        <f>TODAY()-1</f>
        <v>46162</v>
      </c>
      <c r="N13" s="15"/>
      <c r="O13" s="26"/>
      <c r="P13" s="26"/>
    </row>
    <row r="14" ht="23.25" customHeight="1">
      <c r="A14" s="27"/>
      <c r="B14" s="28" t="str">
        <f>IFERROR(__xludf.DUMMYFUNCTION("IMPORTRANGE(""https://docs.google.com/spreadsheets/d/1487b2qDJjFxuit1ljyyJ220-vW46d0ImSvFQle7Fw-k/edit?gid=2083742761#gid=2083742761"",""PV 1!O3:AA20"")"),"Chi tiết")</f>
        <v>Chi tiết</v>
      </c>
      <c r="C14" s="29" t="str">
        <f>IFERROR(__xludf.DUMMYFUNCTION("""COMPUTED_VALUE"""),"Volume")</f>
        <v>Volume</v>
      </c>
      <c r="D14" s="30" t="str">
        <f>IFERROR(__xludf.DUMMYFUNCTION("""COMPUTED_VALUE"""),"% Gán")</f>
        <v>% Gán</v>
      </c>
      <c r="E14" s="30" t="str">
        <f>IFERROR(__xludf.DUMMYFUNCTION("""COMPUTED_VALUE"""),"% GTC")</f>
        <v>% GTC</v>
      </c>
      <c r="F14" s="29" t="str">
        <f>IFERROR(__xludf.DUMMYFUNCTION("""COMPUTED_VALUE"""),"Volume")</f>
        <v>Volume</v>
      </c>
      <c r="G14" s="30" t="str">
        <f>IFERROR(__xludf.DUMMYFUNCTION("""COMPUTED_VALUE"""),"% Gán")</f>
        <v>% Gán</v>
      </c>
      <c r="H14" s="30" t="str">
        <f>IFERROR(__xludf.DUMMYFUNCTION("""COMPUTED_VALUE"""),"% GTC")</f>
        <v>% GTC</v>
      </c>
      <c r="I14" s="29" t="str">
        <f>IFERROR(__xludf.DUMMYFUNCTION("""COMPUTED_VALUE"""),"Volume")</f>
        <v>Volume</v>
      </c>
      <c r="J14" s="30" t="str">
        <f>IFERROR(__xludf.DUMMYFUNCTION("""COMPUTED_VALUE"""),"% Gán")</f>
        <v>% Gán</v>
      </c>
      <c r="K14" s="30" t="str">
        <f>IFERROR(__xludf.DUMMYFUNCTION("""COMPUTED_VALUE"""),"% GTC")</f>
        <v>% GTC</v>
      </c>
      <c r="L14" s="29" t="str">
        <f>IFERROR(__xludf.DUMMYFUNCTION("""COMPUTED_VALUE"""),"Volume")</f>
        <v>Volume</v>
      </c>
      <c r="M14" s="30" t="str">
        <f>IFERROR(__xludf.DUMMYFUNCTION("""COMPUTED_VALUE"""),"% Gán")</f>
        <v>% Gán</v>
      </c>
      <c r="N14" s="31" t="str">
        <f>IFERROR(__xludf.DUMMYFUNCTION("""COMPUTED_VALUE"""),"% GTC")</f>
        <v>% GTC</v>
      </c>
      <c r="O14" s="26"/>
      <c r="P14" s="26"/>
    </row>
    <row r="15" ht="23.25" customHeight="1">
      <c r="A15" s="4"/>
      <c r="B15" s="32" t="str">
        <f>IFERROR(__xludf.DUMMYFUNCTION("""COMPUTED_VALUE"""),"Nguyễn  Ngọc Hà")</f>
        <v>Nguyễn  Ngọc Hà</v>
      </c>
      <c r="C15" s="33">
        <f>IFERROR(__xludf.DUMMYFUNCTION("""COMPUTED_VALUE"""),1037.0)</f>
        <v>1037</v>
      </c>
      <c r="D15" s="34">
        <f>IFERROR(__xludf.DUMMYFUNCTION("""COMPUTED_VALUE"""),0.9816779170684667)</f>
        <v>0.9816779171</v>
      </c>
      <c r="E15" s="34">
        <f>IFERROR(__xludf.DUMMYFUNCTION("""COMPUTED_VALUE"""),0.7868852459016393)</f>
        <v>0.7868852459</v>
      </c>
      <c r="F15" s="33">
        <f>IFERROR(__xludf.DUMMYFUNCTION("""COMPUTED_VALUE"""),735.0)</f>
        <v>735</v>
      </c>
      <c r="G15" s="34">
        <f>IFERROR(__xludf.DUMMYFUNCTION("""COMPUTED_VALUE"""),0.48435374149659866)</f>
        <v>0.4843537415</v>
      </c>
      <c r="H15" s="34">
        <f>IFERROR(__xludf.DUMMYFUNCTION("""COMPUTED_VALUE"""),0.3782312925170068)</f>
        <v>0.3782312925</v>
      </c>
      <c r="I15" s="33">
        <f>IFERROR(__xludf.DUMMYFUNCTION("""COMPUTED_VALUE"""),882.0)</f>
        <v>882</v>
      </c>
      <c r="J15" s="34">
        <f>IFERROR(__xludf.DUMMYFUNCTION("""COMPUTED_VALUE"""),0.937641723356009)</f>
        <v>0.9376417234</v>
      </c>
      <c r="K15" s="34">
        <f>IFERROR(__xludf.DUMMYFUNCTION("""COMPUTED_VALUE"""),0.5192743764172335)</f>
        <v>0.5192743764</v>
      </c>
      <c r="L15" s="33">
        <f>IFERROR(__xludf.DUMMYFUNCTION("""COMPUTED_VALUE"""),2654.0)</f>
        <v>2654</v>
      </c>
      <c r="M15" s="34">
        <f>IFERROR(__xludf.DUMMYFUNCTION("""COMPUTED_VALUE"""),0.8293142426525999)</f>
        <v>0.8293142427</v>
      </c>
      <c r="N15" s="35">
        <f>IFERROR(__xludf.DUMMYFUNCTION("""COMPUTED_VALUE"""),0.584777694046722)</f>
        <v>0.584777694</v>
      </c>
      <c r="O15" s="26"/>
      <c r="P15" s="26"/>
    </row>
    <row r="16" ht="23.25" customHeight="1">
      <c r="A16" s="4"/>
      <c r="B16" s="32" t="str">
        <f>IFERROR(__xludf.DUMMYFUNCTION("""COMPUTED_VALUE"""),"Nguyễn Thị Bảo Nhi")</f>
        <v>Nguyễn Thị Bảo Nhi</v>
      </c>
      <c r="C16" s="33">
        <f>IFERROR(__xludf.DUMMYFUNCTION("""COMPUTED_VALUE"""),1893.0)</f>
        <v>1893</v>
      </c>
      <c r="D16" s="34">
        <f>IFERROR(__xludf.DUMMYFUNCTION("""COMPUTED_VALUE"""),0.9260433174854728)</f>
        <v>0.9260433175</v>
      </c>
      <c r="E16" s="34">
        <f>IFERROR(__xludf.DUMMYFUNCTION("""COMPUTED_VALUE"""),0.7527733755942948)</f>
        <v>0.7527733756</v>
      </c>
      <c r="F16" s="33">
        <f>IFERROR(__xludf.DUMMYFUNCTION("""COMPUTED_VALUE"""),616.0)</f>
        <v>616</v>
      </c>
      <c r="G16" s="34">
        <f>IFERROR(__xludf.DUMMYFUNCTION("""COMPUTED_VALUE"""),0.6298701298701299)</f>
        <v>0.6298701299</v>
      </c>
      <c r="H16" s="34">
        <f>IFERROR(__xludf.DUMMYFUNCTION("""COMPUTED_VALUE"""),0.44155844155844154)</f>
        <v>0.4415584416</v>
      </c>
      <c r="I16" s="33">
        <f>IFERROR(__xludf.DUMMYFUNCTION("""COMPUTED_VALUE"""),1126.0)</f>
        <v>1126</v>
      </c>
      <c r="J16" s="34">
        <f>IFERROR(__xludf.DUMMYFUNCTION("""COMPUTED_VALUE"""),0.8197158081705151)</f>
        <v>0.8197158082</v>
      </c>
      <c r="K16" s="34">
        <f>IFERROR(__xludf.DUMMYFUNCTION("""COMPUTED_VALUE"""),0.4280639431616341)</f>
        <v>0.4280639432</v>
      </c>
      <c r="L16" s="33">
        <f>IFERROR(__xludf.DUMMYFUNCTION("""COMPUTED_VALUE"""),3635.0)</f>
        <v>3635</v>
      </c>
      <c r="M16" s="34">
        <f>IFERROR(__xludf.DUMMYFUNCTION("""COMPUTED_VALUE"""),0.8429160935350757)</f>
        <v>0.8429160935</v>
      </c>
      <c r="N16" s="35">
        <f>IFERROR(__xludf.DUMMYFUNCTION("""COMPUTED_VALUE"""),0.5994497936726272)</f>
        <v>0.5994497937</v>
      </c>
      <c r="O16" s="26"/>
      <c r="P16" s="26"/>
    </row>
    <row r="17" ht="23.25" customHeight="1">
      <c r="A17" s="4"/>
      <c r="B17" s="32" t="str">
        <f>IFERROR(__xludf.DUMMYFUNCTION("""COMPUTED_VALUE"""),"Nguyễn Văn Sáng")</f>
        <v>Nguyễn Văn Sáng</v>
      </c>
      <c r="C17" s="33">
        <f>IFERROR(__xludf.DUMMYFUNCTION("""COMPUTED_VALUE"""),2834.0)</f>
        <v>2834</v>
      </c>
      <c r="D17" s="34">
        <f>IFERROR(__xludf.DUMMYFUNCTION("""COMPUTED_VALUE"""),0.9453069865913902)</f>
        <v>0.9453069866</v>
      </c>
      <c r="E17" s="34">
        <f>IFERROR(__xludf.DUMMYFUNCTION("""COMPUTED_VALUE"""),0.7544107268877911)</f>
        <v>0.7544107269</v>
      </c>
      <c r="F17" s="33">
        <f>IFERROR(__xludf.DUMMYFUNCTION("""COMPUTED_VALUE"""),1085.0)</f>
        <v>1085</v>
      </c>
      <c r="G17" s="34">
        <f>IFERROR(__xludf.DUMMYFUNCTION("""COMPUTED_VALUE"""),0.5953917050691244)</f>
        <v>0.5953917051</v>
      </c>
      <c r="H17" s="34">
        <f>IFERROR(__xludf.DUMMYFUNCTION("""COMPUTED_VALUE"""),0.4976958525345622)</f>
        <v>0.4976958525</v>
      </c>
      <c r="I17" s="33">
        <f>IFERROR(__xludf.DUMMYFUNCTION("""COMPUTED_VALUE"""),1498.0)</f>
        <v>1498</v>
      </c>
      <c r="J17" s="34">
        <f>IFERROR(__xludf.DUMMYFUNCTION("""COMPUTED_VALUE"""),0.9846461949265688)</f>
        <v>0.9846461949</v>
      </c>
      <c r="K17" s="34">
        <f>IFERROR(__xludf.DUMMYFUNCTION("""COMPUTED_VALUE"""),0.4779706275033378)</f>
        <v>0.4779706275</v>
      </c>
      <c r="L17" s="33">
        <f>IFERROR(__xludf.DUMMYFUNCTION("""COMPUTED_VALUE"""),5417.0)</f>
        <v>5417</v>
      </c>
      <c r="M17" s="34">
        <f>IFERROR(__xludf.DUMMYFUNCTION("""COMPUTED_VALUE"""),0.8860993169651098)</f>
        <v>0.886099317</v>
      </c>
      <c r="N17" s="35">
        <f>IFERROR(__xludf.DUMMYFUNCTION("""COMPUTED_VALUE"""),0.6265460587040798)</f>
        <v>0.6265460587</v>
      </c>
      <c r="O17" s="26"/>
      <c r="P17" s="26"/>
    </row>
    <row r="18" ht="23.25" customHeight="1">
      <c r="A18" s="4"/>
      <c r="B18" s="32" t="str">
        <f>IFERROR(__xludf.DUMMYFUNCTION("""COMPUTED_VALUE"""),"Lê Văn Tài")</f>
        <v>Lê Văn Tài</v>
      </c>
      <c r="C18" s="33">
        <f>IFERROR(__xludf.DUMMYFUNCTION("""COMPUTED_VALUE"""),2292.0)</f>
        <v>2292</v>
      </c>
      <c r="D18" s="34">
        <f>IFERROR(__xludf.DUMMYFUNCTION("""COMPUTED_VALUE"""),0.9476439790575916)</f>
        <v>0.9476439791</v>
      </c>
      <c r="E18" s="34">
        <f>IFERROR(__xludf.DUMMYFUNCTION("""COMPUTED_VALUE"""),0.7216404886561955)</f>
        <v>0.7216404887</v>
      </c>
      <c r="F18" s="33">
        <f>IFERROR(__xludf.DUMMYFUNCTION("""COMPUTED_VALUE"""),237.0)</f>
        <v>237</v>
      </c>
      <c r="G18" s="34">
        <f>IFERROR(__xludf.DUMMYFUNCTION("""COMPUTED_VALUE"""),0.9873417721518988)</f>
        <v>0.9873417722</v>
      </c>
      <c r="H18" s="34">
        <f>IFERROR(__xludf.DUMMYFUNCTION("""COMPUTED_VALUE"""),0.8354430379746836)</f>
        <v>0.835443038</v>
      </c>
      <c r="I18" s="33">
        <f>IFERROR(__xludf.DUMMYFUNCTION("""COMPUTED_VALUE"""),1105.0)</f>
        <v>1105</v>
      </c>
      <c r="J18" s="34">
        <f>IFERROR(__xludf.DUMMYFUNCTION("""COMPUTED_VALUE"""),0.8733031674208145)</f>
        <v>0.8733031674</v>
      </c>
      <c r="K18" s="34">
        <f>IFERROR(__xludf.DUMMYFUNCTION("""COMPUTED_VALUE"""),0.4099547511312217)</f>
        <v>0.4099547511</v>
      </c>
      <c r="L18" s="33">
        <f>IFERROR(__xludf.DUMMYFUNCTION("""COMPUTED_VALUE"""),3634.0)</f>
        <v>3634</v>
      </c>
      <c r="M18" s="34">
        <f>IFERROR(__xludf.DUMMYFUNCTION("""COMPUTED_VALUE"""),0.9276279581728123)</f>
        <v>0.9276279582</v>
      </c>
      <c r="N18" s="35">
        <f>IFERROR(__xludf.DUMMYFUNCTION("""COMPUTED_VALUE"""),0.6342872867363787)</f>
        <v>0.6342872867</v>
      </c>
      <c r="O18" s="26"/>
      <c r="P18" s="26"/>
    </row>
    <row r="19" ht="23.25" customHeight="1">
      <c r="A19" s="4"/>
      <c r="B19" s="32" t="str">
        <f>IFERROR(__xludf.DUMMYFUNCTION("""COMPUTED_VALUE"""),"Mai Đức Hoàng Long")</f>
        <v>Mai Đức Hoàng Long</v>
      </c>
      <c r="C19" s="33">
        <f>IFERROR(__xludf.DUMMYFUNCTION("""COMPUTED_VALUE"""),1073.0)</f>
        <v>1073</v>
      </c>
      <c r="D19" s="34">
        <f>IFERROR(__xludf.DUMMYFUNCTION("""COMPUTED_VALUE"""),0.994408201304753)</f>
        <v>0.9944082013</v>
      </c>
      <c r="E19" s="34">
        <f>IFERROR(__xludf.DUMMYFUNCTION("""COMPUTED_VALUE"""),0.766076421248835)</f>
        <v>0.7660764212</v>
      </c>
      <c r="F19" s="33"/>
      <c r="G19" s="36"/>
      <c r="H19" s="36"/>
      <c r="I19" s="33">
        <f>IFERROR(__xludf.DUMMYFUNCTION("""COMPUTED_VALUE"""),542.0)</f>
        <v>542</v>
      </c>
      <c r="J19" s="34">
        <f>IFERROR(__xludf.DUMMYFUNCTION("""COMPUTED_VALUE"""),0.959409594095941)</f>
        <v>0.9594095941</v>
      </c>
      <c r="K19" s="34">
        <f>IFERROR(__xludf.DUMMYFUNCTION("""COMPUTED_VALUE"""),0.48523985239852396)</f>
        <v>0.4852398524</v>
      </c>
      <c r="L19" s="33">
        <f>IFERROR(__xludf.DUMMYFUNCTION("""COMPUTED_VALUE"""),1615.0)</f>
        <v>1615</v>
      </c>
      <c r="M19" s="34">
        <f>IFERROR(__xludf.DUMMYFUNCTION("""COMPUTED_VALUE"""),0.9826625386996904)</f>
        <v>0.9826625387</v>
      </c>
      <c r="N19" s="35">
        <f>IFERROR(__xludf.DUMMYFUNCTION("""COMPUTED_VALUE"""),0.6718266253869969)</f>
        <v>0.6718266254</v>
      </c>
      <c r="O19" s="26"/>
      <c r="P19" s="26"/>
    </row>
    <row r="20" ht="23.25" customHeight="1">
      <c r="A20" s="4"/>
      <c r="B20" s="32" t="str">
        <f>IFERROR(__xludf.DUMMYFUNCTION("""COMPUTED_VALUE"""),"Nguyễn  Hoàng Anh ")</f>
        <v>Nguyễn  Hoàng Anh </v>
      </c>
      <c r="C20" s="33">
        <f>IFERROR(__xludf.DUMMYFUNCTION("""COMPUTED_VALUE"""),1950.0)</f>
        <v>1950</v>
      </c>
      <c r="D20" s="34">
        <f>IFERROR(__xludf.DUMMYFUNCTION("""COMPUTED_VALUE"""),0.9933333333333333)</f>
        <v>0.9933333333</v>
      </c>
      <c r="E20" s="34">
        <f>IFERROR(__xludf.DUMMYFUNCTION("""COMPUTED_VALUE"""),0.7928205128205128)</f>
        <v>0.7928205128</v>
      </c>
      <c r="F20" s="33">
        <f>IFERROR(__xludf.DUMMYFUNCTION("""COMPUTED_VALUE"""),347.0)</f>
        <v>347</v>
      </c>
      <c r="G20" s="34">
        <f>IFERROR(__xludf.DUMMYFUNCTION("""COMPUTED_VALUE"""),0.7982708933717579)</f>
        <v>0.7982708934</v>
      </c>
      <c r="H20" s="34">
        <f>IFERROR(__xludf.DUMMYFUNCTION("""COMPUTED_VALUE"""),0.6397694524495677)</f>
        <v>0.6397694524</v>
      </c>
      <c r="I20" s="33">
        <f>IFERROR(__xludf.DUMMYFUNCTION("""COMPUTED_VALUE"""),801.0)</f>
        <v>801</v>
      </c>
      <c r="J20" s="34">
        <f>IFERROR(__xludf.DUMMYFUNCTION("""COMPUTED_VALUE"""),0.9725343320848939)</f>
        <v>0.9725343321</v>
      </c>
      <c r="K20" s="34">
        <f>IFERROR(__xludf.DUMMYFUNCTION("""COMPUTED_VALUE"""),0.41697877652933835)</f>
        <v>0.4169787765</v>
      </c>
      <c r="L20" s="33">
        <f>IFERROR(__xludf.DUMMYFUNCTION("""COMPUTED_VALUE"""),3098.0)</f>
        <v>3098</v>
      </c>
      <c r="M20" s="34">
        <f>IFERROR(__xludf.DUMMYFUNCTION("""COMPUTED_VALUE"""),0.9661071659134925)</f>
        <v>0.9661071659</v>
      </c>
      <c r="N20" s="35">
        <f>IFERROR(__xludf.DUMMYFUNCTION("""COMPUTED_VALUE"""),0.6785022595222724)</f>
        <v>0.6785022595</v>
      </c>
      <c r="O20" s="26"/>
      <c r="P20" s="26"/>
    </row>
    <row r="21" ht="23.25" customHeight="1">
      <c r="A21" s="4"/>
      <c r="B21" s="32" t="str">
        <f>IFERROR(__xludf.DUMMYFUNCTION("""COMPUTED_VALUE"""),"Nguyễn Công Luận")</f>
        <v>Nguyễn Công Luận</v>
      </c>
      <c r="C21" s="33">
        <f>IFERROR(__xludf.DUMMYFUNCTION("""COMPUTED_VALUE"""),2840.0)</f>
        <v>2840</v>
      </c>
      <c r="D21" s="34">
        <f>IFERROR(__xludf.DUMMYFUNCTION("""COMPUTED_VALUE"""),0.9975352112676056)</f>
        <v>0.9975352113</v>
      </c>
      <c r="E21" s="34">
        <f>IFERROR(__xludf.DUMMYFUNCTION("""COMPUTED_VALUE"""),0.8172535211267605)</f>
        <v>0.8172535211</v>
      </c>
      <c r="F21" s="33">
        <f>IFERROR(__xludf.DUMMYFUNCTION("""COMPUTED_VALUE"""),47.0)</f>
        <v>47</v>
      </c>
      <c r="G21" s="34">
        <f>IFERROR(__xludf.DUMMYFUNCTION("""COMPUTED_VALUE"""),0.851063829787234)</f>
        <v>0.8510638298</v>
      </c>
      <c r="H21" s="34">
        <f>IFERROR(__xludf.DUMMYFUNCTION("""COMPUTED_VALUE"""),0.5957446808510638)</f>
        <v>0.5957446809</v>
      </c>
      <c r="I21" s="33">
        <f>IFERROR(__xludf.DUMMYFUNCTION("""COMPUTED_VALUE"""),768.0)</f>
        <v>768</v>
      </c>
      <c r="J21" s="34">
        <f>IFERROR(__xludf.DUMMYFUNCTION("""COMPUTED_VALUE"""),0.9270833333333334)</f>
        <v>0.9270833333</v>
      </c>
      <c r="K21" s="34">
        <f>IFERROR(__xludf.DUMMYFUNCTION("""COMPUTED_VALUE"""),0.3697916666666667)</f>
        <v>0.3697916667</v>
      </c>
      <c r="L21" s="33">
        <f>IFERROR(__xludf.DUMMYFUNCTION("""COMPUTED_VALUE"""),3655.0)</f>
        <v>3655</v>
      </c>
      <c r="M21" s="34">
        <f>IFERROR(__xludf.DUMMYFUNCTION("""COMPUTED_VALUE"""),0.9808481532147743)</f>
        <v>0.9808481532</v>
      </c>
      <c r="N21" s="35">
        <f>IFERROR(__xludf.DUMMYFUNCTION("""COMPUTED_VALUE"""),0.7203830369357045)</f>
        <v>0.7203830369</v>
      </c>
      <c r="O21" s="26"/>
      <c r="P21" s="26"/>
    </row>
    <row r="22" ht="23.25" customHeight="1">
      <c r="A22" s="4"/>
      <c r="B22" s="32" t="str">
        <f>IFERROR(__xludf.DUMMYFUNCTION("""COMPUTED_VALUE"""),"Ngô  Thị Bích Trâm ")</f>
        <v>Ngô  Thị Bích Trâm </v>
      </c>
      <c r="C22" s="33">
        <f>IFERROR(__xludf.DUMMYFUNCTION("""COMPUTED_VALUE"""),2553.0)</f>
        <v>2553</v>
      </c>
      <c r="D22" s="34">
        <f>IFERROR(__xludf.DUMMYFUNCTION("""COMPUTED_VALUE"""),0.9952996474735605)</f>
        <v>0.9952996475</v>
      </c>
      <c r="E22" s="34">
        <f>IFERROR(__xludf.DUMMYFUNCTION("""COMPUTED_VALUE"""),0.8198198198198198)</f>
        <v>0.8198198198</v>
      </c>
      <c r="F22" s="33">
        <f>IFERROR(__xludf.DUMMYFUNCTION("""COMPUTED_VALUE"""),129.0)</f>
        <v>129</v>
      </c>
      <c r="G22" s="34">
        <f>IFERROR(__xludf.DUMMYFUNCTION("""COMPUTED_VALUE"""),0.9922480620155039)</f>
        <v>0.992248062</v>
      </c>
      <c r="H22" s="34">
        <f>IFERROR(__xludf.DUMMYFUNCTION("""COMPUTED_VALUE"""),0.9069767441860465)</f>
        <v>0.9069767442</v>
      </c>
      <c r="I22" s="33">
        <f>IFERROR(__xludf.DUMMYFUNCTION("""COMPUTED_VALUE"""),465.0)</f>
        <v>465</v>
      </c>
      <c r="J22" s="34">
        <f>IFERROR(__xludf.DUMMYFUNCTION("""COMPUTED_VALUE"""),0.9548387096774194)</f>
        <v>0.9548387097</v>
      </c>
      <c r="K22" s="34">
        <f>IFERROR(__xludf.DUMMYFUNCTION("""COMPUTED_VALUE"""),0.4021505376344086)</f>
        <v>0.4021505376</v>
      </c>
      <c r="L22" s="33">
        <f>IFERROR(__xludf.DUMMYFUNCTION("""COMPUTED_VALUE"""),3147.0)</f>
        <v>3147</v>
      </c>
      <c r="M22" s="34">
        <f>IFERROR(__xludf.DUMMYFUNCTION("""COMPUTED_VALUE"""),0.9891960597394344)</f>
        <v>0.9891960597</v>
      </c>
      <c r="N22" s="35">
        <f>IFERROR(__xludf.DUMMYFUNCTION("""COMPUTED_VALUE"""),0.7616777883698761)</f>
        <v>0.7616777884</v>
      </c>
      <c r="O22" s="26"/>
      <c r="P22" s="26"/>
    </row>
    <row r="23" ht="23.25" customHeight="1">
      <c r="A23" s="4"/>
      <c r="B23" s="32" t="str">
        <f>IFERROR(__xludf.DUMMYFUNCTION("""COMPUTED_VALUE"""),"Huỳnh Thị Mới ")</f>
        <v>Huỳnh Thị Mới </v>
      </c>
      <c r="C23" s="33">
        <f>IFERROR(__xludf.DUMMYFUNCTION("""COMPUTED_VALUE"""),3467.0)</f>
        <v>3467</v>
      </c>
      <c r="D23" s="34">
        <f>IFERROR(__xludf.DUMMYFUNCTION("""COMPUTED_VALUE"""),0.9971156619555812)</f>
        <v>0.997115662</v>
      </c>
      <c r="E23" s="34">
        <f>IFERROR(__xludf.DUMMYFUNCTION("""COMPUTED_VALUE"""),0.8329968272281512)</f>
        <v>0.8329968272</v>
      </c>
      <c r="F23" s="33">
        <f>IFERROR(__xludf.DUMMYFUNCTION("""COMPUTED_VALUE"""),280.0)</f>
        <v>280</v>
      </c>
      <c r="G23" s="34">
        <f>IFERROR(__xludf.DUMMYFUNCTION("""COMPUTED_VALUE"""),0.5928571428571429)</f>
        <v>0.5928571429</v>
      </c>
      <c r="H23" s="34">
        <f>IFERROR(__xludf.DUMMYFUNCTION("""COMPUTED_VALUE"""),0.4857142857142857)</f>
        <v>0.4857142857</v>
      </c>
      <c r="I23" s="33">
        <f>IFERROR(__xludf.DUMMYFUNCTION("""COMPUTED_VALUE"""),675.0)</f>
        <v>675</v>
      </c>
      <c r="J23" s="34">
        <f>IFERROR(__xludf.DUMMYFUNCTION("""COMPUTED_VALUE"""),0.9822222222222222)</f>
        <v>0.9822222222</v>
      </c>
      <c r="K23" s="34">
        <f>IFERROR(__xludf.DUMMYFUNCTION("""COMPUTED_VALUE"""),0.5185185185185185)</f>
        <v>0.5185185185</v>
      </c>
      <c r="L23" s="33">
        <f>IFERROR(__xludf.DUMMYFUNCTION("""COMPUTED_VALUE"""),4422.0)</f>
        <v>4422</v>
      </c>
      <c r="M23" s="34">
        <f>IFERROR(__xludf.DUMMYFUNCTION("""COMPUTED_VALUE"""),0.9692446856625961)</f>
        <v>0.9692446857</v>
      </c>
      <c r="N23" s="35">
        <f>IFERROR(__xludf.DUMMYFUNCTION("""COMPUTED_VALUE"""),0.7630031659882406)</f>
        <v>0.763003166</v>
      </c>
      <c r="O23" s="26"/>
      <c r="P23" s="26"/>
    </row>
    <row r="24" ht="23.25" customHeight="1">
      <c r="A24" s="4"/>
      <c r="B24" s="32" t="str">
        <f>IFERROR(__xludf.DUMMYFUNCTION("""COMPUTED_VALUE"""),"Phan Thị Mỹ Chi")</f>
        <v>Phan Thị Mỹ Chi</v>
      </c>
      <c r="C24" s="33">
        <f>IFERROR(__xludf.DUMMYFUNCTION("""COMPUTED_VALUE"""),2099.0)</f>
        <v>2099</v>
      </c>
      <c r="D24" s="34">
        <f>IFERROR(__xludf.DUMMYFUNCTION("""COMPUTED_VALUE"""),0.993806574559314)</f>
        <v>0.9938065746</v>
      </c>
      <c r="E24" s="34">
        <f>IFERROR(__xludf.DUMMYFUNCTION("""COMPUTED_VALUE"""),0.8418294425917103)</f>
        <v>0.8418294426</v>
      </c>
      <c r="F24" s="33">
        <f>IFERROR(__xludf.DUMMYFUNCTION("""COMPUTED_VALUE"""),119.0)</f>
        <v>119</v>
      </c>
      <c r="G24" s="34">
        <f>IFERROR(__xludf.DUMMYFUNCTION("""COMPUTED_VALUE"""),0.9915966386554622)</f>
        <v>0.9915966387</v>
      </c>
      <c r="H24" s="34">
        <f>IFERROR(__xludf.DUMMYFUNCTION("""COMPUTED_VALUE"""),0.8403361344537815)</f>
        <v>0.8403361345</v>
      </c>
      <c r="I24" s="33">
        <f>IFERROR(__xludf.DUMMYFUNCTION("""COMPUTED_VALUE"""),362.0)</f>
        <v>362</v>
      </c>
      <c r="J24" s="34">
        <f>IFERROR(__xludf.DUMMYFUNCTION("""COMPUTED_VALUE"""),0.9640883977900553)</f>
        <v>0.9640883978</v>
      </c>
      <c r="K24" s="34">
        <f>IFERROR(__xludf.DUMMYFUNCTION("""COMPUTED_VALUE"""),0.3701657458563536)</f>
        <v>0.3701657459</v>
      </c>
      <c r="L24" s="33">
        <f>IFERROR(__xludf.DUMMYFUNCTION("""COMPUTED_VALUE"""),2580.0)</f>
        <v>2580</v>
      </c>
      <c r="M24" s="34">
        <f>IFERROR(__xludf.DUMMYFUNCTION("""COMPUTED_VALUE"""),0.9895348837209302)</f>
        <v>0.9895348837</v>
      </c>
      <c r="N24" s="35">
        <f>IFERROR(__xludf.DUMMYFUNCTION("""COMPUTED_VALUE"""),0.7755813953488372)</f>
        <v>0.7755813953</v>
      </c>
      <c r="O24" s="26"/>
      <c r="P24" s="26"/>
    </row>
    <row r="25" ht="23.25" customHeight="1">
      <c r="A25" s="4"/>
      <c r="B25" s="37" t="str">
        <f>IFERROR(__xludf.DUMMYFUNCTION("""COMPUTED_VALUE"""),"Phan Thanh Thức")</f>
        <v>Phan Thanh Thức</v>
      </c>
      <c r="C25" s="38">
        <f>IFERROR(__xludf.DUMMYFUNCTION("""COMPUTED_VALUE"""),5372.0)</f>
        <v>5372</v>
      </c>
      <c r="D25" s="39">
        <f>IFERROR(__xludf.DUMMYFUNCTION("""COMPUTED_VALUE"""),0.9970215934475056)</f>
        <v>0.9970215934</v>
      </c>
      <c r="E25" s="39">
        <f>IFERROR(__xludf.DUMMYFUNCTION("""COMPUTED_VALUE"""),0.8629932985852569)</f>
        <v>0.8629932986</v>
      </c>
      <c r="F25" s="38">
        <f>IFERROR(__xludf.DUMMYFUNCTION("""COMPUTED_VALUE"""),497.0)</f>
        <v>497</v>
      </c>
      <c r="G25" s="39">
        <f>IFERROR(__xludf.DUMMYFUNCTION("""COMPUTED_VALUE"""),0.8551307847082495)</f>
        <v>0.8551307847</v>
      </c>
      <c r="H25" s="39">
        <f>IFERROR(__xludf.DUMMYFUNCTION("""COMPUTED_VALUE"""),0.6539235412474849)</f>
        <v>0.6539235412</v>
      </c>
      <c r="I25" s="38">
        <f>IFERROR(__xludf.DUMMYFUNCTION("""COMPUTED_VALUE"""),853.0)</f>
        <v>853</v>
      </c>
      <c r="J25" s="39">
        <f>IFERROR(__xludf.DUMMYFUNCTION("""COMPUTED_VALUE"""),0.9800703399765534)</f>
        <v>0.98007034</v>
      </c>
      <c r="K25" s="39">
        <f>IFERROR(__xludf.DUMMYFUNCTION("""COMPUTED_VALUE"""),0.4490035169988277)</f>
        <v>0.449003517</v>
      </c>
      <c r="L25" s="38">
        <f>IFERROR(__xludf.DUMMYFUNCTION("""COMPUTED_VALUE"""),6722.0)</f>
        <v>6722</v>
      </c>
      <c r="M25" s="39">
        <f>IFERROR(__xludf.DUMMYFUNCTION("""COMPUTED_VALUE"""),0.9843796489140136)</f>
        <v>0.9843796489</v>
      </c>
      <c r="N25" s="40">
        <f>IFERROR(__xludf.DUMMYFUNCTION("""COMPUTED_VALUE"""),0.7950014876524844)</f>
        <v>0.7950014877</v>
      </c>
      <c r="O25" s="4"/>
      <c r="P25" s="4"/>
    </row>
    <row r="26" ht="23.25" customHeight="1">
      <c r="A26" s="4"/>
      <c r="B26" s="37" t="str">
        <f>IFERROR(__xludf.DUMMYFUNCTION("""COMPUTED_VALUE"""),"Nguyễn Đình Trung")</f>
        <v>Nguyễn Đình Trung</v>
      </c>
      <c r="C26" s="38">
        <f>IFERROR(__xludf.DUMMYFUNCTION("""COMPUTED_VALUE"""),2565.0)</f>
        <v>2565</v>
      </c>
      <c r="D26" s="39">
        <f>IFERROR(__xludf.DUMMYFUNCTION("""COMPUTED_VALUE"""),0.9929824561403509)</f>
        <v>0.9929824561</v>
      </c>
      <c r="E26" s="39">
        <f>IFERROR(__xludf.DUMMYFUNCTION("""COMPUTED_VALUE"""),0.8744639376218324)</f>
        <v>0.8744639376</v>
      </c>
      <c r="F26" s="38">
        <f>IFERROR(__xludf.DUMMYFUNCTION("""COMPUTED_VALUE"""),136.0)</f>
        <v>136</v>
      </c>
      <c r="G26" s="39">
        <f>IFERROR(__xludf.DUMMYFUNCTION("""COMPUTED_VALUE"""),0.9852941176470589)</f>
        <v>0.9852941176</v>
      </c>
      <c r="H26" s="39">
        <f>IFERROR(__xludf.DUMMYFUNCTION("""COMPUTED_VALUE"""),0.8529411764705882)</f>
        <v>0.8529411765</v>
      </c>
      <c r="I26" s="38">
        <f>IFERROR(__xludf.DUMMYFUNCTION("""COMPUTED_VALUE"""),394.0)</f>
        <v>394</v>
      </c>
      <c r="J26" s="39">
        <f>IFERROR(__xludf.DUMMYFUNCTION("""COMPUTED_VALUE"""),0.9593908629441624)</f>
        <v>0.9593908629</v>
      </c>
      <c r="K26" s="39">
        <f>IFERROR(__xludf.DUMMYFUNCTION("""COMPUTED_VALUE"""),0.3401015228426396)</f>
        <v>0.3401015228</v>
      </c>
      <c r="L26" s="38">
        <f>IFERROR(__xludf.DUMMYFUNCTION("""COMPUTED_VALUE"""),3095.0)</f>
        <v>3095</v>
      </c>
      <c r="M26" s="39">
        <f>IFERROR(__xludf.DUMMYFUNCTION("""COMPUTED_VALUE"""),0.9883683360258482)</f>
        <v>0.988368336</v>
      </c>
      <c r="N26" s="40">
        <f>IFERROR(__xludf.DUMMYFUNCTION("""COMPUTED_VALUE"""),0.8054927302100161)</f>
        <v>0.8054927302</v>
      </c>
      <c r="O26" s="4"/>
      <c r="P26" s="4"/>
    </row>
    <row r="27" ht="23.25" customHeight="1">
      <c r="A27" s="4"/>
      <c r="B27" s="41" t="str">
        <f>IFERROR(__xludf.DUMMYFUNCTION("""COMPUTED_VALUE"""),"Trần Nhật Thương")</f>
        <v>Trần Nhật Thương</v>
      </c>
      <c r="C27" s="38">
        <f>IFERROR(__xludf.DUMMYFUNCTION("""COMPUTED_VALUE"""),2958.0)</f>
        <v>2958</v>
      </c>
      <c r="D27" s="39">
        <f>IFERROR(__xludf.DUMMYFUNCTION("""COMPUTED_VALUE"""),0.9979716024340771)</f>
        <v>0.9979716024</v>
      </c>
      <c r="E27" s="39">
        <f>IFERROR(__xludf.DUMMYFUNCTION("""COMPUTED_VALUE"""),0.8860716700473292)</f>
        <v>0.88607167</v>
      </c>
      <c r="F27" s="38">
        <f>IFERROR(__xludf.DUMMYFUNCTION("""COMPUTED_VALUE"""),238.0)</f>
        <v>238</v>
      </c>
      <c r="G27" s="39">
        <f>IFERROR(__xludf.DUMMYFUNCTION("""COMPUTED_VALUE"""),0.7436974789915967)</f>
        <v>0.743697479</v>
      </c>
      <c r="H27" s="39">
        <f>IFERROR(__xludf.DUMMYFUNCTION("""COMPUTED_VALUE"""),0.5798319327731093)</f>
        <v>0.5798319328</v>
      </c>
      <c r="I27" s="38">
        <f>IFERROR(__xludf.DUMMYFUNCTION("""COMPUTED_VALUE"""),419.0)</f>
        <v>419</v>
      </c>
      <c r="J27" s="39">
        <f>IFERROR(__xludf.DUMMYFUNCTION("""COMPUTED_VALUE"""),0.9832935560859188)</f>
        <v>0.9832935561</v>
      </c>
      <c r="K27" s="39">
        <f>IFERROR(__xludf.DUMMYFUNCTION("""COMPUTED_VALUE"""),0.5250596658711217)</f>
        <v>0.5250596659</v>
      </c>
      <c r="L27" s="38">
        <f>IFERROR(__xludf.DUMMYFUNCTION("""COMPUTED_VALUE"""),3615.0)</f>
        <v>3615</v>
      </c>
      <c r="M27" s="39">
        <f>IFERROR(__xludf.DUMMYFUNCTION("""COMPUTED_VALUE"""),0.9795297372060857)</f>
        <v>0.9795297372</v>
      </c>
      <c r="N27" s="42">
        <f>IFERROR(__xludf.DUMMYFUNCTION("""COMPUTED_VALUE"""),0.8240663900414937)</f>
        <v>0.82406639</v>
      </c>
      <c r="O27" s="4"/>
      <c r="P27" s="4"/>
    </row>
    <row r="28" ht="23.25" customHeight="1">
      <c r="A28" s="4"/>
      <c r="B28" s="41" t="str">
        <f>IFERROR(__xludf.DUMMYFUNCTION("""COMPUTED_VALUE"""),"Lê Trọng Khiêm")</f>
        <v>Lê Trọng Khiêm</v>
      </c>
      <c r="C28" s="38">
        <f>IFERROR(__xludf.DUMMYFUNCTION("""COMPUTED_VALUE"""),3255.0)</f>
        <v>3255</v>
      </c>
      <c r="D28" s="39">
        <f>IFERROR(__xludf.DUMMYFUNCTION("""COMPUTED_VALUE"""),0.985867895545315)</f>
        <v>0.9858678955</v>
      </c>
      <c r="E28" s="39">
        <f>IFERROR(__xludf.DUMMYFUNCTION("""COMPUTED_VALUE"""),0.8875576036866359)</f>
        <v>0.8875576037</v>
      </c>
      <c r="F28" s="38">
        <f>IFERROR(__xludf.DUMMYFUNCTION("""COMPUTED_VALUE"""),160.0)</f>
        <v>160</v>
      </c>
      <c r="G28" s="39">
        <f>IFERROR(__xludf.DUMMYFUNCTION("""COMPUTED_VALUE"""),0.825)</f>
        <v>0.825</v>
      </c>
      <c r="H28" s="39">
        <f>IFERROR(__xludf.DUMMYFUNCTION("""COMPUTED_VALUE"""),0.725)</f>
        <v>0.725</v>
      </c>
      <c r="I28" s="38">
        <f>IFERROR(__xludf.DUMMYFUNCTION("""COMPUTED_VALUE"""),400.0)</f>
        <v>400</v>
      </c>
      <c r="J28" s="39">
        <f>IFERROR(__xludf.DUMMYFUNCTION("""COMPUTED_VALUE"""),0.9725)</f>
        <v>0.9725</v>
      </c>
      <c r="K28" s="39">
        <f>IFERROR(__xludf.DUMMYFUNCTION("""COMPUTED_VALUE"""),0.3875)</f>
        <v>0.3875</v>
      </c>
      <c r="L28" s="38">
        <f>IFERROR(__xludf.DUMMYFUNCTION("""COMPUTED_VALUE"""),3815.0)</f>
        <v>3815</v>
      </c>
      <c r="M28" s="39">
        <f>IFERROR(__xludf.DUMMYFUNCTION("""COMPUTED_VALUE"""),0.9777195281782438)</f>
        <v>0.9777195282</v>
      </c>
      <c r="N28" s="42">
        <f>IFERROR(__xludf.DUMMYFUNCTION("""COMPUTED_VALUE"""),0.8283093053735255)</f>
        <v>0.8283093054</v>
      </c>
      <c r="O28" s="4"/>
      <c r="P28" s="4"/>
    </row>
    <row r="29" ht="23.25" customHeight="1">
      <c r="A29" s="4"/>
      <c r="B29" s="41" t="str">
        <f>IFERROR(__xludf.DUMMYFUNCTION("""COMPUTED_VALUE"""),"Võ Thanh Diệu ")</f>
        <v>Võ Thanh Diệu </v>
      </c>
      <c r="C29" s="38">
        <f>IFERROR(__xludf.DUMMYFUNCTION("""COMPUTED_VALUE"""),3677.0)</f>
        <v>3677</v>
      </c>
      <c r="D29" s="39">
        <f>IFERROR(__xludf.DUMMYFUNCTION("""COMPUTED_VALUE"""),0.9975523524612456)</f>
        <v>0.9975523525</v>
      </c>
      <c r="E29" s="39">
        <f>IFERROR(__xludf.DUMMYFUNCTION("""COMPUTED_VALUE"""),0.8822409573021485)</f>
        <v>0.8822409573</v>
      </c>
      <c r="F29" s="38">
        <f>IFERROR(__xludf.DUMMYFUNCTION("""COMPUTED_VALUE"""),297.0)</f>
        <v>297</v>
      </c>
      <c r="G29" s="39">
        <f>IFERROR(__xludf.DUMMYFUNCTION("""COMPUTED_VALUE"""),0.8888888888888888)</f>
        <v>0.8888888889</v>
      </c>
      <c r="H29" s="39">
        <f>IFERROR(__xludf.DUMMYFUNCTION("""COMPUTED_VALUE"""),0.7070707070707071)</f>
        <v>0.7070707071</v>
      </c>
      <c r="I29" s="38">
        <f>IFERROR(__xludf.DUMMYFUNCTION("""COMPUTED_VALUE"""),408.0)</f>
        <v>408</v>
      </c>
      <c r="J29" s="39">
        <f>IFERROR(__xludf.DUMMYFUNCTION("""COMPUTED_VALUE"""),0.9950980392156863)</f>
        <v>0.9950980392</v>
      </c>
      <c r="K29" s="39">
        <f>IFERROR(__xludf.DUMMYFUNCTION("""COMPUTED_VALUE"""),0.47794117647058826)</f>
        <v>0.4779411765</v>
      </c>
      <c r="L29" s="38">
        <f>IFERROR(__xludf.DUMMYFUNCTION("""COMPUTED_VALUE"""),4382.0)</f>
        <v>4382</v>
      </c>
      <c r="M29" s="39">
        <f>IFERROR(__xludf.DUMMYFUNCTION("""COMPUTED_VALUE"""),0.9899589228662711)</f>
        <v>0.9899589229</v>
      </c>
      <c r="N29" s="42">
        <f>IFERROR(__xludf.DUMMYFUNCTION("""COMPUTED_VALUE"""),0.8327247832040164)</f>
        <v>0.8327247832</v>
      </c>
      <c r="O29" s="4"/>
      <c r="P29" s="4"/>
    </row>
    <row r="30" ht="23.25" customHeight="1">
      <c r="A30" s="4"/>
      <c r="B30" s="43" t="str">
        <f>IFERROR(__xludf.DUMMYFUNCTION("""COMPUTED_VALUE"""),"Grand Total")</f>
        <v>Grand Total</v>
      </c>
      <c r="C30" s="44">
        <f>IFERROR(__xludf.DUMMYFUNCTION("""COMPUTED_VALUE"""),39865.0)</f>
        <v>39865</v>
      </c>
      <c r="D30" s="45">
        <f>IFERROR(__xludf.DUMMYFUNCTION("""COMPUTED_VALUE"""),0.9852000501693214)</f>
        <v>0.9852000502</v>
      </c>
      <c r="E30" s="45">
        <f>IFERROR(__xludf.DUMMYFUNCTION("""COMPUTED_VALUE"""),0.8303775241439859)</f>
        <v>0.8303775241</v>
      </c>
      <c r="F30" s="44">
        <f>IFERROR(__xludf.DUMMYFUNCTION("""COMPUTED_VALUE"""),4923.0)</f>
        <v>4923</v>
      </c>
      <c r="G30" s="45">
        <f>IFERROR(__xludf.DUMMYFUNCTION("""COMPUTED_VALUE"""),0.7079016859638432)</f>
        <v>0.707901686</v>
      </c>
      <c r="H30" s="45">
        <f>IFERROR(__xludf.DUMMYFUNCTION("""COMPUTED_VALUE"""),0.5679463741620963)</f>
        <v>0.5679463742</v>
      </c>
      <c r="I30" s="44">
        <f>IFERROR(__xludf.DUMMYFUNCTION("""COMPUTED_VALUE"""),10698.0)</f>
        <v>10698</v>
      </c>
      <c r="J30" s="45">
        <f>IFERROR(__xludf.DUMMYFUNCTION("""COMPUTED_VALUE"""),0.9420452421013273)</f>
        <v>0.9420452421</v>
      </c>
      <c r="K30" s="45">
        <f>IFERROR(__xludf.DUMMYFUNCTION("""COMPUTED_VALUE"""),0.4438212750046738)</f>
        <v>0.443821275</v>
      </c>
      <c r="L30" s="44">
        <f>IFERROR(__xludf.DUMMYFUNCTION("""COMPUTED_VALUE"""),55486.0)</f>
        <v>55486</v>
      </c>
      <c r="M30" s="45">
        <f>IFERROR(__xludf.DUMMYFUNCTION("""COMPUTED_VALUE"""),0.9522762498648307)</f>
        <v>0.9522762499</v>
      </c>
      <c r="N30" s="46">
        <f>IFERROR(__xludf.DUMMYFUNCTION("""COMPUTED_VALUE"""),0.7325631690876978)</f>
        <v>0.7325631691</v>
      </c>
      <c r="O30" s="4"/>
      <c r="P30" s="4"/>
    </row>
    <row r="31" ht="27.0" customHeight="1">
      <c r="A31" s="47"/>
      <c r="B31" s="48"/>
      <c r="C31" s="49"/>
      <c r="D31" s="48"/>
      <c r="E31" s="48"/>
      <c r="F31" s="49"/>
      <c r="G31" s="48"/>
      <c r="H31" s="48"/>
      <c r="I31" s="49"/>
      <c r="J31" s="48"/>
      <c r="K31" s="48"/>
      <c r="L31" s="49"/>
      <c r="M31" s="48"/>
      <c r="N31" s="48"/>
      <c r="O31" s="47"/>
      <c r="P31" s="47"/>
    </row>
    <row r="32" ht="27.0" customHeight="1">
      <c r="A32" s="50"/>
      <c r="B32" s="2" t="s">
        <v>8</v>
      </c>
      <c r="C32" s="38"/>
      <c r="D32" s="51"/>
      <c r="E32" s="51"/>
      <c r="F32" s="38"/>
      <c r="G32" s="51"/>
      <c r="H32" s="51"/>
      <c r="I32" s="38"/>
      <c r="J32" s="51"/>
      <c r="K32" s="51"/>
      <c r="L32" s="38"/>
      <c r="M32" s="51"/>
      <c r="N32" s="52"/>
      <c r="O32" s="50"/>
      <c r="P32" s="50"/>
    </row>
    <row r="33" ht="27.0" customHeight="1">
      <c r="A33" s="50"/>
      <c r="B33" s="5" t="s">
        <v>9</v>
      </c>
      <c r="C33" s="6"/>
      <c r="D33" s="6"/>
      <c r="E33" s="6"/>
      <c r="F33" s="6"/>
      <c r="G33" s="6"/>
      <c r="H33" s="6"/>
      <c r="I33" s="6"/>
      <c r="J33" s="7">
        <f>TODAY()-1</f>
        <v>46162</v>
      </c>
      <c r="K33" s="6"/>
      <c r="L33" s="6"/>
      <c r="M33" s="6"/>
      <c r="N33" s="8"/>
      <c r="O33" s="50"/>
      <c r="P33" s="50"/>
    </row>
    <row r="34" ht="27.0" customHeight="1">
      <c r="A34" s="50"/>
      <c r="B34" s="9" t="s">
        <v>2</v>
      </c>
      <c r="C34" s="10" t="s">
        <v>3</v>
      </c>
      <c r="F34" s="11" t="s">
        <v>4</v>
      </c>
      <c r="I34" s="12" t="s">
        <v>5</v>
      </c>
      <c r="L34" s="13" t="s">
        <v>6</v>
      </c>
      <c r="M34" s="14">
        <f>TODAY()-1</f>
        <v>46162</v>
      </c>
      <c r="N34" s="15"/>
      <c r="O34" s="50"/>
      <c r="P34" s="50"/>
    </row>
    <row r="35" ht="27.0" customHeight="1">
      <c r="A35" s="50"/>
      <c r="B35" s="28" t="str">
        <f>IFERROR(__xludf.DUMMYFUNCTION("IMPORTRANGE(""https://docs.google.com/spreadsheets/d/1487b2qDJjFxuit1ljyyJ220-vW46d0ImSvFQle7Fw-k/edit?gid=1113323595#gid=1113323595"",""PV GTC TTS!P47:AB52"")"),"Tỉnh")</f>
        <v>Tỉnh</v>
      </c>
      <c r="C35" s="29" t="str">
        <f>IFERROR(__xludf.DUMMYFUNCTION("""COMPUTED_VALUE"""),"Volume")</f>
        <v>Volume</v>
      </c>
      <c r="D35" s="29" t="str">
        <f>IFERROR(__xludf.DUMMYFUNCTION("""COMPUTED_VALUE"""),"% Gán")</f>
        <v>% Gán</v>
      </c>
      <c r="E35" s="29" t="str">
        <f>IFERROR(__xludf.DUMMYFUNCTION("""COMPUTED_VALUE"""),"% GTC")</f>
        <v>% GTC</v>
      </c>
      <c r="F35" s="29" t="str">
        <f>IFERROR(__xludf.DUMMYFUNCTION("""COMPUTED_VALUE"""),"Volume")</f>
        <v>Volume</v>
      </c>
      <c r="G35" s="29" t="str">
        <f>IFERROR(__xludf.DUMMYFUNCTION("""COMPUTED_VALUE"""),"% Gán")</f>
        <v>% Gán</v>
      </c>
      <c r="H35" s="29" t="str">
        <f>IFERROR(__xludf.DUMMYFUNCTION("""COMPUTED_VALUE"""),"% GTC")</f>
        <v>% GTC</v>
      </c>
      <c r="I35" s="29" t="str">
        <f>IFERROR(__xludf.DUMMYFUNCTION("""COMPUTED_VALUE"""),"Volume")</f>
        <v>Volume</v>
      </c>
      <c r="J35" s="29" t="str">
        <f>IFERROR(__xludf.DUMMYFUNCTION("""COMPUTED_VALUE"""),"% Gán")</f>
        <v>% Gán</v>
      </c>
      <c r="K35" s="29" t="str">
        <f>IFERROR(__xludf.DUMMYFUNCTION("""COMPUTED_VALUE"""),"% GTC")</f>
        <v>% GTC</v>
      </c>
      <c r="L35" s="29" t="str">
        <f>IFERROR(__xludf.DUMMYFUNCTION("""COMPUTED_VALUE"""),"Volume")</f>
        <v>Volume</v>
      </c>
      <c r="M35" s="30" t="str">
        <f>IFERROR(__xludf.DUMMYFUNCTION("""COMPUTED_VALUE"""),"% Gán")</f>
        <v>% Gán</v>
      </c>
      <c r="N35" s="31" t="str">
        <f>IFERROR(__xludf.DUMMYFUNCTION("""COMPUTED_VALUE"""),"% GTC")</f>
        <v>% GTC</v>
      </c>
      <c r="O35" s="50"/>
      <c r="P35" s="50"/>
    </row>
    <row r="36" ht="27.0" customHeight="1">
      <c r="A36" s="50"/>
      <c r="B36" s="53" t="str">
        <f>IFERROR(__xludf.DUMMYFUNCTION("""COMPUTED_VALUE"""),"Đắk Lắk")</f>
        <v>Đắk Lắk</v>
      </c>
      <c r="C36" s="54">
        <f>IFERROR(__xludf.DUMMYFUNCTION("""COMPUTED_VALUE"""),2354.0)</f>
        <v>2354</v>
      </c>
      <c r="D36" s="55">
        <f>IFERROR(__xludf.DUMMYFUNCTION("""COMPUTED_VALUE"""),0.9592183517417162)</f>
        <v>0.9592183517</v>
      </c>
      <c r="E36" s="55">
        <f>IFERROR(__xludf.DUMMYFUNCTION("""COMPUTED_VALUE"""),0.7880203908241291)</f>
        <v>0.7880203908</v>
      </c>
      <c r="F36" s="54">
        <f>IFERROR(__xludf.DUMMYFUNCTION("""COMPUTED_VALUE"""),591.0)</f>
        <v>591</v>
      </c>
      <c r="G36" s="55">
        <f>IFERROR(__xludf.DUMMYFUNCTION("""COMPUTED_VALUE"""),0.6548223350253807)</f>
        <v>0.654822335</v>
      </c>
      <c r="H36" s="55">
        <f>IFERROR(__xludf.DUMMYFUNCTION("""COMPUTED_VALUE"""),0.5279187817258884)</f>
        <v>0.5279187817</v>
      </c>
      <c r="I36" s="54">
        <f>IFERROR(__xludf.DUMMYFUNCTION("""COMPUTED_VALUE"""),1124.0)</f>
        <v>1124</v>
      </c>
      <c r="J36" s="55">
        <f>IFERROR(__xludf.DUMMYFUNCTION("""COMPUTED_VALUE"""),0.9172597864768683)</f>
        <v>0.9172597865</v>
      </c>
      <c r="K36" s="55">
        <f>IFERROR(__xludf.DUMMYFUNCTION("""COMPUTED_VALUE"""),0.4412811387900356)</f>
        <v>0.4412811388</v>
      </c>
      <c r="L36" s="54">
        <f>IFERROR(__xludf.DUMMYFUNCTION("""COMPUTED_VALUE"""),4069.0)</f>
        <v>4069</v>
      </c>
      <c r="M36" s="55">
        <f>IFERROR(__xludf.DUMMYFUNCTION("""COMPUTED_VALUE"""),0.9034160727451462)</f>
        <v>0.9034160727</v>
      </c>
      <c r="N36" s="56">
        <f>IFERROR(__xludf.DUMMYFUNCTION("""COMPUTED_VALUE"""),0.6544605554190219)</f>
        <v>0.6544605554</v>
      </c>
      <c r="O36" s="50"/>
      <c r="P36" s="50"/>
    </row>
    <row r="37" ht="27.0" customHeight="1">
      <c r="A37" s="50"/>
      <c r="B37" s="53" t="str">
        <f>IFERROR(__xludf.DUMMYFUNCTION("""COMPUTED_VALUE"""),"Gia Lai")</f>
        <v>Gia Lai</v>
      </c>
      <c r="C37" s="54">
        <f>IFERROR(__xludf.DUMMYFUNCTION("""COMPUTED_VALUE"""),2234.0)</f>
        <v>2234</v>
      </c>
      <c r="D37" s="55">
        <f>IFERROR(__xludf.DUMMYFUNCTION("""COMPUTED_VALUE"""),0.9964189794091316)</f>
        <v>0.9964189794</v>
      </c>
      <c r="E37" s="55">
        <f>IFERROR(__xludf.DUMMYFUNCTION("""COMPUTED_VALUE"""),0.8460161145926589)</f>
        <v>0.8460161146</v>
      </c>
      <c r="F37" s="54">
        <f>IFERROR(__xludf.DUMMYFUNCTION("""COMPUTED_VALUE"""),86.0)</f>
        <v>86</v>
      </c>
      <c r="G37" s="55">
        <f>IFERROR(__xludf.DUMMYFUNCTION("""COMPUTED_VALUE"""),0.9767441860465116)</f>
        <v>0.976744186</v>
      </c>
      <c r="H37" s="55">
        <f>IFERROR(__xludf.DUMMYFUNCTION("""COMPUTED_VALUE"""),0.813953488372093)</f>
        <v>0.8139534884</v>
      </c>
      <c r="I37" s="54">
        <f>IFERROR(__xludf.DUMMYFUNCTION("""COMPUTED_VALUE"""),501.0)</f>
        <v>501</v>
      </c>
      <c r="J37" s="55">
        <f>IFERROR(__xludf.DUMMYFUNCTION("""COMPUTED_VALUE"""),0.9740518962075848)</f>
        <v>0.9740518962</v>
      </c>
      <c r="K37" s="55">
        <f>IFERROR(__xludf.DUMMYFUNCTION("""COMPUTED_VALUE"""),0.32934131736526945)</f>
        <v>0.3293413174</v>
      </c>
      <c r="L37" s="54">
        <f>IFERROR(__xludf.DUMMYFUNCTION("""COMPUTED_VALUE"""),2821.0)</f>
        <v>2821</v>
      </c>
      <c r="M37" s="55">
        <f>IFERROR(__xludf.DUMMYFUNCTION("""COMPUTED_VALUE"""),0.9918468628146048)</f>
        <v>0.9918468628</v>
      </c>
      <c r="N37" s="56">
        <f>IFERROR(__xludf.DUMMYFUNCTION("""COMPUTED_VALUE"""),0.7532789790854307)</f>
        <v>0.7532789791</v>
      </c>
      <c r="O37" s="50"/>
      <c r="P37" s="50"/>
    </row>
    <row r="38" ht="27.0" customHeight="1">
      <c r="A38" s="50"/>
      <c r="B38" s="53" t="str">
        <f>IFERROR(__xludf.DUMMYFUNCTION("""COMPUTED_VALUE"""),"Phú Yên")</f>
        <v>Phú Yên</v>
      </c>
      <c r="C38" s="54">
        <f>IFERROR(__xludf.DUMMYFUNCTION("""COMPUTED_VALUE"""),1396.0)</f>
        <v>1396</v>
      </c>
      <c r="D38" s="55">
        <f>IFERROR(__xludf.DUMMYFUNCTION("""COMPUTED_VALUE"""),0.9935530085959885)</f>
        <v>0.9935530086</v>
      </c>
      <c r="E38" s="55">
        <f>IFERROR(__xludf.DUMMYFUNCTION("""COMPUTED_VALUE"""),0.8939828080229226)</f>
        <v>0.893982808</v>
      </c>
      <c r="F38" s="54">
        <f>IFERROR(__xludf.DUMMYFUNCTION("""COMPUTED_VALUE"""),100.0)</f>
        <v>100</v>
      </c>
      <c r="G38" s="55">
        <f>IFERROR(__xludf.DUMMYFUNCTION("""COMPUTED_VALUE"""),0.62)</f>
        <v>0.62</v>
      </c>
      <c r="H38" s="55">
        <f>IFERROR(__xludf.DUMMYFUNCTION("""COMPUTED_VALUE"""),0.49)</f>
        <v>0.49</v>
      </c>
      <c r="I38" s="54">
        <f>IFERROR(__xludf.DUMMYFUNCTION("""COMPUTED_VALUE"""),185.0)</f>
        <v>185</v>
      </c>
      <c r="J38" s="55">
        <f>IFERROR(__xludf.DUMMYFUNCTION("""COMPUTED_VALUE"""),0.9891891891891892)</f>
        <v>0.9891891892</v>
      </c>
      <c r="K38" s="55">
        <f>IFERROR(__xludf.DUMMYFUNCTION("""COMPUTED_VALUE"""),0.3891891891891892)</f>
        <v>0.3891891892</v>
      </c>
      <c r="L38" s="54">
        <f>IFERROR(__xludf.DUMMYFUNCTION("""COMPUTED_VALUE"""),1681.0)</f>
        <v>1681</v>
      </c>
      <c r="M38" s="55">
        <f>IFERROR(__xludf.DUMMYFUNCTION("""COMPUTED_VALUE"""),0.9708506841165973)</f>
        <v>0.9708506841</v>
      </c>
      <c r="N38" s="56">
        <f>IFERROR(__xludf.DUMMYFUNCTION("""COMPUTED_VALUE"""),0.8143961927424153)</f>
        <v>0.8143961927</v>
      </c>
      <c r="O38" s="50"/>
      <c r="P38" s="50"/>
    </row>
    <row r="39" ht="27.0" customHeight="1">
      <c r="A39" s="50"/>
      <c r="B39" s="53" t="str">
        <f>IFERROR(__xludf.DUMMYFUNCTION("""COMPUTED_VALUE"""),"Bình Định")</f>
        <v>Bình Định</v>
      </c>
      <c r="C39" s="54">
        <f>IFERROR(__xludf.DUMMYFUNCTION("""COMPUTED_VALUE"""),2629.0)</f>
        <v>2629</v>
      </c>
      <c r="D39" s="55">
        <f>IFERROR(__xludf.DUMMYFUNCTION("""COMPUTED_VALUE"""),0.99771776340814)</f>
        <v>0.9977177634</v>
      </c>
      <c r="E39" s="55">
        <f>IFERROR(__xludf.DUMMYFUNCTION("""COMPUTED_VALUE"""),0.8790414606314187)</f>
        <v>0.8790414606</v>
      </c>
      <c r="F39" s="54">
        <f>IFERROR(__xludf.DUMMYFUNCTION("""COMPUTED_VALUE"""),192.0)</f>
        <v>192</v>
      </c>
      <c r="G39" s="55">
        <f>IFERROR(__xludf.DUMMYFUNCTION("""COMPUTED_VALUE"""),0.9375)</f>
        <v>0.9375</v>
      </c>
      <c r="H39" s="55">
        <f>IFERROR(__xludf.DUMMYFUNCTION("""COMPUTED_VALUE"""),0.59375)</f>
        <v>0.59375</v>
      </c>
      <c r="I39" s="54">
        <f>IFERROR(__xludf.DUMMYFUNCTION("""COMPUTED_VALUE"""),359.0)</f>
        <v>359</v>
      </c>
      <c r="J39" s="55">
        <f>IFERROR(__xludf.DUMMYFUNCTION("""COMPUTED_VALUE"""),0.9972144846796658)</f>
        <v>0.9972144847</v>
      </c>
      <c r="K39" s="55">
        <f>IFERROR(__xludf.DUMMYFUNCTION("""COMPUTED_VALUE"""),0.4763231197771588)</f>
        <v>0.4763231198</v>
      </c>
      <c r="L39" s="54">
        <f>IFERROR(__xludf.DUMMYFUNCTION("""COMPUTED_VALUE"""),3180.0)</f>
        <v>3180</v>
      </c>
      <c r="M39" s="55">
        <f>IFERROR(__xludf.DUMMYFUNCTION("""COMPUTED_VALUE"""),0.9940251572327043)</f>
        <v>0.9940251572</v>
      </c>
      <c r="N39" s="56">
        <f>IFERROR(__xludf.DUMMYFUNCTION("""COMPUTED_VALUE"""),0.8163522012578617)</f>
        <v>0.8163522013</v>
      </c>
      <c r="O39" s="50"/>
      <c r="P39" s="50"/>
    </row>
    <row r="40" ht="27.0" customHeight="1">
      <c r="A40" s="50"/>
      <c r="B40" s="57" t="str">
        <f>IFERROR(__xludf.DUMMYFUNCTION("""COMPUTED_VALUE"""),"Grand Total")</f>
        <v>Grand Total</v>
      </c>
      <c r="C40" s="58">
        <f>IFERROR(__xludf.DUMMYFUNCTION("""COMPUTED_VALUE"""),8613.0)</f>
        <v>8613</v>
      </c>
      <c r="D40" s="59">
        <f>IFERROR(__xludf.DUMMYFUNCTION("""COMPUTED_VALUE"""),0.9861836758388483)</f>
        <v>0.9861836758</v>
      </c>
      <c r="E40" s="59">
        <f>IFERROR(__xludf.DUMMYFUNCTION("""COMPUTED_VALUE"""),0.8480204342273308)</f>
        <v>0.8480204342</v>
      </c>
      <c r="F40" s="58">
        <f>IFERROR(__xludf.DUMMYFUNCTION("""COMPUTED_VALUE"""),969.0)</f>
        <v>969</v>
      </c>
      <c r="G40" s="59">
        <f>IFERROR(__xludf.DUMMYFUNCTION("""COMPUTED_VALUE"""),0.7358101135190919)</f>
        <v>0.7358101135</v>
      </c>
      <c r="H40" s="59">
        <f>IFERROR(__xludf.DUMMYFUNCTION("""COMPUTED_VALUE"""),0.5624355005159959)</f>
        <v>0.5624355005</v>
      </c>
      <c r="I40" s="58">
        <f>IFERROR(__xludf.DUMMYFUNCTION("""COMPUTED_VALUE"""),2169.0)</f>
        <v>2169</v>
      </c>
      <c r="J40" s="59">
        <f>IFERROR(__xludf.DUMMYFUNCTION("""COMPUTED_VALUE"""),0.9497464269248501)</f>
        <v>0.9497464269</v>
      </c>
      <c r="K40" s="59">
        <f>IFERROR(__xludf.DUMMYFUNCTION("""COMPUTED_VALUE"""),0.41678192715537116)</f>
        <v>0.4167819272</v>
      </c>
      <c r="L40" s="58">
        <f>IFERROR(__xludf.DUMMYFUNCTION("""COMPUTED_VALUE"""),11751.0)</f>
        <v>11751</v>
      </c>
      <c r="M40" s="59">
        <f>IFERROR(__xludf.DUMMYFUNCTION("""COMPUTED_VALUE"""),0.9588120159986384)</f>
        <v>0.958812016</v>
      </c>
      <c r="N40" s="60">
        <f>IFERROR(__xludf.DUMMYFUNCTION("""COMPUTED_VALUE"""),0.7448727767849544)</f>
        <v>0.7448727768</v>
      </c>
    </row>
    <row r="41" ht="14.25" customHeight="1">
      <c r="A41" s="50"/>
      <c r="B41" s="2"/>
    </row>
    <row r="42" ht="27.0" customHeight="1">
      <c r="A42" s="50"/>
      <c r="B42" s="2" t="s">
        <v>10</v>
      </c>
    </row>
    <row r="43" ht="23.25" customHeight="1">
      <c r="A43" s="50"/>
      <c r="B43" s="5" t="s">
        <v>11</v>
      </c>
      <c r="C43" s="6"/>
      <c r="D43" s="6"/>
      <c r="E43" s="6"/>
      <c r="F43" s="6"/>
      <c r="G43" s="6"/>
      <c r="H43" s="6"/>
      <c r="I43" s="6"/>
      <c r="J43" s="7">
        <f>TODAY()-1</f>
        <v>46162</v>
      </c>
      <c r="K43" s="6"/>
      <c r="L43" s="6"/>
      <c r="M43" s="6"/>
      <c r="N43" s="8"/>
    </row>
    <row r="44" ht="23.25" customHeight="1">
      <c r="A44" s="50"/>
      <c r="B44" s="9" t="s">
        <v>2</v>
      </c>
      <c r="C44" s="10" t="s">
        <v>3</v>
      </c>
      <c r="F44" s="11" t="s">
        <v>4</v>
      </c>
      <c r="I44" s="12" t="s">
        <v>5</v>
      </c>
      <c r="L44" s="13" t="s">
        <v>6</v>
      </c>
      <c r="M44" s="14">
        <f>TODAY()-1</f>
        <v>46162</v>
      </c>
      <c r="N44" s="15"/>
    </row>
    <row r="45" ht="23.25" customHeight="1">
      <c r="A45" s="50"/>
      <c r="B45" s="28" t="str">
        <f>IFERROR(__xludf.DUMMYFUNCTION("IMPORTRANGE(""https://docs.google.com/spreadsheets/d/1487b2qDJjFxuit1ljyyJ220-vW46d0ImSvFQle7Fw-k/edit?gid=1113323595#gid=1113323595"",""PV GTC TTS!P3:AB21"")"),"AM")</f>
        <v>AM</v>
      </c>
      <c r="C45" s="29" t="str">
        <f>IFERROR(__xludf.DUMMYFUNCTION("""COMPUTED_VALUE"""),"Volume")</f>
        <v>Volume</v>
      </c>
      <c r="D45" s="29" t="str">
        <f>IFERROR(__xludf.DUMMYFUNCTION("""COMPUTED_VALUE"""),"% Gán")</f>
        <v>% Gán</v>
      </c>
      <c r="E45" s="29" t="str">
        <f>IFERROR(__xludf.DUMMYFUNCTION("""COMPUTED_VALUE"""),"% GTC")</f>
        <v>% GTC</v>
      </c>
      <c r="F45" s="29" t="str">
        <f>IFERROR(__xludf.DUMMYFUNCTION("""COMPUTED_VALUE"""),"Volume")</f>
        <v>Volume</v>
      </c>
      <c r="G45" s="29" t="str">
        <f>IFERROR(__xludf.DUMMYFUNCTION("""COMPUTED_VALUE"""),"% Gán")</f>
        <v>% Gán</v>
      </c>
      <c r="H45" s="29" t="str">
        <f>IFERROR(__xludf.DUMMYFUNCTION("""COMPUTED_VALUE"""),"% GTC")</f>
        <v>% GTC</v>
      </c>
      <c r="I45" s="29" t="str">
        <f>IFERROR(__xludf.DUMMYFUNCTION("""COMPUTED_VALUE"""),"Volume")</f>
        <v>Volume</v>
      </c>
      <c r="J45" s="29" t="str">
        <f>IFERROR(__xludf.DUMMYFUNCTION("""COMPUTED_VALUE"""),"% Gán")</f>
        <v>% Gán</v>
      </c>
      <c r="K45" s="29" t="str">
        <f>IFERROR(__xludf.DUMMYFUNCTION("""COMPUTED_VALUE"""),"% GTC")</f>
        <v>% GTC</v>
      </c>
      <c r="L45" s="29" t="str">
        <f>IFERROR(__xludf.DUMMYFUNCTION("""COMPUTED_VALUE"""),"Volume")</f>
        <v>Volume</v>
      </c>
      <c r="M45" s="30" t="str">
        <f>IFERROR(__xludf.DUMMYFUNCTION("""COMPUTED_VALUE"""),"% Gán")</f>
        <v>% Gán</v>
      </c>
      <c r="N45" s="31" t="str">
        <f>IFERROR(__xludf.DUMMYFUNCTION("""COMPUTED_VALUE"""),"% GTC")</f>
        <v>% GTC</v>
      </c>
    </row>
    <row r="46" ht="23.25" customHeight="1">
      <c r="A46" s="50"/>
      <c r="B46" s="32" t="str">
        <f>IFERROR(__xludf.DUMMYFUNCTION("""COMPUTED_VALUE"""),"Nguyễn Thị Bảo Nhi")</f>
        <v>Nguyễn Thị Bảo Nhi</v>
      </c>
      <c r="C46" s="33">
        <f>IFERROR(__xludf.DUMMYFUNCTION("""COMPUTED_VALUE"""),406.0)</f>
        <v>406</v>
      </c>
      <c r="D46" s="34">
        <f>IFERROR(__xludf.DUMMYFUNCTION("""COMPUTED_VALUE"""),0.9285714285714286)</f>
        <v>0.9285714286</v>
      </c>
      <c r="E46" s="34">
        <f>IFERROR(__xludf.DUMMYFUNCTION("""COMPUTED_VALUE"""),0.8054187192118226)</f>
        <v>0.8054187192</v>
      </c>
      <c r="F46" s="33">
        <f>IFERROR(__xludf.DUMMYFUNCTION("""COMPUTED_VALUE"""),147.0)</f>
        <v>147</v>
      </c>
      <c r="G46" s="34">
        <f>IFERROR(__xludf.DUMMYFUNCTION("""COMPUTED_VALUE"""),0.7210884353741497)</f>
        <v>0.7210884354</v>
      </c>
      <c r="H46" s="34">
        <f>IFERROR(__xludf.DUMMYFUNCTION("""COMPUTED_VALUE"""),0.5238095238095238)</f>
        <v>0.5238095238</v>
      </c>
      <c r="I46" s="33">
        <f>IFERROR(__xludf.DUMMYFUNCTION("""COMPUTED_VALUE"""),257.0)</f>
        <v>257</v>
      </c>
      <c r="J46" s="34">
        <f>IFERROR(__xludf.DUMMYFUNCTION("""COMPUTED_VALUE"""),0.7976653696498055)</f>
        <v>0.7976653696</v>
      </c>
      <c r="K46" s="34">
        <f>IFERROR(__xludf.DUMMYFUNCTION("""COMPUTED_VALUE"""),0.3540856031128405)</f>
        <v>0.3540856031</v>
      </c>
      <c r="L46" s="33">
        <f>IFERROR(__xludf.DUMMYFUNCTION("""COMPUTED_VALUE"""),810.0)</f>
        <v>810</v>
      </c>
      <c r="M46" s="34">
        <f>IFERROR(__xludf.DUMMYFUNCTION("""COMPUTED_VALUE"""),0.8493827160493828)</f>
        <v>0.849382716</v>
      </c>
      <c r="N46" s="35">
        <f>IFERROR(__xludf.DUMMYFUNCTION("""COMPUTED_VALUE"""),0.6111111111111112)</f>
        <v>0.6111111111</v>
      </c>
    </row>
    <row r="47" ht="23.25" customHeight="1">
      <c r="A47" s="50"/>
      <c r="B47" s="32" t="str">
        <f>IFERROR(__xludf.DUMMYFUNCTION("""COMPUTED_VALUE"""),"Nguyễn Văn Sáng")</f>
        <v>Nguyễn Văn Sáng</v>
      </c>
      <c r="C47" s="33">
        <f>IFERROR(__xludf.DUMMYFUNCTION("""COMPUTED_VALUE"""),532.0)</f>
        <v>532</v>
      </c>
      <c r="D47" s="34">
        <f>IFERROR(__xludf.DUMMYFUNCTION("""COMPUTED_VALUE"""),0.9492481203007519)</f>
        <v>0.9492481203</v>
      </c>
      <c r="E47" s="34">
        <f>IFERROR(__xludf.DUMMYFUNCTION("""COMPUTED_VALUE"""),0.7875939849624061)</f>
        <v>0.787593985</v>
      </c>
      <c r="F47" s="33">
        <f>IFERROR(__xludf.DUMMYFUNCTION("""COMPUTED_VALUE"""),202.0)</f>
        <v>202</v>
      </c>
      <c r="G47" s="34">
        <f>IFERROR(__xludf.DUMMYFUNCTION("""COMPUTED_VALUE"""),0.5742574257425742)</f>
        <v>0.5742574257</v>
      </c>
      <c r="H47" s="34">
        <f>IFERROR(__xludf.DUMMYFUNCTION("""COMPUTED_VALUE"""),0.4752475247524752)</f>
        <v>0.4752475248</v>
      </c>
      <c r="I47" s="33">
        <f>IFERROR(__xludf.DUMMYFUNCTION("""COMPUTED_VALUE"""),238.0)</f>
        <v>238</v>
      </c>
      <c r="J47" s="34">
        <f>IFERROR(__xludf.DUMMYFUNCTION("""COMPUTED_VALUE"""),0.9873949579831933)</f>
        <v>0.987394958</v>
      </c>
      <c r="K47" s="34">
        <f>IFERROR(__xludf.DUMMYFUNCTION("""COMPUTED_VALUE"""),0.46638655462184875)</f>
        <v>0.4663865546</v>
      </c>
      <c r="L47" s="33">
        <f>IFERROR(__xludf.DUMMYFUNCTION("""COMPUTED_VALUE"""),972.0)</f>
        <v>972</v>
      </c>
      <c r="M47" s="34">
        <f>IFERROR(__xludf.DUMMYFUNCTION("""COMPUTED_VALUE"""),0.8806584362139918)</f>
        <v>0.8806584362</v>
      </c>
      <c r="N47" s="35">
        <f>IFERROR(__xludf.DUMMYFUNCTION("""COMPUTED_VALUE"""),0.6440329218106996)</f>
        <v>0.6440329218</v>
      </c>
    </row>
    <row r="48" ht="23.25" customHeight="1">
      <c r="A48" s="50"/>
      <c r="B48" s="32" t="str">
        <f>IFERROR(__xludf.DUMMYFUNCTION("""COMPUTED_VALUE"""),"Nguyễn  Ngọc Hà")</f>
        <v>Nguyễn  Ngọc Hà</v>
      </c>
      <c r="C48" s="33">
        <f>IFERROR(__xludf.DUMMYFUNCTION("""COMPUTED_VALUE"""),216.0)</f>
        <v>216</v>
      </c>
      <c r="D48" s="34">
        <f>IFERROR(__xludf.DUMMYFUNCTION("""COMPUTED_VALUE"""),0.9814814814814815)</f>
        <v>0.9814814815</v>
      </c>
      <c r="E48" s="34">
        <f>IFERROR(__xludf.DUMMYFUNCTION("""COMPUTED_VALUE"""),0.8055555555555556)</f>
        <v>0.8055555556</v>
      </c>
      <c r="F48" s="33">
        <f>IFERROR(__xludf.DUMMYFUNCTION("""COMPUTED_VALUE"""),144.0)</f>
        <v>144</v>
      </c>
      <c r="G48" s="34">
        <f>IFERROR(__xludf.DUMMYFUNCTION("""COMPUTED_VALUE"""),0.5486111111111112)</f>
        <v>0.5486111111</v>
      </c>
      <c r="H48" s="34">
        <f>IFERROR(__xludf.DUMMYFUNCTION("""COMPUTED_VALUE"""),0.4444444444444444)</f>
        <v>0.4444444444</v>
      </c>
      <c r="I48" s="33">
        <f>IFERROR(__xludf.DUMMYFUNCTION("""COMPUTED_VALUE"""),153.0)</f>
        <v>153</v>
      </c>
      <c r="J48" s="34">
        <f>IFERROR(__xludf.DUMMYFUNCTION("""COMPUTED_VALUE"""),0.954248366013072)</f>
        <v>0.954248366</v>
      </c>
      <c r="K48" s="34">
        <f>IFERROR(__xludf.DUMMYFUNCTION("""COMPUTED_VALUE"""),0.6274509803921569)</f>
        <v>0.6274509804</v>
      </c>
      <c r="L48" s="33">
        <f>IFERROR(__xludf.DUMMYFUNCTION("""COMPUTED_VALUE"""),513.0)</f>
        <v>513</v>
      </c>
      <c r="M48" s="34">
        <f>IFERROR(__xludf.DUMMYFUNCTION("""COMPUTED_VALUE"""),0.8518518518518519)</f>
        <v>0.8518518519</v>
      </c>
      <c r="N48" s="35">
        <f>IFERROR(__xludf.DUMMYFUNCTION("""COMPUTED_VALUE"""),0.6510721247563352)</f>
        <v>0.6510721248</v>
      </c>
    </row>
    <row r="49" ht="23.25" customHeight="1">
      <c r="A49" s="50"/>
      <c r="B49" s="32" t="str">
        <f>IFERROR(__xludf.DUMMYFUNCTION("""COMPUTED_VALUE"""),"Lê Văn Tài")</f>
        <v>Lê Văn Tài</v>
      </c>
      <c r="C49" s="33">
        <f>IFERROR(__xludf.DUMMYFUNCTION("""COMPUTED_VALUE"""),477.0)</f>
        <v>477</v>
      </c>
      <c r="D49" s="34">
        <f>IFERROR(__xludf.DUMMYFUNCTION("""COMPUTED_VALUE"""),0.939203354297694)</f>
        <v>0.9392033543</v>
      </c>
      <c r="E49" s="34">
        <f>IFERROR(__xludf.DUMMYFUNCTION("""COMPUTED_VALUE"""),0.740041928721174)</f>
        <v>0.7400419287</v>
      </c>
      <c r="F49" s="33">
        <f>IFERROR(__xludf.DUMMYFUNCTION("""COMPUTED_VALUE"""),52.0)</f>
        <v>52</v>
      </c>
      <c r="G49" s="34">
        <f>IFERROR(__xludf.DUMMYFUNCTION("""COMPUTED_VALUE"""),1.0)</f>
        <v>1</v>
      </c>
      <c r="H49" s="34">
        <f>IFERROR(__xludf.DUMMYFUNCTION("""COMPUTED_VALUE"""),0.8653846153846154)</f>
        <v>0.8653846154</v>
      </c>
      <c r="I49" s="33">
        <f>IFERROR(__xludf.DUMMYFUNCTION("""COMPUTED_VALUE"""),208.0)</f>
        <v>208</v>
      </c>
      <c r="J49" s="34">
        <f>IFERROR(__xludf.DUMMYFUNCTION("""COMPUTED_VALUE"""),0.8605769230769231)</f>
        <v>0.8605769231</v>
      </c>
      <c r="K49" s="34">
        <f>IFERROR(__xludf.DUMMYFUNCTION("""COMPUTED_VALUE"""),0.40865384615384615)</f>
        <v>0.4086538462</v>
      </c>
      <c r="L49" s="33">
        <f>IFERROR(__xludf.DUMMYFUNCTION("""COMPUTED_VALUE"""),737.0)</f>
        <v>737</v>
      </c>
      <c r="M49" s="34">
        <f>IFERROR(__xludf.DUMMYFUNCTION("""COMPUTED_VALUE"""),0.921302578018996)</f>
        <v>0.921302578</v>
      </c>
      <c r="N49" s="35">
        <f>IFERROR(__xludf.DUMMYFUNCTION("""COMPUTED_VALUE"""),0.655359565807327)</f>
        <v>0.6553595658</v>
      </c>
    </row>
    <row r="50" ht="23.25" customHeight="1">
      <c r="A50" s="50"/>
      <c r="B50" s="61" t="str">
        <f>IFERROR(__xludf.DUMMYFUNCTION("""COMPUTED_VALUE"""),"Mai Đức Hoàng Long")</f>
        <v>Mai Đức Hoàng Long</v>
      </c>
      <c r="C50" s="33">
        <f>IFERROR(__xludf.DUMMYFUNCTION("""COMPUTED_VALUE"""),306.0)</f>
        <v>306</v>
      </c>
      <c r="D50" s="34">
        <f>IFERROR(__xludf.DUMMYFUNCTION("""COMPUTED_VALUE"""),0.9869281045751634)</f>
        <v>0.9869281046</v>
      </c>
      <c r="E50" s="34">
        <f>IFERROR(__xludf.DUMMYFUNCTION("""COMPUTED_VALUE"""),0.7843137254901961)</f>
        <v>0.7843137255</v>
      </c>
      <c r="F50" s="33"/>
      <c r="G50" s="36"/>
      <c r="H50" s="36"/>
      <c r="I50" s="33">
        <f>IFERROR(__xludf.DUMMYFUNCTION("""COMPUTED_VALUE"""),126.0)</f>
        <v>126</v>
      </c>
      <c r="J50" s="34">
        <f>IFERROR(__xludf.DUMMYFUNCTION("""COMPUTED_VALUE"""),0.9841269841269841)</f>
        <v>0.9841269841</v>
      </c>
      <c r="K50" s="34">
        <f>IFERROR(__xludf.DUMMYFUNCTION("""COMPUTED_VALUE"""),0.46825396825396826)</f>
        <v>0.4682539683</v>
      </c>
      <c r="L50" s="33">
        <f>IFERROR(__xludf.DUMMYFUNCTION("""COMPUTED_VALUE"""),432.0)</f>
        <v>432</v>
      </c>
      <c r="M50" s="34">
        <f>IFERROR(__xludf.DUMMYFUNCTION("""COMPUTED_VALUE"""),0.9861111111111112)</f>
        <v>0.9861111111</v>
      </c>
      <c r="N50" s="35">
        <f>IFERROR(__xludf.DUMMYFUNCTION("""COMPUTED_VALUE"""),0.6921296296296297)</f>
        <v>0.6921296296</v>
      </c>
    </row>
    <row r="51" ht="23.25" customHeight="1">
      <c r="A51" s="50"/>
      <c r="B51" s="61" t="str">
        <f>IFERROR(__xludf.DUMMYFUNCTION("""COMPUTED_VALUE"""),"Nguyễn  Hoàng Anh ")</f>
        <v>Nguyễn  Hoàng Anh </v>
      </c>
      <c r="C51" s="33">
        <f>IFERROR(__xludf.DUMMYFUNCTION("""COMPUTED_VALUE"""),417.0)</f>
        <v>417</v>
      </c>
      <c r="D51" s="34">
        <f>IFERROR(__xludf.DUMMYFUNCTION("""COMPUTED_VALUE"""),0.9928057553956835)</f>
        <v>0.9928057554</v>
      </c>
      <c r="E51" s="34">
        <f>IFERROR(__xludf.DUMMYFUNCTION("""COMPUTED_VALUE"""),0.8201438848920863)</f>
        <v>0.8201438849</v>
      </c>
      <c r="F51" s="33">
        <f>IFERROR(__xludf.DUMMYFUNCTION("""COMPUTED_VALUE"""),46.0)</f>
        <v>46</v>
      </c>
      <c r="G51" s="34">
        <f>IFERROR(__xludf.DUMMYFUNCTION("""COMPUTED_VALUE"""),0.7391304347826086)</f>
        <v>0.7391304348</v>
      </c>
      <c r="H51" s="34">
        <f>IFERROR(__xludf.DUMMYFUNCTION("""COMPUTED_VALUE"""),0.6521739130434783)</f>
        <v>0.652173913</v>
      </c>
      <c r="I51" s="33">
        <f>IFERROR(__xludf.DUMMYFUNCTION("""COMPUTED_VALUE"""),142.0)</f>
        <v>142</v>
      </c>
      <c r="J51" s="34">
        <f>IFERROR(__xludf.DUMMYFUNCTION("""COMPUTED_VALUE"""),1.0)</f>
        <v>1</v>
      </c>
      <c r="K51" s="34">
        <f>IFERROR(__xludf.DUMMYFUNCTION("""COMPUTED_VALUE"""),0.38028169014084506)</f>
        <v>0.3802816901</v>
      </c>
      <c r="L51" s="33">
        <f>IFERROR(__xludf.DUMMYFUNCTION("""COMPUTED_VALUE"""),605.0)</f>
        <v>605</v>
      </c>
      <c r="M51" s="34">
        <f>IFERROR(__xludf.DUMMYFUNCTION("""COMPUTED_VALUE"""),0.9752066115702479)</f>
        <v>0.9752066116</v>
      </c>
      <c r="N51" s="35">
        <f>IFERROR(__xludf.DUMMYFUNCTION("""COMPUTED_VALUE"""),0.7041322314049587)</f>
        <v>0.7041322314</v>
      </c>
    </row>
    <row r="52" ht="23.25" customHeight="1">
      <c r="A52" s="50"/>
      <c r="B52" s="37" t="str">
        <f>IFERROR(__xludf.DUMMYFUNCTION("""COMPUTED_VALUE"""),"Nguyễn Công Luận")</f>
        <v>Nguyễn Công Luận</v>
      </c>
      <c r="C52" s="38">
        <f>IFERROR(__xludf.DUMMYFUNCTION("""COMPUTED_VALUE"""),635.0)</f>
        <v>635</v>
      </c>
      <c r="D52" s="39">
        <f>IFERROR(__xludf.DUMMYFUNCTION("""COMPUTED_VALUE"""),0.9984251968503937)</f>
        <v>0.9984251969</v>
      </c>
      <c r="E52" s="39">
        <f>IFERROR(__xludf.DUMMYFUNCTION("""COMPUTED_VALUE"""),0.8330708661417323)</f>
        <v>0.8330708661</v>
      </c>
      <c r="F52" s="38">
        <f>IFERROR(__xludf.DUMMYFUNCTION("""COMPUTED_VALUE"""),13.0)</f>
        <v>13</v>
      </c>
      <c r="G52" s="39">
        <f>IFERROR(__xludf.DUMMYFUNCTION("""COMPUTED_VALUE"""),0.9230769230769231)</f>
        <v>0.9230769231</v>
      </c>
      <c r="H52" s="39">
        <f>IFERROR(__xludf.DUMMYFUNCTION("""COMPUTED_VALUE"""),0.5384615384615384)</f>
        <v>0.5384615385</v>
      </c>
      <c r="I52" s="38">
        <f>IFERROR(__xludf.DUMMYFUNCTION("""COMPUTED_VALUE"""),202.0)</f>
        <v>202</v>
      </c>
      <c r="J52" s="39">
        <f>IFERROR(__xludf.DUMMYFUNCTION("""COMPUTED_VALUE"""),0.9702970297029703)</f>
        <v>0.9702970297</v>
      </c>
      <c r="K52" s="39">
        <f>IFERROR(__xludf.DUMMYFUNCTION("""COMPUTED_VALUE"""),0.3712871287128713)</f>
        <v>0.3712871287</v>
      </c>
      <c r="L52" s="38">
        <f>IFERROR(__xludf.DUMMYFUNCTION("""COMPUTED_VALUE"""),850.0)</f>
        <v>850</v>
      </c>
      <c r="M52" s="39">
        <f>IFERROR(__xludf.DUMMYFUNCTION("""COMPUTED_VALUE"""),0.9905882352941177)</f>
        <v>0.9905882353</v>
      </c>
      <c r="N52" s="40">
        <f>IFERROR(__xludf.DUMMYFUNCTION("""COMPUTED_VALUE"""),0.7188235294117648)</f>
        <v>0.7188235294</v>
      </c>
    </row>
    <row r="53" ht="23.25" customHeight="1">
      <c r="A53" s="50"/>
      <c r="B53" s="62" t="str">
        <f>IFERROR(__xludf.DUMMYFUNCTION("""COMPUTED_VALUE"""),"Ngô  Thị Bích Trâm ")</f>
        <v>Ngô  Thị Bích Trâm </v>
      </c>
      <c r="C53" s="38">
        <f>IFERROR(__xludf.DUMMYFUNCTION("""COMPUTED_VALUE"""),577.0)</f>
        <v>577</v>
      </c>
      <c r="D53" s="39">
        <f>IFERROR(__xludf.DUMMYFUNCTION("""COMPUTED_VALUE"""),0.9965337954939342)</f>
        <v>0.9965337955</v>
      </c>
      <c r="E53" s="39">
        <f>IFERROR(__xludf.DUMMYFUNCTION("""COMPUTED_VALUE"""),0.8093587521663779)</f>
        <v>0.8093587522</v>
      </c>
      <c r="F53" s="38">
        <f>IFERROR(__xludf.DUMMYFUNCTION("""COMPUTED_VALUE"""),18.0)</f>
        <v>18</v>
      </c>
      <c r="G53" s="39">
        <f>IFERROR(__xludf.DUMMYFUNCTION("""COMPUTED_VALUE"""),0.9444444444444444)</f>
        <v>0.9444444444</v>
      </c>
      <c r="H53" s="39">
        <f>IFERROR(__xludf.DUMMYFUNCTION("""COMPUTED_VALUE"""),0.8888888888888888)</f>
        <v>0.8888888889</v>
      </c>
      <c r="I53" s="38">
        <f>IFERROR(__xludf.DUMMYFUNCTION("""COMPUTED_VALUE"""),127.0)</f>
        <v>127</v>
      </c>
      <c r="J53" s="39">
        <f>IFERROR(__xludf.DUMMYFUNCTION("""COMPUTED_VALUE"""),0.952755905511811)</f>
        <v>0.9527559055</v>
      </c>
      <c r="K53" s="39">
        <f>IFERROR(__xludf.DUMMYFUNCTION("""COMPUTED_VALUE"""),0.36220472440944884)</f>
        <v>0.3622047244</v>
      </c>
      <c r="L53" s="38">
        <f>IFERROR(__xludf.DUMMYFUNCTION("""COMPUTED_VALUE"""),722.0)</f>
        <v>722</v>
      </c>
      <c r="M53" s="39">
        <f>IFERROR(__xludf.DUMMYFUNCTION("""COMPUTED_VALUE"""),0.9875346260387812)</f>
        <v>0.987534626</v>
      </c>
      <c r="N53" s="40">
        <f>IFERROR(__xludf.DUMMYFUNCTION("""COMPUTED_VALUE"""),0.7326869806094183)</f>
        <v>0.7326869806</v>
      </c>
      <c r="O53" s="50"/>
      <c r="P53" s="50"/>
    </row>
    <row r="54" ht="23.25" customHeight="1">
      <c r="A54" s="50"/>
      <c r="B54" s="37" t="str">
        <f>IFERROR(__xludf.DUMMYFUNCTION("""COMPUTED_VALUE"""),"Phan Thị Mỹ Chi")</f>
        <v>Phan Thị Mỹ Chi</v>
      </c>
      <c r="C54" s="38">
        <f>IFERROR(__xludf.DUMMYFUNCTION("""COMPUTED_VALUE"""),486.0)</f>
        <v>486</v>
      </c>
      <c r="D54" s="39">
        <f>IFERROR(__xludf.DUMMYFUNCTION("""COMPUTED_VALUE"""),0.9979423868312757)</f>
        <v>0.9979423868</v>
      </c>
      <c r="E54" s="39">
        <f>IFERROR(__xludf.DUMMYFUNCTION("""COMPUTED_VALUE"""),0.8600823045267489)</f>
        <v>0.8600823045</v>
      </c>
      <c r="F54" s="38">
        <f>IFERROR(__xludf.DUMMYFUNCTION("""COMPUTED_VALUE"""),22.0)</f>
        <v>22</v>
      </c>
      <c r="G54" s="39">
        <f>IFERROR(__xludf.DUMMYFUNCTION("""COMPUTED_VALUE"""),1.0)</f>
        <v>1</v>
      </c>
      <c r="H54" s="39">
        <f>IFERROR(__xludf.DUMMYFUNCTION("""COMPUTED_VALUE"""),0.9090909090909091)</f>
        <v>0.9090909091</v>
      </c>
      <c r="I54" s="38">
        <f>IFERROR(__xludf.DUMMYFUNCTION("""COMPUTED_VALUE"""),86.0)</f>
        <v>86</v>
      </c>
      <c r="J54" s="39">
        <f>IFERROR(__xludf.DUMMYFUNCTION("""COMPUTED_VALUE"""),1.0)</f>
        <v>1</v>
      </c>
      <c r="K54" s="39">
        <f>IFERROR(__xludf.DUMMYFUNCTION("""COMPUTED_VALUE"""),0.2558139534883721)</f>
        <v>0.2558139535</v>
      </c>
      <c r="L54" s="38">
        <f>IFERROR(__xludf.DUMMYFUNCTION("""COMPUTED_VALUE"""),594.0)</f>
        <v>594</v>
      </c>
      <c r="M54" s="39">
        <f>IFERROR(__xludf.DUMMYFUNCTION("""COMPUTED_VALUE"""),0.9983164983164983)</f>
        <v>0.9983164983</v>
      </c>
      <c r="N54" s="40">
        <f>IFERROR(__xludf.DUMMYFUNCTION("""COMPUTED_VALUE"""),0.7744107744107744)</f>
        <v>0.7744107744</v>
      </c>
      <c r="O54" s="50"/>
      <c r="P54" s="50"/>
    </row>
    <row r="55" ht="23.25" customHeight="1">
      <c r="A55" s="50"/>
      <c r="B55" s="37" t="str">
        <f>IFERROR(__xludf.DUMMYFUNCTION("""COMPUTED_VALUE"""),"Huỳnh Thị Mới ")</f>
        <v>Huỳnh Thị Mới </v>
      </c>
      <c r="C55" s="38">
        <f>IFERROR(__xludf.DUMMYFUNCTION("""COMPUTED_VALUE"""),686.0)</f>
        <v>686</v>
      </c>
      <c r="D55" s="39">
        <f>IFERROR(__xludf.DUMMYFUNCTION("""COMPUTED_VALUE"""),1.0)</f>
        <v>1</v>
      </c>
      <c r="E55" s="39">
        <f>IFERROR(__xludf.DUMMYFUNCTION("""COMPUTED_VALUE"""),0.8615160349854227)</f>
        <v>0.861516035</v>
      </c>
      <c r="F55" s="38">
        <f>IFERROR(__xludf.DUMMYFUNCTION("""COMPUTED_VALUE"""),62.0)</f>
        <v>62</v>
      </c>
      <c r="G55" s="39">
        <f>IFERROR(__xludf.DUMMYFUNCTION("""COMPUTED_VALUE"""),0.5161290322580645)</f>
        <v>0.5161290323</v>
      </c>
      <c r="H55" s="39">
        <f>IFERROR(__xludf.DUMMYFUNCTION("""COMPUTED_VALUE"""),0.4032258064516129)</f>
        <v>0.4032258065</v>
      </c>
      <c r="I55" s="38">
        <f>IFERROR(__xludf.DUMMYFUNCTION("""COMPUTED_VALUE"""),108.0)</f>
        <v>108</v>
      </c>
      <c r="J55" s="39">
        <f>IFERROR(__xludf.DUMMYFUNCTION("""COMPUTED_VALUE"""),1.0)</f>
        <v>1</v>
      </c>
      <c r="K55" s="39">
        <f>IFERROR(__xludf.DUMMYFUNCTION("""COMPUTED_VALUE"""),0.5185185185185185)</f>
        <v>0.5185185185</v>
      </c>
      <c r="L55" s="38">
        <f>IFERROR(__xludf.DUMMYFUNCTION("""COMPUTED_VALUE"""),856.0)</f>
        <v>856</v>
      </c>
      <c r="M55" s="39">
        <f>IFERROR(__xludf.DUMMYFUNCTION("""COMPUTED_VALUE"""),0.9649532710280374)</f>
        <v>0.964953271</v>
      </c>
      <c r="N55" s="40">
        <f>IFERROR(__xludf.DUMMYFUNCTION("""COMPUTED_VALUE"""),0.7850467289719626)</f>
        <v>0.785046729</v>
      </c>
      <c r="O55" s="50"/>
      <c r="P55" s="50"/>
    </row>
    <row r="56" ht="23.25" customHeight="1">
      <c r="A56" s="50"/>
      <c r="B56" s="37" t="str">
        <f>IFERROR(__xludf.DUMMYFUNCTION("""COMPUTED_VALUE"""),"Phan Thanh Thức")</f>
        <v>Phan Thanh Thức</v>
      </c>
      <c r="C56" s="38">
        <f>IFERROR(__xludf.DUMMYFUNCTION("""COMPUTED_VALUE"""),1207.0)</f>
        <v>1207</v>
      </c>
      <c r="D56" s="39">
        <f>IFERROR(__xludf.DUMMYFUNCTION("""COMPUTED_VALUE"""),0.9975144987572494)</f>
        <v>0.9975144988</v>
      </c>
      <c r="E56" s="39">
        <f>IFERROR(__xludf.DUMMYFUNCTION("""COMPUTED_VALUE"""),0.8666114333057167)</f>
        <v>0.8666114333</v>
      </c>
      <c r="F56" s="38">
        <f>IFERROR(__xludf.DUMMYFUNCTION("""COMPUTED_VALUE"""),86.0)</f>
        <v>86</v>
      </c>
      <c r="G56" s="39">
        <f>IFERROR(__xludf.DUMMYFUNCTION("""COMPUTED_VALUE"""),0.9186046511627907)</f>
        <v>0.9186046512</v>
      </c>
      <c r="H56" s="39">
        <f>IFERROR(__xludf.DUMMYFUNCTION("""COMPUTED_VALUE"""),0.5930232558139535)</f>
        <v>0.5930232558</v>
      </c>
      <c r="I56" s="38">
        <f>IFERROR(__xludf.DUMMYFUNCTION("""COMPUTED_VALUE"""),198.0)</f>
        <v>198</v>
      </c>
      <c r="J56" s="39">
        <f>IFERROR(__xludf.DUMMYFUNCTION("""COMPUTED_VALUE"""),0.9949494949494949)</f>
        <v>0.9949494949</v>
      </c>
      <c r="K56" s="39">
        <f>IFERROR(__xludf.DUMMYFUNCTION("""COMPUTED_VALUE"""),0.46464646464646464)</f>
        <v>0.4646464646</v>
      </c>
      <c r="L56" s="38">
        <f>IFERROR(__xludf.DUMMYFUNCTION("""COMPUTED_VALUE"""),1491.0)</f>
        <v>1491</v>
      </c>
      <c r="M56" s="39">
        <f>IFERROR(__xludf.DUMMYFUNCTION("""COMPUTED_VALUE"""),0.9926224010731053)</f>
        <v>0.9926224011</v>
      </c>
      <c r="N56" s="40">
        <f>IFERROR(__xludf.DUMMYFUNCTION("""COMPUTED_VALUE"""),0.7974513749161637)</f>
        <v>0.7974513749</v>
      </c>
      <c r="O56" s="50"/>
      <c r="P56" s="50"/>
    </row>
    <row r="57" ht="23.25" customHeight="1">
      <c r="A57" s="50"/>
      <c r="B57" s="37" t="str">
        <f>IFERROR(__xludf.DUMMYFUNCTION("""COMPUTED_VALUE"""),"Nguyễn Đình Trung")</f>
        <v>Nguyễn Đình Trung</v>
      </c>
      <c r="C57" s="38">
        <f>IFERROR(__xludf.DUMMYFUNCTION("""COMPUTED_VALUE"""),536.0)</f>
        <v>536</v>
      </c>
      <c r="D57" s="39">
        <f>IFERROR(__xludf.DUMMYFUNCTION("""COMPUTED_VALUE"""),0.9925373134328358)</f>
        <v>0.9925373134</v>
      </c>
      <c r="E57" s="39">
        <f>IFERROR(__xludf.DUMMYFUNCTION("""COMPUTED_VALUE"""),0.8880597014925373)</f>
        <v>0.8880597015</v>
      </c>
      <c r="F57" s="38">
        <f>IFERROR(__xludf.DUMMYFUNCTION("""COMPUTED_VALUE"""),33.0)</f>
        <v>33</v>
      </c>
      <c r="G57" s="39">
        <f>IFERROR(__xludf.DUMMYFUNCTION("""COMPUTED_VALUE"""),1.0)</f>
        <v>1</v>
      </c>
      <c r="H57" s="39">
        <f>IFERROR(__xludf.DUMMYFUNCTION("""COMPUTED_VALUE"""),0.8181818181818182)</f>
        <v>0.8181818182</v>
      </c>
      <c r="I57" s="38">
        <f>IFERROR(__xludf.DUMMYFUNCTION("""COMPUTED_VALUE"""),86.0)</f>
        <v>86</v>
      </c>
      <c r="J57" s="39">
        <f>IFERROR(__xludf.DUMMYFUNCTION("""COMPUTED_VALUE"""),0.9883720930232558)</f>
        <v>0.988372093</v>
      </c>
      <c r="K57" s="39">
        <f>IFERROR(__xludf.DUMMYFUNCTION("""COMPUTED_VALUE"""),0.2558139534883721)</f>
        <v>0.2558139535</v>
      </c>
      <c r="L57" s="38">
        <f>IFERROR(__xludf.DUMMYFUNCTION("""COMPUTED_VALUE"""),655.0)</f>
        <v>655</v>
      </c>
      <c r="M57" s="39">
        <f>IFERROR(__xludf.DUMMYFUNCTION("""COMPUTED_VALUE"""),0.9923664122137404)</f>
        <v>0.9923664122</v>
      </c>
      <c r="N57" s="40">
        <f>IFERROR(__xludf.DUMMYFUNCTION("""COMPUTED_VALUE"""),0.8015267175572519)</f>
        <v>0.8015267176</v>
      </c>
      <c r="O57" s="50"/>
      <c r="P57" s="50"/>
    </row>
    <row r="58" ht="23.25" customHeight="1">
      <c r="A58" s="50"/>
      <c r="B58" s="63" t="str">
        <f>IFERROR(__xludf.DUMMYFUNCTION("""COMPUTED_VALUE"""),"Võ Thanh Diệu ")</f>
        <v>Võ Thanh Diệu </v>
      </c>
      <c r="C58" s="38">
        <f>IFERROR(__xludf.DUMMYFUNCTION("""COMPUTED_VALUE"""),758.0)</f>
        <v>758</v>
      </c>
      <c r="D58" s="39">
        <f>IFERROR(__xludf.DUMMYFUNCTION("""COMPUTED_VALUE"""),0.9986807387862797)</f>
        <v>0.9986807388</v>
      </c>
      <c r="E58" s="39">
        <f>IFERROR(__xludf.DUMMYFUNCTION("""COMPUTED_VALUE"""),0.8773087071240105)</f>
        <v>0.8773087071</v>
      </c>
      <c r="F58" s="38">
        <f>IFERROR(__xludf.DUMMYFUNCTION("""COMPUTED_VALUE"""),57.0)</f>
        <v>57</v>
      </c>
      <c r="G58" s="39">
        <f>IFERROR(__xludf.DUMMYFUNCTION("""COMPUTED_VALUE"""),0.9473684210526315)</f>
        <v>0.9473684211</v>
      </c>
      <c r="H58" s="39">
        <f>IFERROR(__xludf.DUMMYFUNCTION("""COMPUTED_VALUE"""),0.5964912280701754)</f>
        <v>0.5964912281</v>
      </c>
      <c r="I58" s="38">
        <f>IFERROR(__xludf.DUMMYFUNCTION("""COMPUTED_VALUE"""),71.0)</f>
        <v>71</v>
      </c>
      <c r="J58" s="39">
        <f>IFERROR(__xludf.DUMMYFUNCTION("""COMPUTED_VALUE"""),1.0)</f>
        <v>1</v>
      </c>
      <c r="K58" s="39">
        <f>IFERROR(__xludf.DUMMYFUNCTION("""COMPUTED_VALUE"""),0.4788732394366197)</f>
        <v>0.4788732394</v>
      </c>
      <c r="L58" s="38">
        <f>IFERROR(__xludf.DUMMYFUNCTION("""COMPUTED_VALUE"""),886.0)</f>
        <v>886</v>
      </c>
      <c r="M58" s="39">
        <f>IFERROR(__xludf.DUMMYFUNCTION("""COMPUTED_VALUE"""),0.9954853273137697)</f>
        <v>0.9954853273</v>
      </c>
      <c r="N58" s="40">
        <f>IFERROR(__xludf.DUMMYFUNCTION("""COMPUTED_VALUE"""),0.827313769751693)</f>
        <v>0.8273137698</v>
      </c>
      <c r="O58" s="50"/>
      <c r="P58" s="50"/>
    </row>
    <row r="59" ht="23.25" customHeight="1">
      <c r="A59" s="50"/>
      <c r="B59" s="41" t="str">
        <f>IFERROR(__xludf.DUMMYFUNCTION("""COMPUTED_VALUE"""),"Trần Nhật Thương")</f>
        <v>Trần Nhật Thương</v>
      </c>
      <c r="C59" s="38">
        <f>IFERROR(__xludf.DUMMYFUNCTION("""COMPUTED_VALUE"""),664.0)</f>
        <v>664</v>
      </c>
      <c r="D59" s="39">
        <f>IFERROR(__xludf.DUMMYFUNCTION("""COMPUTED_VALUE"""),0.9969879518072289)</f>
        <v>0.9969879518</v>
      </c>
      <c r="E59" s="39">
        <f>IFERROR(__xludf.DUMMYFUNCTION("""COMPUTED_VALUE"""),0.9036144578313253)</f>
        <v>0.9036144578</v>
      </c>
      <c r="F59" s="38">
        <f>IFERROR(__xludf.DUMMYFUNCTION("""COMPUTED_VALUE"""),49.0)</f>
        <v>49</v>
      </c>
      <c r="G59" s="39">
        <f>IFERROR(__xludf.DUMMYFUNCTION("""COMPUTED_VALUE"""),0.9591836734693877)</f>
        <v>0.9591836735</v>
      </c>
      <c r="H59" s="39">
        <f>IFERROR(__xludf.DUMMYFUNCTION("""COMPUTED_VALUE"""),0.5918367346938775)</f>
        <v>0.5918367347</v>
      </c>
      <c r="I59" s="38">
        <f>IFERROR(__xludf.DUMMYFUNCTION("""COMPUTED_VALUE"""),90.0)</f>
        <v>90</v>
      </c>
      <c r="J59" s="39">
        <f>IFERROR(__xludf.DUMMYFUNCTION("""COMPUTED_VALUE"""),1.0)</f>
        <v>1</v>
      </c>
      <c r="K59" s="39">
        <f>IFERROR(__xludf.DUMMYFUNCTION("""COMPUTED_VALUE"""),0.5)</f>
        <v>0.5</v>
      </c>
      <c r="L59" s="38">
        <f>IFERROR(__xludf.DUMMYFUNCTION("""COMPUTED_VALUE"""),803.0)</f>
        <v>803</v>
      </c>
      <c r="M59" s="39">
        <f>IFERROR(__xludf.DUMMYFUNCTION("""COMPUTED_VALUE"""),0.9950186799501868)</f>
        <v>0.99501868</v>
      </c>
      <c r="N59" s="40">
        <f>IFERROR(__xludf.DUMMYFUNCTION("""COMPUTED_VALUE"""),0.8393524283935243)</f>
        <v>0.8393524284</v>
      </c>
      <c r="O59" s="50"/>
      <c r="P59" s="50"/>
    </row>
    <row r="60" ht="23.25" customHeight="1">
      <c r="A60" s="50"/>
      <c r="B60" s="41" t="str">
        <f>IFERROR(__xludf.DUMMYFUNCTION("""COMPUTED_VALUE"""),"Lê Trọng Khiêm")</f>
        <v>Lê Trọng Khiêm</v>
      </c>
      <c r="C60" s="38">
        <f>IFERROR(__xludf.DUMMYFUNCTION("""COMPUTED_VALUE"""),710.0)</f>
        <v>710</v>
      </c>
      <c r="D60" s="39">
        <f>IFERROR(__xludf.DUMMYFUNCTION("""COMPUTED_VALUE"""),0.9873239436619718)</f>
        <v>0.9873239437</v>
      </c>
      <c r="E60" s="39">
        <f>IFERROR(__xludf.DUMMYFUNCTION("""COMPUTED_VALUE"""),0.9253521126760563)</f>
        <v>0.9253521127</v>
      </c>
      <c r="F60" s="38">
        <f>IFERROR(__xludf.DUMMYFUNCTION("""COMPUTED_VALUE"""),38.0)</f>
        <v>38</v>
      </c>
      <c r="G60" s="39">
        <f>IFERROR(__xludf.DUMMYFUNCTION("""COMPUTED_VALUE"""),0.7894736842105263)</f>
        <v>0.7894736842</v>
      </c>
      <c r="H60" s="39">
        <f>IFERROR(__xludf.DUMMYFUNCTION("""COMPUTED_VALUE"""),0.631578947368421)</f>
        <v>0.6315789474</v>
      </c>
      <c r="I60" s="38">
        <f>IFERROR(__xludf.DUMMYFUNCTION("""COMPUTED_VALUE"""),77.0)</f>
        <v>77</v>
      </c>
      <c r="J60" s="39">
        <f>IFERROR(__xludf.DUMMYFUNCTION("""COMPUTED_VALUE"""),0.974025974025974)</f>
        <v>0.974025974</v>
      </c>
      <c r="K60" s="39">
        <f>IFERROR(__xludf.DUMMYFUNCTION("""COMPUTED_VALUE"""),0.2077922077922078)</f>
        <v>0.2077922078</v>
      </c>
      <c r="L60" s="38">
        <f>IFERROR(__xludf.DUMMYFUNCTION("""COMPUTED_VALUE"""),825.0)</f>
        <v>825</v>
      </c>
      <c r="M60" s="39">
        <f>IFERROR(__xludf.DUMMYFUNCTION("""COMPUTED_VALUE"""),0.9769696969696969)</f>
        <v>0.976969697</v>
      </c>
      <c r="N60" s="40">
        <f>IFERROR(__xludf.DUMMYFUNCTION("""COMPUTED_VALUE"""),0.8448484848484848)</f>
        <v>0.8448484848</v>
      </c>
      <c r="O60" s="50"/>
      <c r="P60" s="50"/>
    </row>
    <row r="61" ht="23.25" customHeight="1">
      <c r="A61" s="50"/>
      <c r="B61" s="43" t="str">
        <f>IFERROR(__xludf.DUMMYFUNCTION("""COMPUTED_VALUE"""),"Grand Total")</f>
        <v>Grand Total</v>
      </c>
      <c r="C61" s="44">
        <f>IFERROR(__xludf.DUMMYFUNCTION("""COMPUTED_VALUE"""),8613.0)</f>
        <v>8613</v>
      </c>
      <c r="D61" s="45">
        <f>IFERROR(__xludf.DUMMYFUNCTION("""COMPUTED_VALUE"""),0.9861836758388483)</f>
        <v>0.9861836758</v>
      </c>
      <c r="E61" s="45">
        <f>IFERROR(__xludf.DUMMYFUNCTION("""COMPUTED_VALUE"""),0.8480204342273308)</f>
        <v>0.8480204342</v>
      </c>
      <c r="F61" s="44">
        <f>IFERROR(__xludf.DUMMYFUNCTION("""COMPUTED_VALUE"""),969.0)</f>
        <v>969</v>
      </c>
      <c r="G61" s="45">
        <f>IFERROR(__xludf.DUMMYFUNCTION("""COMPUTED_VALUE"""),0.7358101135190919)</f>
        <v>0.7358101135</v>
      </c>
      <c r="H61" s="45">
        <f>IFERROR(__xludf.DUMMYFUNCTION("""COMPUTED_VALUE"""),0.5624355005159959)</f>
        <v>0.5624355005</v>
      </c>
      <c r="I61" s="44">
        <f>IFERROR(__xludf.DUMMYFUNCTION("""COMPUTED_VALUE"""),2169.0)</f>
        <v>2169</v>
      </c>
      <c r="J61" s="45">
        <f>IFERROR(__xludf.DUMMYFUNCTION("""COMPUTED_VALUE"""),0.9497464269248501)</f>
        <v>0.9497464269</v>
      </c>
      <c r="K61" s="45">
        <f>IFERROR(__xludf.DUMMYFUNCTION("""COMPUTED_VALUE"""),0.41678192715537116)</f>
        <v>0.4167819272</v>
      </c>
      <c r="L61" s="44">
        <f>IFERROR(__xludf.DUMMYFUNCTION("""COMPUTED_VALUE"""),11751.0)</f>
        <v>11751</v>
      </c>
      <c r="M61" s="45">
        <f>IFERROR(__xludf.DUMMYFUNCTION("""COMPUTED_VALUE"""),0.9588120159986384)</f>
        <v>0.958812016</v>
      </c>
      <c r="N61" s="64">
        <f>IFERROR(__xludf.DUMMYFUNCTION("""COMPUTED_VALUE"""),0.7448727767849544)</f>
        <v>0.7448727768</v>
      </c>
    </row>
    <row r="62" ht="23.25" customHeight="1">
      <c r="A62" s="1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"/>
      <c r="P62" s="4"/>
    </row>
    <row r="63" ht="21.0" customHeight="1">
      <c r="A63" s="25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6"/>
      <c r="P63" s="26"/>
    </row>
    <row r="64" ht="21.0" customHeight="1">
      <c r="A64" s="27"/>
    </row>
    <row r="65" ht="21.0" customHeight="1">
      <c r="A65" s="4"/>
      <c r="M65" s="65"/>
      <c r="N65" s="65"/>
    </row>
    <row r="66" ht="21.0" customHeight="1">
      <c r="A66" s="4"/>
    </row>
    <row r="67" ht="21.0" customHeight="1">
      <c r="A67" s="4"/>
    </row>
    <row r="68" ht="21.0" customHeight="1">
      <c r="A68" s="4"/>
    </row>
    <row r="69" ht="21.0" customHeight="1">
      <c r="A69" s="4"/>
    </row>
    <row r="70" ht="21.0" customHeight="1">
      <c r="A70" s="4"/>
    </row>
    <row r="71" ht="21.0" customHeight="1">
      <c r="A71" s="4"/>
    </row>
    <row r="72" ht="21.0" customHeight="1">
      <c r="A72" s="4"/>
    </row>
    <row r="73" ht="21.0" customHeight="1">
      <c r="A73" s="4"/>
    </row>
    <row r="74" ht="21.0" customHeight="1">
      <c r="A74" s="4"/>
    </row>
    <row r="75" ht="21.0" customHeight="1">
      <c r="A75" s="4"/>
    </row>
    <row r="76" ht="21.0" customHeight="1">
      <c r="A76" s="4"/>
    </row>
    <row r="77" ht="21.0" customHeight="1">
      <c r="A77" s="4"/>
    </row>
    <row r="78" ht="21.0" customHeight="1">
      <c r="A78" s="4"/>
    </row>
    <row r="79">
      <c r="A79" s="50"/>
    </row>
    <row r="80">
      <c r="A80" s="50"/>
    </row>
    <row r="81">
      <c r="A81" s="50"/>
    </row>
    <row r="82">
      <c r="A82" s="50"/>
    </row>
    <row r="83">
      <c r="A83" s="50"/>
    </row>
  </sheetData>
  <mergeCells count="24">
    <mergeCell ref="B2:I2"/>
    <mergeCell ref="J2:N2"/>
    <mergeCell ref="C3:E3"/>
    <mergeCell ref="F3:H3"/>
    <mergeCell ref="I3:K3"/>
    <mergeCell ref="M3:N3"/>
    <mergeCell ref="J12:N12"/>
    <mergeCell ref="B12:I12"/>
    <mergeCell ref="C13:E13"/>
    <mergeCell ref="F13:H13"/>
    <mergeCell ref="I13:K13"/>
    <mergeCell ref="M13:N13"/>
    <mergeCell ref="B33:I33"/>
    <mergeCell ref="J33:N33"/>
    <mergeCell ref="F44:H44"/>
    <mergeCell ref="I44:K44"/>
    <mergeCell ref="C34:E34"/>
    <mergeCell ref="F34:H34"/>
    <mergeCell ref="I34:K34"/>
    <mergeCell ref="M34:N34"/>
    <mergeCell ref="B43:I43"/>
    <mergeCell ref="J43:N43"/>
    <mergeCell ref="C44:E44"/>
    <mergeCell ref="M44:N44"/>
  </mergeCells>
  <conditionalFormatting sqref="N15:N32 N36:N39 N46:N62">
    <cfRule type="colorScale" priority="1">
      <colorScale>
        <cfvo type="min"/>
        <cfvo type="max"/>
        <color rgb="FFF4CCCC"/>
        <color rgb="FFFFFFFF"/>
      </colorScale>
    </cfRule>
  </conditionalFormatting>
  <conditionalFormatting sqref="N5:N8">
    <cfRule type="colorScale" priority="2">
      <colorScale>
        <cfvo type="min"/>
        <cfvo type="max"/>
        <color rgb="FFEA9999"/>
        <color rgb="FFFFFFFF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9.5"/>
    <col customWidth="1" min="2" max="2" width="12.5"/>
    <col customWidth="1" min="3" max="3" width="11.25"/>
    <col customWidth="1" min="4" max="4" width="10.38"/>
    <col customWidth="1" min="5" max="5" width="9.88"/>
    <col customWidth="1" min="6" max="6" width="10.63"/>
    <col customWidth="1" min="7" max="7" width="9.88"/>
    <col customWidth="1" min="8" max="9" width="10.25"/>
    <col customWidth="1" min="10" max="10" width="10.13"/>
    <col customWidth="1" min="11" max="12" width="10.5"/>
    <col customWidth="1" min="13" max="13" width="10.13"/>
    <col customWidth="1" min="14" max="14" width="14.38"/>
    <col customWidth="1" min="15" max="15" width="16.5"/>
    <col customWidth="1" min="16" max="16" width="45.13"/>
    <col customWidth="1" min="17" max="28" width="12.38"/>
  </cols>
  <sheetData>
    <row r="1" ht="17.25" customHeight="1">
      <c r="A1" s="66" t="s">
        <v>12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O1" s="67" t="s">
        <v>13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ht="17.25" customHeight="1">
      <c r="A2" s="68" t="s">
        <v>14</v>
      </c>
      <c r="B2" s="69"/>
      <c r="C2" s="69"/>
      <c r="D2" s="69"/>
      <c r="E2" s="69"/>
      <c r="F2" s="69"/>
      <c r="G2" s="69"/>
      <c r="H2" s="69"/>
      <c r="I2" s="70">
        <f>TODAY()-1</f>
        <v>46162</v>
      </c>
      <c r="J2" s="69"/>
      <c r="K2" s="69"/>
      <c r="L2" s="69"/>
      <c r="M2" s="71"/>
      <c r="O2" s="72" t="s">
        <v>15</v>
      </c>
      <c r="P2" s="72" t="s">
        <v>16</v>
      </c>
      <c r="Q2" s="73" t="s">
        <v>17</v>
      </c>
      <c r="R2" s="74"/>
      <c r="S2" s="74"/>
      <c r="T2" s="75"/>
      <c r="U2" s="73" t="s">
        <v>18</v>
      </c>
      <c r="V2" s="74"/>
      <c r="W2" s="74"/>
      <c r="X2" s="75"/>
      <c r="Y2" s="76" t="s">
        <v>19</v>
      </c>
      <c r="Z2" s="75"/>
      <c r="AA2" s="77">
        <f>today()-1</f>
        <v>46162</v>
      </c>
      <c r="AB2" s="75"/>
    </row>
    <row r="3" ht="17.25" customHeight="1">
      <c r="A3" s="78" t="str">
        <f>IFERROR(__xludf.DUMMYFUNCTION("IMPORTRANGE(""https://docs.google.com/spreadsheets/d/1487b2qDJjFxuit1ljyyJ220-vW46d0ImSvFQle7Fw-k/edit?gid=2083742761#gid=2083742761"",""PV 1!A71:m89"")"),"Loại hàng")</f>
        <v>Loại hàng</v>
      </c>
      <c r="B3" s="79" t="str">
        <f>IFERROR(__xludf.DUMMYFUNCTION("""COMPUTED_VALUE"""),"Hàng mới ca 1")</f>
        <v>Hàng mới ca 1</v>
      </c>
      <c r="E3" s="80" t="str">
        <f>IFERROR(__xludf.DUMMYFUNCTION("""COMPUTED_VALUE"""),"Hàng mới ca 2")</f>
        <v>Hàng mới ca 2</v>
      </c>
      <c r="H3" s="81" t="str">
        <f>IFERROR(__xludf.DUMMYFUNCTION("""COMPUTED_VALUE"""),"Hàng tồn")</f>
        <v>Hàng tồn</v>
      </c>
      <c r="K3" s="82" t="str">
        <f>IFERROR(__xludf.DUMMYFUNCTION("""COMPUTED_VALUE"""),"Ngày")</f>
        <v>Ngày</v>
      </c>
      <c r="M3" s="83"/>
      <c r="O3" s="84"/>
      <c r="P3" s="84"/>
      <c r="Q3" s="85" t="s">
        <v>20</v>
      </c>
      <c r="R3" s="85" t="s">
        <v>21</v>
      </c>
      <c r="S3" s="85" t="s">
        <v>22</v>
      </c>
      <c r="T3" s="85" t="s">
        <v>23</v>
      </c>
      <c r="U3" s="85" t="s">
        <v>20</v>
      </c>
      <c r="V3" s="85" t="s">
        <v>21</v>
      </c>
      <c r="W3" s="85" t="s">
        <v>22</v>
      </c>
      <c r="X3" s="85" t="s">
        <v>23</v>
      </c>
      <c r="Y3" s="86" t="s">
        <v>20</v>
      </c>
      <c r="Z3" s="86" t="s">
        <v>21</v>
      </c>
      <c r="AA3" s="86" t="s">
        <v>22</v>
      </c>
      <c r="AB3" s="86" t="s">
        <v>23</v>
      </c>
    </row>
    <row r="4" ht="17.25" customHeight="1">
      <c r="A4" s="87" t="str">
        <f>IFERROR(__xludf.DUMMYFUNCTION("""COMPUTED_VALUE"""),"AM")</f>
        <v>AM</v>
      </c>
      <c r="B4" s="88" t="str">
        <f>IFERROR(__xludf.DUMMYFUNCTION("""COMPUTED_VALUE"""),"Volume")</f>
        <v>Volume</v>
      </c>
      <c r="C4" s="89" t="str">
        <f>IFERROR(__xludf.DUMMYFUNCTION("""COMPUTED_VALUE"""),"%Gán")</f>
        <v>%Gán</v>
      </c>
      <c r="D4" s="89" t="str">
        <f>IFERROR(__xludf.DUMMYFUNCTION("""COMPUTED_VALUE"""),"%LTC")</f>
        <v>%LTC</v>
      </c>
      <c r="E4" s="88" t="str">
        <f>IFERROR(__xludf.DUMMYFUNCTION("""COMPUTED_VALUE"""),"Volume")</f>
        <v>Volume</v>
      </c>
      <c r="F4" s="89" t="str">
        <f>IFERROR(__xludf.DUMMYFUNCTION("""COMPUTED_VALUE"""),"%Gán")</f>
        <v>%Gán</v>
      </c>
      <c r="G4" s="89" t="str">
        <f>IFERROR(__xludf.DUMMYFUNCTION("""COMPUTED_VALUE"""),"%LTC")</f>
        <v>%LTC</v>
      </c>
      <c r="H4" s="88" t="str">
        <f>IFERROR(__xludf.DUMMYFUNCTION("""COMPUTED_VALUE"""),"Volume")</f>
        <v>Volume</v>
      </c>
      <c r="I4" s="89" t="str">
        <f>IFERROR(__xludf.DUMMYFUNCTION("""COMPUTED_VALUE"""),"%Gán")</f>
        <v>%Gán</v>
      </c>
      <c r="J4" s="89" t="str">
        <f>IFERROR(__xludf.DUMMYFUNCTION("""COMPUTED_VALUE"""),"%LTC")</f>
        <v>%LTC</v>
      </c>
      <c r="K4" s="88" t="str">
        <f>IFERROR(__xludf.DUMMYFUNCTION("""COMPUTED_VALUE"""),"Volume")</f>
        <v>Volume</v>
      </c>
      <c r="L4" s="90" t="str">
        <f>IFERROR(__xludf.DUMMYFUNCTION("""COMPUTED_VALUE"""),"% Gán")</f>
        <v>% Gán</v>
      </c>
      <c r="M4" s="91" t="str">
        <f>IFERROR(__xludf.DUMMYFUNCTION("""COMPUTED_VALUE"""),"% LTC")</f>
        <v>% LTC</v>
      </c>
      <c r="O4" s="92" t="str">
        <f>IFERROR(__xludf.DUMMYFUNCTION("IMPORTRANGE(""https://docs.google.com/spreadsheets/d/1487b2qDJjFxuit1ljyyJ220-vW46d0ImSvFQle7Fw-k/edit?gid=583898510#gid=583898510"",""LTC Tổng !B158:O225"")"),"Võ Thanh Diệu ")</f>
        <v>Võ Thanh Diệu </v>
      </c>
      <c r="P4" s="93" t="str">
        <f>IFERROR(__xludf.DUMMYFUNCTION("""COMPUTED_VALUE"""),"BC Thôn Chánh Hóa-Xã Cát Tiến-Bình Định")</f>
        <v>BC Thôn Chánh Hóa-Xã Cát Tiến-Bình Định</v>
      </c>
      <c r="Q4" s="94">
        <f>IFERROR(__xludf.DUMMYFUNCTION("""COMPUTED_VALUE"""),22.0)</f>
        <v>22</v>
      </c>
      <c r="R4" s="95">
        <f>IFERROR(__xludf.DUMMYFUNCTION("""COMPUTED_VALUE"""),1.0)</f>
        <v>1</v>
      </c>
      <c r="S4" s="95">
        <f>IFERROR(__xludf.DUMMYFUNCTION("""COMPUTED_VALUE"""),0.13636363636363635)</f>
        <v>0.1363636364</v>
      </c>
      <c r="T4" s="95">
        <f>IFERROR(__xludf.DUMMYFUNCTION("""COMPUTED_VALUE"""),0.09090909090909091)</f>
        <v>0.09090909091</v>
      </c>
      <c r="U4" s="94">
        <f>IFERROR(__xludf.DUMMYFUNCTION("""COMPUTED_VALUE"""),9.0)</f>
        <v>9</v>
      </c>
      <c r="V4" s="95">
        <f>IFERROR(__xludf.DUMMYFUNCTION("""COMPUTED_VALUE"""),1.0)</f>
        <v>1</v>
      </c>
      <c r="W4" s="95">
        <f>IFERROR(__xludf.DUMMYFUNCTION("""COMPUTED_VALUE"""),0.7777777777777778)</f>
        <v>0.7777777778</v>
      </c>
      <c r="X4" s="95">
        <f>IFERROR(__xludf.DUMMYFUNCTION("""COMPUTED_VALUE"""),0.6666666666666666)</f>
        <v>0.6666666667</v>
      </c>
      <c r="Y4" s="94">
        <f>IFERROR(__xludf.DUMMYFUNCTION("""COMPUTED_VALUE"""),31.0)</f>
        <v>31</v>
      </c>
      <c r="Z4" s="95">
        <f>IFERROR(__xludf.DUMMYFUNCTION("""COMPUTED_VALUE"""),1.0)</f>
        <v>1</v>
      </c>
      <c r="AA4" s="95">
        <f>IFERROR(__xludf.DUMMYFUNCTION("""COMPUTED_VALUE"""),0.3225806451612903)</f>
        <v>0.3225806452</v>
      </c>
      <c r="AB4" s="96">
        <f>IFERROR(__xludf.DUMMYFUNCTION("""COMPUTED_VALUE"""),0.25806451612903225)</f>
        <v>0.2580645161</v>
      </c>
    </row>
    <row r="5" ht="17.25" customHeight="1">
      <c r="A5" s="97" t="str">
        <f>IFERROR(__xludf.DUMMYFUNCTION("""COMPUTED_VALUE"""),"Nguyễn  Ngọc Hà")</f>
        <v>Nguyễn  Ngọc Hà</v>
      </c>
      <c r="B5" s="33">
        <f>IFERROR(__xludf.DUMMYFUNCTION("""COMPUTED_VALUE"""),643.0)</f>
        <v>643</v>
      </c>
      <c r="C5" s="34">
        <f>IFERROR(__xludf.DUMMYFUNCTION("""COMPUTED_VALUE"""),1.0)</f>
        <v>1</v>
      </c>
      <c r="D5" s="34">
        <f>IFERROR(__xludf.DUMMYFUNCTION("""COMPUTED_VALUE"""),0.8911353032659409)</f>
        <v>0.8911353033</v>
      </c>
      <c r="E5" s="33"/>
      <c r="F5" s="36"/>
      <c r="G5" s="36"/>
      <c r="H5" s="33">
        <f>IFERROR(__xludf.DUMMYFUNCTION("""COMPUTED_VALUE"""),89.0)</f>
        <v>89</v>
      </c>
      <c r="I5" s="34">
        <f>IFERROR(__xludf.DUMMYFUNCTION("""COMPUTED_VALUE"""),1.0)</f>
        <v>1</v>
      </c>
      <c r="J5" s="34">
        <f>IFERROR(__xludf.DUMMYFUNCTION("""COMPUTED_VALUE"""),0.7752808988764045)</f>
        <v>0.7752808989</v>
      </c>
      <c r="K5" s="33">
        <f>IFERROR(__xludf.DUMMYFUNCTION("""COMPUTED_VALUE"""),732.0)</f>
        <v>732</v>
      </c>
      <c r="L5" s="34">
        <f>IFERROR(__xludf.DUMMYFUNCTION("""COMPUTED_VALUE"""),1.0)</f>
        <v>1</v>
      </c>
      <c r="M5" s="98">
        <f>IFERROR(__xludf.DUMMYFUNCTION("""COMPUTED_VALUE"""),0.8770491803278688)</f>
        <v>0.8770491803</v>
      </c>
      <c r="O5" s="92" t="str">
        <f>IFERROR(__xludf.DUMMYFUNCTION("""COMPUTED_VALUE"""),"Phan Thanh Thức")</f>
        <v>Phan Thanh Thức</v>
      </c>
      <c r="P5" s="93" t="str">
        <f>IFERROR(__xludf.DUMMYFUNCTION("""COMPUTED_VALUE"""),"BC 61 Quang Trung-Xã Vân Canh-Bình Định")</f>
        <v>BC 61 Quang Trung-Xã Vân Canh-Bình Định</v>
      </c>
      <c r="Q5" s="94">
        <f>IFERROR(__xludf.DUMMYFUNCTION("""COMPUTED_VALUE"""),3.0)</f>
        <v>3</v>
      </c>
      <c r="R5" s="95">
        <f>IFERROR(__xludf.DUMMYFUNCTION("""COMPUTED_VALUE"""),1.0)</f>
        <v>1</v>
      </c>
      <c r="S5" s="95">
        <f>IFERROR(__xludf.DUMMYFUNCTION("""COMPUTED_VALUE"""),0.6666666666666666)</f>
        <v>0.6666666667</v>
      </c>
      <c r="T5" s="95">
        <f>IFERROR(__xludf.DUMMYFUNCTION("""COMPUTED_VALUE"""),0.6666666666666666)</f>
        <v>0.6666666667</v>
      </c>
      <c r="U5" s="94">
        <f>IFERROR(__xludf.DUMMYFUNCTION("""COMPUTED_VALUE"""),3.0)</f>
        <v>3</v>
      </c>
      <c r="V5" s="95">
        <f>IFERROR(__xludf.DUMMYFUNCTION("""COMPUTED_VALUE"""),1.0)</f>
        <v>1</v>
      </c>
      <c r="W5" s="95">
        <f>IFERROR(__xludf.DUMMYFUNCTION("""COMPUTED_VALUE"""),0.3333333333333333)</f>
        <v>0.3333333333</v>
      </c>
      <c r="X5" s="95">
        <f>IFERROR(__xludf.DUMMYFUNCTION("""COMPUTED_VALUE"""),0.3333333333333333)</f>
        <v>0.3333333333</v>
      </c>
      <c r="Y5" s="94">
        <f>IFERROR(__xludf.DUMMYFUNCTION("""COMPUTED_VALUE"""),6.0)</f>
        <v>6</v>
      </c>
      <c r="Z5" s="95">
        <f>IFERROR(__xludf.DUMMYFUNCTION("""COMPUTED_VALUE"""),1.0)</f>
        <v>1</v>
      </c>
      <c r="AA5" s="95">
        <f>IFERROR(__xludf.DUMMYFUNCTION("""COMPUTED_VALUE"""),0.5)</f>
        <v>0.5</v>
      </c>
      <c r="AB5" s="96">
        <f>IFERROR(__xludf.DUMMYFUNCTION("""COMPUTED_VALUE"""),0.5)</f>
        <v>0.5</v>
      </c>
    </row>
    <row r="6" ht="17.25" customHeight="1">
      <c r="A6" s="97" t="str">
        <f>IFERROR(__xludf.DUMMYFUNCTION("""COMPUTED_VALUE"""),"Phan Thị Mỹ Chi")</f>
        <v>Phan Thị Mỹ Chi</v>
      </c>
      <c r="B6" s="33">
        <f>IFERROR(__xludf.DUMMYFUNCTION("""COMPUTED_VALUE"""),968.0)</f>
        <v>968</v>
      </c>
      <c r="C6" s="34">
        <f>IFERROR(__xludf.DUMMYFUNCTION("""COMPUTED_VALUE"""),0.9958677685950413)</f>
        <v>0.9958677686</v>
      </c>
      <c r="D6" s="34">
        <f>IFERROR(__xludf.DUMMYFUNCTION("""COMPUTED_VALUE"""),0.8698347107438017)</f>
        <v>0.8698347107</v>
      </c>
      <c r="E6" s="33"/>
      <c r="F6" s="36"/>
      <c r="G6" s="36"/>
      <c r="H6" s="33">
        <f>IFERROR(__xludf.DUMMYFUNCTION("""COMPUTED_VALUE"""),124.0)</f>
        <v>124</v>
      </c>
      <c r="I6" s="34">
        <f>IFERROR(__xludf.DUMMYFUNCTION("""COMPUTED_VALUE"""),0.9919354838709677)</f>
        <v>0.9919354839</v>
      </c>
      <c r="J6" s="34">
        <f>IFERROR(__xludf.DUMMYFUNCTION("""COMPUTED_VALUE"""),0.9435483870967742)</f>
        <v>0.9435483871</v>
      </c>
      <c r="K6" s="33">
        <f>IFERROR(__xludf.DUMMYFUNCTION("""COMPUTED_VALUE"""),1092.0)</f>
        <v>1092</v>
      </c>
      <c r="L6" s="34">
        <f>IFERROR(__xludf.DUMMYFUNCTION("""COMPUTED_VALUE"""),0.9954212454212454)</f>
        <v>0.9954212454</v>
      </c>
      <c r="M6" s="98">
        <f>IFERROR(__xludf.DUMMYFUNCTION("""COMPUTED_VALUE"""),0.8782051282051282)</f>
        <v>0.8782051282</v>
      </c>
      <c r="O6" s="92" t="str">
        <f>IFERROR(__xludf.DUMMYFUNCTION("""COMPUTED_VALUE"""),"Lê Trọng Khiêm")</f>
        <v>Lê Trọng Khiêm</v>
      </c>
      <c r="P6" s="93" t="str">
        <f>IFERROR(__xludf.DUMMYFUNCTION("""COMPUTED_VALUE"""),"BC Đường Tỉnh 643-Xã Tuy An Nam-Phú Yên")</f>
        <v>BC Đường Tỉnh 643-Xã Tuy An Nam-Phú Yên</v>
      </c>
      <c r="Q6" s="94">
        <f>IFERROR(__xludf.DUMMYFUNCTION("""COMPUTED_VALUE"""),24.0)</f>
        <v>24</v>
      </c>
      <c r="R6" s="95">
        <f>IFERROR(__xludf.DUMMYFUNCTION("""COMPUTED_VALUE"""),1.0)</f>
        <v>1</v>
      </c>
      <c r="S6" s="95">
        <f>IFERROR(__xludf.DUMMYFUNCTION("""COMPUTED_VALUE"""),0.625)</f>
        <v>0.625</v>
      </c>
      <c r="T6" s="95">
        <f>IFERROR(__xludf.DUMMYFUNCTION("""COMPUTED_VALUE"""),0.625)</f>
        <v>0.625</v>
      </c>
      <c r="U6" s="94">
        <f>IFERROR(__xludf.DUMMYFUNCTION("""COMPUTED_VALUE"""),2.0)</f>
        <v>2</v>
      </c>
      <c r="V6" s="95">
        <f>IFERROR(__xludf.DUMMYFUNCTION("""COMPUTED_VALUE"""),1.0)</f>
        <v>1</v>
      </c>
      <c r="W6" s="95">
        <f>IFERROR(__xludf.DUMMYFUNCTION("""COMPUTED_VALUE"""),0.5)</f>
        <v>0.5</v>
      </c>
      <c r="X6" s="95">
        <f>IFERROR(__xludf.DUMMYFUNCTION("""COMPUTED_VALUE"""),0.5)</f>
        <v>0.5</v>
      </c>
      <c r="Y6" s="94">
        <f>IFERROR(__xludf.DUMMYFUNCTION("""COMPUTED_VALUE"""),26.0)</f>
        <v>26</v>
      </c>
      <c r="Z6" s="95">
        <f>IFERROR(__xludf.DUMMYFUNCTION("""COMPUTED_VALUE"""),1.0)</f>
        <v>1</v>
      </c>
      <c r="AA6" s="95">
        <f>IFERROR(__xludf.DUMMYFUNCTION("""COMPUTED_VALUE"""),0.6153846153846154)</f>
        <v>0.6153846154</v>
      </c>
      <c r="AB6" s="96">
        <f>IFERROR(__xludf.DUMMYFUNCTION("""COMPUTED_VALUE"""),0.6153846153846154)</f>
        <v>0.6153846154</v>
      </c>
    </row>
    <row r="7" ht="17.25" customHeight="1">
      <c r="A7" s="97" t="str">
        <f>IFERROR(__xludf.DUMMYFUNCTION("""COMPUTED_VALUE"""),"Nguyễn Văn Sáng")</f>
        <v>Nguyễn Văn Sáng</v>
      </c>
      <c r="B7" s="33">
        <f>IFERROR(__xludf.DUMMYFUNCTION("""COMPUTED_VALUE"""),1472.0)</f>
        <v>1472</v>
      </c>
      <c r="C7" s="34">
        <f>IFERROR(__xludf.DUMMYFUNCTION("""COMPUTED_VALUE"""),0.9979619565217391)</f>
        <v>0.9979619565</v>
      </c>
      <c r="D7" s="34">
        <f>IFERROR(__xludf.DUMMYFUNCTION("""COMPUTED_VALUE"""),0.923233695652174)</f>
        <v>0.9232336957</v>
      </c>
      <c r="E7" s="33"/>
      <c r="F7" s="36"/>
      <c r="G7" s="36"/>
      <c r="H7" s="33">
        <f>IFERROR(__xludf.DUMMYFUNCTION("""COMPUTED_VALUE"""),187.0)</f>
        <v>187</v>
      </c>
      <c r="I7" s="34">
        <f>IFERROR(__xludf.DUMMYFUNCTION("""COMPUTED_VALUE"""),1.0)</f>
        <v>1</v>
      </c>
      <c r="J7" s="34">
        <f>IFERROR(__xludf.DUMMYFUNCTION("""COMPUTED_VALUE"""),0.7486631016042781)</f>
        <v>0.7486631016</v>
      </c>
      <c r="K7" s="33">
        <f>IFERROR(__xludf.DUMMYFUNCTION("""COMPUTED_VALUE"""),1659.0)</f>
        <v>1659</v>
      </c>
      <c r="L7" s="34">
        <f>IFERROR(__xludf.DUMMYFUNCTION("""COMPUTED_VALUE"""),0.9981916817359855)</f>
        <v>0.9981916817</v>
      </c>
      <c r="M7" s="98">
        <f>IFERROR(__xludf.DUMMYFUNCTION("""COMPUTED_VALUE"""),0.9035563592525618)</f>
        <v>0.9035563593</v>
      </c>
      <c r="O7" s="92" t="str">
        <f>IFERROR(__xludf.DUMMYFUNCTION("""COMPUTED_VALUE"""),"Trần Nhật Thương")</f>
        <v>Trần Nhật Thương</v>
      </c>
      <c r="P7" s="93" t="str">
        <f>IFERROR(__xludf.DUMMYFUNCTION("""COMPUTED_VALUE"""),"BC Số 35 Phạm Văn Đồng-Tăng Bạt Hổ-Hoài Ân-Bình Định")</f>
        <v>BC Số 35 Phạm Văn Đồng-Tăng Bạt Hổ-Hoài Ân-Bình Định</v>
      </c>
      <c r="Q7" s="94">
        <f>IFERROR(__xludf.DUMMYFUNCTION("""COMPUTED_VALUE"""),92.0)</f>
        <v>92</v>
      </c>
      <c r="R7" s="95">
        <f>IFERROR(__xludf.DUMMYFUNCTION("""COMPUTED_VALUE"""),1.0)</f>
        <v>1</v>
      </c>
      <c r="S7" s="95">
        <f>IFERROR(__xludf.DUMMYFUNCTION("""COMPUTED_VALUE"""),0.6413043478260869)</f>
        <v>0.6413043478</v>
      </c>
      <c r="T7" s="95">
        <f>IFERROR(__xludf.DUMMYFUNCTION("""COMPUTED_VALUE"""),0.6413043478260869)</f>
        <v>0.6413043478</v>
      </c>
      <c r="U7" s="94">
        <f>IFERROR(__xludf.DUMMYFUNCTION("""COMPUTED_VALUE"""),8.0)</f>
        <v>8</v>
      </c>
      <c r="V7" s="95">
        <f>IFERROR(__xludf.DUMMYFUNCTION("""COMPUTED_VALUE"""),1.0)</f>
        <v>1</v>
      </c>
      <c r="W7" s="95">
        <f>IFERROR(__xludf.DUMMYFUNCTION("""COMPUTED_VALUE"""),1.0)</f>
        <v>1</v>
      </c>
      <c r="X7" s="95">
        <f>IFERROR(__xludf.DUMMYFUNCTION("""COMPUTED_VALUE"""),1.0)</f>
        <v>1</v>
      </c>
      <c r="Y7" s="94">
        <f>IFERROR(__xludf.DUMMYFUNCTION("""COMPUTED_VALUE"""),100.0)</f>
        <v>100</v>
      </c>
      <c r="Z7" s="95">
        <f>IFERROR(__xludf.DUMMYFUNCTION("""COMPUTED_VALUE"""),1.0)</f>
        <v>1</v>
      </c>
      <c r="AA7" s="95">
        <f>IFERROR(__xludf.DUMMYFUNCTION("""COMPUTED_VALUE"""),0.67)</f>
        <v>0.67</v>
      </c>
      <c r="AB7" s="96">
        <f>IFERROR(__xludf.DUMMYFUNCTION("""COMPUTED_VALUE"""),0.67)</f>
        <v>0.67</v>
      </c>
    </row>
    <row r="8" ht="17.25" customHeight="1">
      <c r="A8" s="97" t="str">
        <f>IFERROR(__xludf.DUMMYFUNCTION("""COMPUTED_VALUE"""),"Lê Văn Tài")</f>
        <v>Lê Văn Tài</v>
      </c>
      <c r="B8" s="33">
        <f>IFERROR(__xludf.DUMMYFUNCTION("""COMPUTED_VALUE"""),633.0)</f>
        <v>633</v>
      </c>
      <c r="C8" s="34">
        <f>IFERROR(__xludf.DUMMYFUNCTION("""COMPUTED_VALUE"""),0.9968404423380727)</f>
        <v>0.9968404423</v>
      </c>
      <c r="D8" s="34">
        <f>IFERROR(__xludf.DUMMYFUNCTION("""COMPUTED_VALUE"""),0.9304897314375987)</f>
        <v>0.9304897314</v>
      </c>
      <c r="E8" s="33"/>
      <c r="F8" s="36"/>
      <c r="G8" s="36"/>
      <c r="H8" s="33">
        <f>IFERROR(__xludf.DUMMYFUNCTION("""COMPUTED_VALUE"""),83.0)</f>
        <v>83</v>
      </c>
      <c r="I8" s="34">
        <f>IFERROR(__xludf.DUMMYFUNCTION("""COMPUTED_VALUE"""),1.0)</f>
        <v>1</v>
      </c>
      <c r="J8" s="34">
        <f>IFERROR(__xludf.DUMMYFUNCTION("""COMPUTED_VALUE"""),0.8072289156626506)</f>
        <v>0.8072289157</v>
      </c>
      <c r="K8" s="33">
        <f>IFERROR(__xludf.DUMMYFUNCTION("""COMPUTED_VALUE"""),716.0)</f>
        <v>716</v>
      </c>
      <c r="L8" s="34">
        <f>IFERROR(__xludf.DUMMYFUNCTION("""COMPUTED_VALUE"""),0.9972067039106145)</f>
        <v>0.9972067039</v>
      </c>
      <c r="M8" s="98">
        <f>IFERROR(__xludf.DUMMYFUNCTION("""COMPUTED_VALUE"""),0.9162011173184358)</f>
        <v>0.9162011173</v>
      </c>
      <c r="O8" s="92" t="str">
        <f>IFERROR(__xludf.DUMMYFUNCTION("""COMPUTED_VALUE"""),"Phan Thị Mỹ Chi")</f>
        <v>Phan Thị Mỹ Chi</v>
      </c>
      <c r="P8" s="93" t="str">
        <f>IFERROR(__xludf.DUMMYFUNCTION("""COMPUTED_VALUE"""),"BC 153 Hùng Vương-Ia Grai-Gia Lai")</f>
        <v>BC 153 Hùng Vương-Ia Grai-Gia Lai</v>
      </c>
      <c r="Q8" s="94">
        <f>IFERROR(__xludf.DUMMYFUNCTION("""COMPUTED_VALUE"""),58.0)</f>
        <v>58</v>
      </c>
      <c r="R8" s="95">
        <f>IFERROR(__xludf.DUMMYFUNCTION("""COMPUTED_VALUE"""),0.9655172413793104)</f>
        <v>0.9655172414</v>
      </c>
      <c r="S8" s="95">
        <f>IFERROR(__xludf.DUMMYFUNCTION("""COMPUTED_VALUE"""),0.5689655172413793)</f>
        <v>0.5689655172</v>
      </c>
      <c r="T8" s="95">
        <f>IFERROR(__xludf.DUMMYFUNCTION("""COMPUTED_VALUE"""),0.5172413793103449)</f>
        <v>0.5172413793</v>
      </c>
      <c r="U8" s="94">
        <f>IFERROR(__xludf.DUMMYFUNCTION("""COMPUTED_VALUE"""),38.0)</f>
        <v>38</v>
      </c>
      <c r="V8" s="95">
        <f>IFERROR(__xludf.DUMMYFUNCTION("""COMPUTED_VALUE"""),1.0)</f>
        <v>1</v>
      </c>
      <c r="W8" s="95">
        <f>IFERROR(__xludf.DUMMYFUNCTION("""COMPUTED_VALUE"""),0.9736842105263158)</f>
        <v>0.9736842105</v>
      </c>
      <c r="X8" s="95">
        <f>IFERROR(__xludf.DUMMYFUNCTION("""COMPUTED_VALUE"""),0.9210526315789473)</f>
        <v>0.9210526316</v>
      </c>
      <c r="Y8" s="94">
        <f>IFERROR(__xludf.DUMMYFUNCTION("""COMPUTED_VALUE"""),96.0)</f>
        <v>96</v>
      </c>
      <c r="Z8" s="95">
        <f>IFERROR(__xludf.DUMMYFUNCTION("""COMPUTED_VALUE"""),0.9791666666666666)</f>
        <v>0.9791666667</v>
      </c>
      <c r="AA8" s="95">
        <f>IFERROR(__xludf.DUMMYFUNCTION("""COMPUTED_VALUE"""),0.7291666666666666)</f>
        <v>0.7291666667</v>
      </c>
      <c r="AB8" s="96">
        <f>IFERROR(__xludf.DUMMYFUNCTION("""COMPUTED_VALUE"""),0.6770833333333334)</f>
        <v>0.6770833333</v>
      </c>
    </row>
    <row r="9" ht="17.25" customHeight="1">
      <c r="A9" s="97" t="str">
        <f>IFERROR(__xludf.DUMMYFUNCTION("""COMPUTED_VALUE"""),"Nguyễn Đình Trung")</f>
        <v>Nguyễn Đình Trung</v>
      </c>
      <c r="B9" s="33">
        <f>IFERROR(__xludf.DUMMYFUNCTION("""COMPUTED_VALUE"""),895.0)</f>
        <v>895</v>
      </c>
      <c r="C9" s="34">
        <f>IFERROR(__xludf.DUMMYFUNCTION("""COMPUTED_VALUE"""),0.9988826815642458)</f>
        <v>0.9988826816</v>
      </c>
      <c r="D9" s="34">
        <f>IFERROR(__xludf.DUMMYFUNCTION("""COMPUTED_VALUE"""),0.9284916201117318)</f>
        <v>0.9284916201</v>
      </c>
      <c r="E9" s="33"/>
      <c r="F9" s="36"/>
      <c r="G9" s="36"/>
      <c r="H9" s="33">
        <f>IFERROR(__xludf.DUMMYFUNCTION("""COMPUTED_VALUE"""),85.0)</f>
        <v>85</v>
      </c>
      <c r="I9" s="34">
        <f>IFERROR(__xludf.DUMMYFUNCTION("""COMPUTED_VALUE"""),0.9882352941176471)</f>
        <v>0.9882352941</v>
      </c>
      <c r="J9" s="34">
        <f>IFERROR(__xludf.DUMMYFUNCTION("""COMPUTED_VALUE"""),0.8235294117647058)</f>
        <v>0.8235294118</v>
      </c>
      <c r="K9" s="33">
        <f>IFERROR(__xludf.DUMMYFUNCTION("""COMPUTED_VALUE"""),980.0)</f>
        <v>980</v>
      </c>
      <c r="L9" s="34">
        <f>IFERROR(__xludf.DUMMYFUNCTION("""COMPUTED_VALUE"""),0.9979591836734694)</f>
        <v>0.9979591837</v>
      </c>
      <c r="M9" s="98">
        <f>IFERROR(__xludf.DUMMYFUNCTION("""COMPUTED_VALUE"""),0.9193877551020408)</f>
        <v>0.9193877551</v>
      </c>
      <c r="O9" s="92" t="str">
        <f>IFERROR(__xludf.DUMMYFUNCTION("""COMPUTED_VALUE"""),"Lê Trọng Khiêm")</f>
        <v>Lê Trọng Khiêm</v>
      </c>
      <c r="P9" s="93" t="str">
        <f>IFERROR(__xludf.DUMMYFUNCTION("""COMPUTED_VALUE"""),"BC 71 Quốc Lộ 1A-Xã Tuy An Bắc-Phú Yên")</f>
        <v>BC 71 Quốc Lộ 1A-Xã Tuy An Bắc-Phú Yên</v>
      </c>
      <c r="Q9" s="94">
        <f>IFERROR(__xludf.DUMMYFUNCTION("""COMPUTED_VALUE"""),10.0)</f>
        <v>10</v>
      </c>
      <c r="R9" s="95">
        <f>IFERROR(__xludf.DUMMYFUNCTION("""COMPUTED_VALUE"""),1.0)</f>
        <v>1</v>
      </c>
      <c r="S9" s="95">
        <f>IFERROR(__xludf.DUMMYFUNCTION("""COMPUTED_VALUE"""),0.6)</f>
        <v>0.6</v>
      </c>
      <c r="T9" s="95">
        <f>IFERROR(__xludf.DUMMYFUNCTION("""COMPUTED_VALUE"""),0.6)</f>
        <v>0.6</v>
      </c>
      <c r="U9" s="94">
        <f>IFERROR(__xludf.DUMMYFUNCTION("""COMPUTED_VALUE"""),9.0)</f>
        <v>9</v>
      </c>
      <c r="V9" s="95">
        <f>IFERROR(__xludf.DUMMYFUNCTION("""COMPUTED_VALUE"""),1.0)</f>
        <v>1</v>
      </c>
      <c r="W9" s="95">
        <f>IFERROR(__xludf.DUMMYFUNCTION("""COMPUTED_VALUE"""),0.8888888888888888)</f>
        <v>0.8888888889</v>
      </c>
      <c r="X9" s="95">
        <f>IFERROR(__xludf.DUMMYFUNCTION("""COMPUTED_VALUE"""),0.8888888888888888)</f>
        <v>0.8888888889</v>
      </c>
      <c r="Y9" s="94">
        <f>IFERROR(__xludf.DUMMYFUNCTION("""COMPUTED_VALUE"""),19.0)</f>
        <v>19</v>
      </c>
      <c r="Z9" s="95">
        <f>IFERROR(__xludf.DUMMYFUNCTION("""COMPUTED_VALUE"""),1.0)</f>
        <v>1</v>
      </c>
      <c r="AA9" s="95">
        <f>IFERROR(__xludf.DUMMYFUNCTION("""COMPUTED_VALUE"""),0.7368421052631579)</f>
        <v>0.7368421053</v>
      </c>
      <c r="AB9" s="96">
        <f>IFERROR(__xludf.DUMMYFUNCTION("""COMPUTED_VALUE"""),0.7368421052631579)</f>
        <v>0.7368421053</v>
      </c>
    </row>
    <row r="10" ht="17.25" customHeight="1">
      <c r="A10" s="99" t="str">
        <f>IFERROR(__xludf.DUMMYFUNCTION("""COMPUTED_VALUE"""),"Phan Thanh Thức")</f>
        <v>Phan Thanh Thức</v>
      </c>
      <c r="B10" s="38">
        <f>IFERROR(__xludf.DUMMYFUNCTION("""COMPUTED_VALUE"""),1018.0)</f>
        <v>1018</v>
      </c>
      <c r="C10" s="39">
        <f>IFERROR(__xludf.DUMMYFUNCTION("""COMPUTED_VALUE"""),1.0)</f>
        <v>1</v>
      </c>
      <c r="D10" s="39">
        <f>IFERROR(__xludf.DUMMYFUNCTION("""COMPUTED_VALUE"""),0.9341846758349706)</f>
        <v>0.9341846758</v>
      </c>
      <c r="E10" s="38"/>
      <c r="F10" s="51"/>
      <c r="G10" s="51"/>
      <c r="H10" s="38">
        <f>IFERROR(__xludf.DUMMYFUNCTION("""COMPUTED_VALUE"""),66.0)</f>
        <v>66</v>
      </c>
      <c r="I10" s="39">
        <f>IFERROR(__xludf.DUMMYFUNCTION("""COMPUTED_VALUE"""),1.0)</f>
        <v>1</v>
      </c>
      <c r="J10" s="39">
        <f>IFERROR(__xludf.DUMMYFUNCTION("""COMPUTED_VALUE"""),0.696969696969697)</f>
        <v>0.696969697</v>
      </c>
      <c r="K10" s="38">
        <f>IFERROR(__xludf.DUMMYFUNCTION("""COMPUTED_VALUE"""),1084.0)</f>
        <v>1084</v>
      </c>
      <c r="L10" s="39">
        <f>IFERROR(__xludf.DUMMYFUNCTION("""COMPUTED_VALUE"""),1.0)</f>
        <v>1</v>
      </c>
      <c r="M10" s="100">
        <f>IFERROR(__xludf.DUMMYFUNCTION("""COMPUTED_VALUE"""),0.9197416974169742)</f>
        <v>0.9197416974</v>
      </c>
      <c r="O10" s="92" t="str">
        <f>IFERROR(__xludf.DUMMYFUNCTION("""COMPUTED_VALUE"""),"Nguyễn Công Luận")</f>
        <v>Nguyễn Công Luận</v>
      </c>
      <c r="P10" s="93" t="str">
        <f>IFERROR(__xludf.DUMMYFUNCTION("""COMPUTED_VALUE"""),"BC 172 Quang Trung-Đức Cơ-Gia Lai")</f>
        <v>BC 172 Quang Trung-Đức Cơ-Gia Lai</v>
      </c>
      <c r="Q10" s="94">
        <f>IFERROR(__xludf.DUMMYFUNCTION("""COMPUTED_VALUE"""),8.0)</f>
        <v>8</v>
      </c>
      <c r="R10" s="95">
        <f>IFERROR(__xludf.DUMMYFUNCTION("""COMPUTED_VALUE"""),0.875)</f>
        <v>0.875</v>
      </c>
      <c r="S10" s="95">
        <f>IFERROR(__xludf.DUMMYFUNCTION("""COMPUTED_VALUE"""),0.5)</f>
        <v>0.5</v>
      </c>
      <c r="T10" s="95">
        <f>IFERROR(__xludf.DUMMYFUNCTION("""COMPUTED_VALUE"""),0.25)</f>
        <v>0.25</v>
      </c>
      <c r="U10" s="94">
        <f>IFERROR(__xludf.DUMMYFUNCTION("""COMPUTED_VALUE"""),15.0)</f>
        <v>15</v>
      </c>
      <c r="V10" s="95">
        <f>IFERROR(__xludf.DUMMYFUNCTION("""COMPUTED_VALUE"""),1.0)</f>
        <v>1</v>
      </c>
      <c r="W10" s="95">
        <f>IFERROR(__xludf.DUMMYFUNCTION("""COMPUTED_VALUE"""),0.9333333333333333)</f>
        <v>0.9333333333</v>
      </c>
      <c r="X10" s="95">
        <f>IFERROR(__xludf.DUMMYFUNCTION("""COMPUTED_VALUE"""),0.8)</f>
        <v>0.8</v>
      </c>
      <c r="Y10" s="94">
        <f>IFERROR(__xludf.DUMMYFUNCTION("""COMPUTED_VALUE"""),23.0)</f>
        <v>23</v>
      </c>
      <c r="Z10" s="95">
        <f>IFERROR(__xludf.DUMMYFUNCTION("""COMPUTED_VALUE"""),0.9565217391304348)</f>
        <v>0.9565217391</v>
      </c>
      <c r="AA10" s="95">
        <f>IFERROR(__xludf.DUMMYFUNCTION("""COMPUTED_VALUE"""),0.782608695652174)</f>
        <v>0.7826086957</v>
      </c>
      <c r="AB10" s="96">
        <f>IFERROR(__xludf.DUMMYFUNCTION("""COMPUTED_VALUE"""),0.6086956521739131)</f>
        <v>0.6086956522</v>
      </c>
    </row>
    <row r="11" ht="17.25" customHeight="1">
      <c r="A11" s="99" t="str">
        <f>IFERROR(__xludf.DUMMYFUNCTION("""COMPUTED_VALUE"""),"Nguyễn Công Luận")</f>
        <v>Nguyễn Công Luận</v>
      </c>
      <c r="B11" s="38">
        <f>IFERROR(__xludf.DUMMYFUNCTION("""COMPUTED_VALUE"""),3110.0)</f>
        <v>3110</v>
      </c>
      <c r="C11" s="39">
        <f>IFERROR(__xludf.DUMMYFUNCTION("""COMPUTED_VALUE"""),0.9993569131832798)</f>
        <v>0.9993569132</v>
      </c>
      <c r="D11" s="39">
        <f>IFERROR(__xludf.DUMMYFUNCTION("""COMPUTED_VALUE"""),0.9289389067524115)</f>
        <v>0.9289389068</v>
      </c>
      <c r="E11" s="38"/>
      <c r="F11" s="51"/>
      <c r="G11" s="51"/>
      <c r="H11" s="38">
        <f>IFERROR(__xludf.DUMMYFUNCTION("""COMPUTED_VALUE"""),132.0)</f>
        <v>132</v>
      </c>
      <c r="I11" s="39">
        <f>IFERROR(__xludf.DUMMYFUNCTION("""COMPUTED_VALUE"""),1.0)</f>
        <v>1</v>
      </c>
      <c r="J11" s="39">
        <f>IFERROR(__xludf.DUMMYFUNCTION("""COMPUTED_VALUE"""),0.9090909090909091)</f>
        <v>0.9090909091</v>
      </c>
      <c r="K11" s="38">
        <f>IFERROR(__xludf.DUMMYFUNCTION("""COMPUTED_VALUE"""),3242.0)</f>
        <v>3242</v>
      </c>
      <c r="L11" s="39">
        <f>IFERROR(__xludf.DUMMYFUNCTION("""COMPUTED_VALUE"""),0.999383096853794)</f>
        <v>0.9993830969</v>
      </c>
      <c r="M11" s="100">
        <f>IFERROR(__xludf.DUMMYFUNCTION("""COMPUTED_VALUE"""),0.9281307834669957)</f>
        <v>0.9281307835</v>
      </c>
      <c r="O11" s="92" t="str">
        <f>IFERROR(__xludf.DUMMYFUNCTION("""COMPUTED_VALUE"""),"Phan Thanh Thức")</f>
        <v>Phan Thanh Thức</v>
      </c>
      <c r="P11" s="93" t="str">
        <f>IFERROR(__xludf.DUMMYFUNCTION("""COMPUTED_VALUE"""),"BC 396 Âu Cơ-Bùi Thị Xuân-Quy Nhơn-Bình Định")</f>
        <v>BC 396 Âu Cơ-Bùi Thị Xuân-Quy Nhơn-Bình Định</v>
      </c>
      <c r="Q11" s="94">
        <f>IFERROR(__xludf.DUMMYFUNCTION("""COMPUTED_VALUE"""),36.0)</f>
        <v>36</v>
      </c>
      <c r="R11" s="95">
        <f>IFERROR(__xludf.DUMMYFUNCTION("""COMPUTED_VALUE"""),1.0)</f>
        <v>1</v>
      </c>
      <c r="S11" s="95">
        <f>IFERROR(__xludf.DUMMYFUNCTION("""COMPUTED_VALUE"""),0.7777777777777778)</f>
        <v>0.7777777778</v>
      </c>
      <c r="T11" s="95">
        <f>IFERROR(__xludf.DUMMYFUNCTION("""COMPUTED_VALUE"""),0.7222222222222222)</f>
        <v>0.7222222222</v>
      </c>
      <c r="U11" s="94">
        <f>IFERROR(__xludf.DUMMYFUNCTION("""COMPUTED_VALUE"""),1.0)</f>
        <v>1</v>
      </c>
      <c r="V11" s="95">
        <f>IFERROR(__xludf.DUMMYFUNCTION("""COMPUTED_VALUE"""),1.0)</f>
        <v>1</v>
      </c>
      <c r="W11" s="95">
        <f>IFERROR(__xludf.DUMMYFUNCTION("""COMPUTED_VALUE"""),1.0)</f>
        <v>1</v>
      </c>
      <c r="X11" s="95">
        <f>IFERROR(__xludf.DUMMYFUNCTION("""COMPUTED_VALUE"""),1.0)</f>
        <v>1</v>
      </c>
      <c r="Y11" s="94">
        <f>IFERROR(__xludf.DUMMYFUNCTION("""COMPUTED_VALUE"""),37.0)</f>
        <v>37</v>
      </c>
      <c r="Z11" s="95">
        <f>IFERROR(__xludf.DUMMYFUNCTION("""COMPUTED_VALUE"""),1.0)</f>
        <v>1</v>
      </c>
      <c r="AA11" s="95">
        <f>IFERROR(__xludf.DUMMYFUNCTION("""COMPUTED_VALUE"""),0.7837837837837838)</f>
        <v>0.7837837838</v>
      </c>
      <c r="AB11" s="96">
        <f>IFERROR(__xludf.DUMMYFUNCTION("""COMPUTED_VALUE"""),0.7297297297297297)</f>
        <v>0.7297297297</v>
      </c>
    </row>
    <row r="12" ht="17.25" customHeight="1">
      <c r="A12" s="99" t="str">
        <f>IFERROR(__xludf.DUMMYFUNCTION("""COMPUTED_VALUE"""),"Mai Đức Hoàng Long")</f>
        <v>Mai Đức Hoàng Long</v>
      </c>
      <c r="B12" s="38">
        <f>IFERROR(__xludf.DUMMYFUNCTION("""COMPUTED_VALUE"""),635.0)</f>
        <v>635</v>
      </c>
      <c r="C12" s="39">
        <f>IFERROR(__xludf.DUMMYFUNCTION("""COMPUTED_VALUE"""),0.9921259842519685)</f>
        <v>0.9921259843</v>
      </c>
      <c r="D12" s="39">
        <f>IFERROR(__xludf.DUMMYFUNCTION("""COMPUTED_VALUE"""),0.937007874015748)</f>
        <v>0.937007874</v>
      </c>
      <c r="E12" s="38"/>
      <c r="F12" s="51"/>
      <c r="G12" s="51"/>
      <c r="H12" s="38">
        <f>IFERROR(__xludf.DUMMYFUNCTION("""COMPUTED_VALUE"""),45.0)</f>
        <v>45</v>
      </c>
      <c r="I12" s="39">
        <f>IFERROR(__xludf.DUMMYFUNCTION("""COMPUTED_VALUE"""),1.0)</f>
        <v>1</v>
      </c>
      <c r="J12" s="39">
        <f>IFERROR(__xludf.DUMMYFUNCTION("""COMPUTED_VALUE"""),0.8666666666666667)</f>
        <v>0.8666666667</v>
      </c>
      <c r="K12" s="38">
        <f>IFERROR(__xludf.DUMMYFUNCTION("""COMPUTED_VALUE"""),680.0)</f>
        <v>680</v>
      </c>
      <c r="L12" s="39">
        <f>IFERROR(__xludf.DUMMYFUNCTION("""COMPUTED_VALUE"""),0.9926470588235294)</f>
        <v>0.9926470588</v>
      </c>
      <c r="M12" s="100">
        <f>IFERROR(__xludf.DUMMYFUNCTION("""COMPUTED_VALUE"""),0.9323529411764706)</f>
        <v>0.9323529412</v>
      </c>
      <c r="O12" s="92" t="str">
        <f>IFERROR(__xludf.DUMMYFUNCTION("""COMPUTED_VALUE"""),"Mai Đức Hoàng Long")</f>
        <v>Mai Đức Hoàng Long</v>
      </c>
      <c r="P12" s="93" t="str">
        <f>IFERROR(__xludf.DUMMYFUNCTION("""COMPUTED_VALUE"""),"BC 64 Hùng Vương-Thị Trấn Krông Năng-Đắk Lắk")</f>
        <v>BC 64 Hùng Vương-Thị Trấn Krông Năng-Đắk Lắk</v>
      </c>
      <c r="Q12" s="94">
        <f>IFERROR(__xludf.DUMMYFUNCTION("""COMPUTED_VALUE"""),102.0)</f>
        <v>102</v>
      </c>
      <c r="R12" s="95">
        <f>IFERROR(__xludf.DUMMYFUNCTION("""COMPUTED_VALUE"""),0.9901960784313726)</f>
        <v>0.9901960784</v>
      </c>
      <c r="S12" s="95">
        <f>IFERROR(__xludf.DUMMYFUNCTION("""COMPUTED_VALUE"""),0.803921568627451)</f>
        <v>0.8039215686</v>
      </c>
      <c r="T12" s="95">
        <f>IFERROR(__xludf.DUMMYFUNCTION("""COMPUTED_VALUE"""),0.803921568627451)</f>
        <v>0.8039215686</v>
      </c>
      <c r="U12" s="94">
        <f>IFERROR(__xludf.DUMMYFUNCTION("""COMPUTED_VALUE"""),11.0)</f>
        <v>11</v>
      </c>
      <c r="V12" s="95">
        <f>IFERROR(__xludf.DUMMYFUNCTION("""COMPUTED_VALUE"""),1.0)</f>
        <v>1</v>
      </c>
      <c r="W12" s="95">
        <f>IFERROR(__xludf.DUMMYFUNCTION("""COMPUTED_VALUE"""),0.8181818181818182)</f>
        <v>0.8181818182</v>
      </c>
      <c r="X12" s="95">
        <f>IFERROR(__xludf.DUMMYFUNCTION("""COMPUTED_VALUE"""),0.8181818181818182)</f>
        <v>0.8181818182</v>
      </c>
      <c r="Y12" s="94">
        <f>IFERROR(__xludf.DUMMYFUNCTION("""COMPUTED_VALUE"""),113.0)</f>
        <v>113</v>
      </c>
      <c r="Z12" s="95">
        <f>IFERROR(__xludf.DUMMYFUNCTION("""COMPUTED_VALUE"""),0.9911504424778761)</f>
        <v>0.9911504425</v>
      </c>
      <c r="AA12" s="95">
        <f>IFERROR(__xludf.DUMMYFUNCTION("""COMPUTED_VALUE"""),0.8053097345132744)</f>
        <v>0.8053097345</v>
      </c>
      <c r="AB12" s="96">
        <f>IFERROR(__xludf.DUMMYFUNCTION("""COMPUTED_VALUE"""),0.8053097345132744)</f>
        <v>0.8053097345</v>
      </c>
    </row>
    <row r="13" ht="17.25" customHeight="1">
      <c r="A13" s="99" t="str">
        <f>IFERROR(__xludf.DUMMYFUNCTION("""COMPUTED_VALUE"""),"Nguyễn Thị Bảo Nhi")</f>
        <v>Nguyễn Thị Bảo Nhi</v>
      </c>
      <c r="B13" s="38">
        <f>IFERROR(__xludf.DUMMYFUNCTION("""COMPUTED_VALUE"""),1041.0)</f>
        <v>1041</v>
      </c>
      <c r="C13" s="39">
        <f>IFERROR(__xludf.DUMMYFUNCTION("""COMPUTED_VALUE"""),0.9702209414024976)</f>
        <v>0.9702209414</v>
      </c>
      <c r="D13" s="39">
        <f>IFERROR(__xludf.DUMMYFUNCTION("""COMPUTED_VALUE"""),0.9356388088376562)</f>
        <v>0.9356388088</v>
      </c>
      <c r="E13" s="38"/>
      <c r="F13" s="51"/>
      <c r="G13" s="51"/>
      <c r="H13" s="38">
        <f>IFERROR(__xludf.DUMMYFUNCTION("""COMPUTED_VALUE"""),71.0)</f>
        <v>71</v>
      </c>
      <c r="I13" s="39">
        <f>IFERROR(__xludf.DUMMYFUNCTION("""COMPUTED_VALUE"""),1.0)</f>
        <v>1</v>
      </c>
      <c r="J13" s="39">
        <f>IFERROR(__xludf.DUMMYFUNCTION("""COMPUTED_VALUE"""),0.9014084507042254)</f>
        <v>0.9014084507</v>
      </c>
      <c r="K13" s="38">
        <f>IFERROR(__xludf.DUMMYFUNCTION("""COMPUTED_VALUE"""),1112.0)</f>
        <v>1112</v>
      </c>
      <c r="L13" s="39">
        <f>IFERROR(__xludf.DUMMYFUNCTION("""COMPUTED_VALUE"""),0.9721223021582733)</f>
        <v>0.9721223022</v>
      </c>
      <c r="M13" s="100">
        <f>IFERROR(__xludf.DUMMYFUNCTION("""COMPUTED_VALUE"""),0.9334532374100719)</f>
        <v>0.9334532374</v>
      </c>
      <c r="O13" s="92" t="str">
        <f>IFERROR(__xludf.DUMMYFUNCTION("""COMPUTED_VALUE"""),"Ngô  Thị Bích Trâm ")</f>
        <v>Ngô  Thị Bích Trâm </v>
      </c>
      <c r="P13" s="93" t="str">
        <f>IFERROR(__xludf.DUMMYFUNCTION("""COMPUTED_VALUE"""),"BC 499 Phạm Văn Đồng-Pleiku-Gia Lai")</f>
        <v>BC 499 Phạm Văn Đồng-Pleiku-Gia Lai</v>
      </c>
      <c r="Q13" s="94">
        <f>IFERROR(__xludf.DUMMYFUNCTION("""COMPUTED_VALUE"""),441.0)</f>
        <v>441</v>
      </c>
      <c r="R13" s="95">
        <f>IFERROR(__xludf.DUMMYFUNCTION("""COMPUTED_VALUE"""),0.9954648526077098)</f>
        <v>0.9954648526</v>
      </c>
      <c r="S13" s="95">
        <f>IFERROR(__xludf.DUMMYFUNCTION("""COMPUTED_VALUE"""),0.8049886621315193)</f>
        <v>0.8049886621</v>
      </c>
      <c r="T13" s="95">
        <f>IFERROR(__xludf.DUMMYFUNCTION("""COMPUTED_VALUE"""),0.7959183673469388)</f>
        <v>0.7959183673</v>
      </c>
      <c r="U13" s="94">
        <f>IFERROR(__xludf.DUMMYFUNCTION("""COMPUTED_VALUE"""),51.0)</f>
        <v>51</v>
      </c>
      <c r="V13" s="95">
        <f>IFERROR(__xludf.DUMMYFUNCTION("""COMPUTED_VALUE"""),0.9803921568627451)</f>
        <v>0.9803921569</v>
      </c>
      <c r="W13" s="95">
        <f>IFERROR(__xludf.DUMMYFUNCTION("""COMPUTED_VALUE"""),0.8823529411764706)</f>
        <v>0.8823529412</v>
      </c>
      <c r="X13" s="95">
        <f>IFERROR(__xludf.DUMMYFUNCTION("""COMPUTED_VALUE"""),0.8235294117647058)</f>
        <v>0.8235294118</v>
      </c>
      <c r="Y13" s="94">
        <f>IFERROR(__xludf.DUMMYFUNCTION("""COMPUTED_VALUE"""),492.0)</f>
        <v>492</v>
      </c>
      <c r="Z13" s="95">
        <f>IFERROR(__xludf.DUMMYFUNCTION("""COMPUTED_VALUE"""),0.9939024390243902)</f>
        <v>0.993902439</v>
      </c>
      <c r="AA13" s="95">
        <f>IFERROR(__xludf.DUMMYFUNCTION("""COMPUTED_VALUE"""),0.8130081300813008)</f>
        <v>0.8130081301</v>
      </c>
      <c r="AB13" s="96">
        <f>IFERROR(__xludf.DUMMYFUNCTION("""COMPUTED_VALUE"""),0.7987804878048781)</f>
        <v>0.7987804878</v>
      </c>
    </row>
    <row r="14" ht="17.25" customHeight="1">
      <c r="A14" s="99" t="str">
        <f>IFERROR(__xludf.DUMMYFUNCTION("""COMPUTED_VALUE"""),"Trần Nhật Thương")</f>
        <v>Trần Nhật Thương</v>
      </c>
      <c r="B14" s="38">
        <f>IFERROR(__xludf.DUMMYFUNCTION("""COMPUTED_VALUE"""),1031.0)</f>
        <v>1031</v>
      </c>
      <c r="C14" s="39">
        <f>IFERROR(__xludf.DUMMYFUNCTION("""COMPUTED_VALUE"""),1.0)</f>
        <v>1</v>
      </c>
      <c r="D14" s="39">
        <f>IFERROR(__xludf.DUMMYFUNCTION("""COMPUTED_VALUE"""),0.9398642095053347)</f>
        <v>0.9398642095</v>
      </c>
      <c r="E14" s="38"/>
      <c r="F14" s="51"/>
      <c r="G14" s="51"/>
      <c r="H14" s="38">
        <f>IFERROR(__xludf.DUMMYFUNCTION("""COMPUTED_VALUE"""),98.0)</f>
        <v>98</v>
      </c>
      <c r="I14" s="39">
        <f>IFERROR(__xludf.DUMMYFUNCTION("""COMPUTED_VALUE"""),1.0)</f>
        <v>1</v>
      </c>
      <c r="J14" s="39">
        <f>IFERROR(__xludf.DUMMYFUNCTION("""COMPUTED_VALUE"""),0.8877551020408163)</f>
        <v>0.887755102</v>
      </c>
      <c r="K14" s="38">
        <f>IFERROR(__xludf.DUMMYFUNCTION("""COMPUTED_VALUE"""),1129.0)</f>
        <v>1129</v>
      </c>
      <c r="L14" s="39">
        <f>IFERROR(__xludf.DUMMYFUNCTION("""COMPUTED_VALUE"""),1.0)</f>
        <v>1</v>
      </c>
      <c r="M14" s="100">
        <f>IFERROR(__xludf.DUMMYFUNCTION("""COMPUTED_VALUE"""),0.9353410097431355)</f>
        <v>0.9353410097</v>
      </c>
      <c r="O14" s="92" t="str">
        <f>IFERROR(__xludf.DUMMYFUNCTION("""COMPUTED_VALUE"""),"Ngô  Thị Bích Trâm ")</f>
        <v>Ngô  Thị Bích Trâm </v>
      </c>
      <c r="P14" s="93" t="str">
        <f>IFERROR(__xludf.DUMMYFUNCTION("""COMPUTED_VALUE"""),"BC 236A Nguyễn Huệ-Đak Đoa-Gia Lai")</f>
        <v>BC 236A Nguyễn Huệ-Đak Đoa-Gia Lai</v>
      </c>
      <c r="Q14" s="94">
        <f>IFERROR(__xludf.DUMMYFUNCTION("""COMPUTED_VALUE"""),66.0)</f>
        <v>66</v>
      </c>
      <c r="R14" s="95">
        <f>IFERROR(__xludf.DUMMYFUNCTION("""COMPUTED_VALUE"""),1.0)</f>
        <v>1</v>
      </c>
      <c r="S14" s="95">
        <f>IFERROR(__xludf.DUMMYFUNCTION("""COMPUTED_VALUE"""),0.8333333333333334)</f>
        <v>0.8333333333</v>
      </c>
      <c r="T14" s="95">
        <f>IFERROR(__xludf.DUMMYFUNCTION("""COMPUTED_VALUE"""),0.7878787878787878)</f>
        <v>0.7878787879</v>
      </c>
      <c r="U14" s="94">
        <f>IFERROR(__xludf.DUMMYFUNCTION("""COMPUTED_VALUE"""),10.0)</f>
        <v>10</v>
      </c>
      <c r="V14" s="95">
        <f>IFERROR(__xludf.DUMMYFUNCTION("""COMPUTED_VALUE"""),1.0)</f>
        <v>1</v>
      </c>
      <c r="W14" s="95">
        <f>IFERROR(__xludf.DUMMYFUNCTION("""COMPUTED_VALUE"""),0.7)</f>
        <v>0.7</v>
      </c>
      <c r="X14" s="95">
        <f>IFERROR(__xludf.DUMMYFUNCTION("""COMPUTED_VALUE"""),0.6)</f>
        <v>0.6</v>
      </c>
      <c r="Y14" s="94">
        <f>IFERROR(__xludf.DUMMYFUNCTION("""COMPUTED_VALUE"""),76.0)</f>
        <v>76</v>
      </c>
      <c r="Z14" s="95">
        <f>IFERROR(__xludf.DUMMYFUNCTION("""COMPUTED_VALUE"""),1.0)</f>
        <v>1</v>
      </c>
      <c r="AA14" s="95">
        <f>IFERROR(__xludf.DUMMYFUNCTION("""COMPUTED_VALUE"""),0.8157894736842105)</f>
        <v>0.8157894737</v>
      </c>
      <c r="AB14" s="96">
        <f>IFERROR(__xludf.DUMMYFUNCTION("""COMPUTED_VALUE"""),0.7631578947368421)</f>
        <v>0.7631578947</v>
      </c>
    </row>
    <row r="15" ht="17.25" customHeight="1">
      <c r="A15" s="99" t="str">
        <f>IFERROR(__xludf.DUMMYFUNCTION("""COMPUTED_VALUE"""),"Nguyễn  Hoàng Anh ")</f>
        <v>Nguyễn  Hoàng Anh </v>
      </c>
      <c r="B15" s="38">
        <f>IFERROR(__xludf.DUMMYFUNCTION("""COMPUTED_VALUE"""),1031.0)</f>
        <v>1031</v>
      </c>
      <c r="C15" s="39">
        <f>IFERROR(__xludf.DUMMYFUNCTION("""COMPUTED_VALUE"""),0.9961202715809894)</f>
        <v>0.9961202716</v>
      </c>
      <c r="D15" s="39">
        <f>IFERROR(__xludf.DUMMYFUNCTION("""COMPUTED_VALUE"""),0.94180407371484)</f>
        <v>0.9418040737</v>
      </c>
      <c r="E15" s="38"/>
      <c r="F15" s="51"/>
      <c r="G15" s="51"/>
      <c r="H15" s="38">
        <f>IFERROR(__xludf.DUMMYFUNCTION("""COMPUTED_VALUE"""),57.0)</f>
        <v>57</v>
      </c>
      <c r="I15" s="39">
        <f>IFERROR(__xludf.DUMMYFUNCTION("""COMPUTED_VALUE"""),0.9824561403508771)</f>
        <v>0.9824561404</v>
      </c>
      <c r="J15" s="39">
        <f>IFERROR(__xludf.DUMMYFUNCTION("""COMPUTED_VALUE"""),0.9122807017543859)</f>
        <v>0.9122807018</v>
      </c>
      <c r="K15" s="38">
        <f>IFERROR(__xludf.DUMMYFUNCTION("""COMPUTED_VALUE"""),1088.0)</f>
        <v>1088</v>
      </c>
      <c r="L15" s="39">
        <f>IFERROR(__xludf.DUMMYFUNCTION("""COMPUTED_VALUE"""),0.9954044117647058)</f>
        <v>0.9954044118</v>
      </c>
      <c r="M15" s="100">
        <f>IFERROR(__xludf.DUMMYFUNCTION("""COMPUTED_VALUE"""),0.9402573529411765)</f>
        <v>0.9402573529</v>
      </c>
      <c r="O15" s="92" t="str">
        <f>IFERROR(__xludf.DUMMYFUNCTION("""COMPUTED_VALUE"""),"Nguyễn Văn Sáng")</f>
        <v>Nguyễn Văn Sáng</v>
      </c>
      <c r="P15" s="93" t="str">
        <f>IFERROR(__xludf.DUMMYFUNCTION("""COMPUTED_VALUE"""),"BC 99 Nguyễn Khuyến-Buôn Ma Thuột-Đắk Lắk")</f>
        <v>BC 99 Nguyễn Khuyến-Buôn Ma Thuột-Đắk Lắk</v>
      </c>
      <c r="Q15" s="94">
        <f>IFERROR(__xludf.DUMMYFUNCTION("""COMPUTED_VALUE"""),256.0)</f>
        <v>256</v>
      </c>
      <c r="R15" s="95">
        <f>IFERROR(__xludf.DUMMYFUNCTION("""COMPUTED_VALUE"""),0.98828125)</f>
        <v>0.98828125</v>
      </c>
      <c r="S15" s="95">
        <f>IFERROR(__xludf.DUMMYFUNCTION("""COMPUTED_VALUE"""),0.8359375)</f>
        <v>0.8359375</v>
      </c>
      <c r="T15" s="95">
        <f>IFERROR(__xludf.DUMMYFUNCTION("""COMPUTED_VALUE"""),0.8359375)</f>
        <v>0.8359375</v>
      </c>
      <c r="U15" s="94">
        <f>IFERROR(__xludf.DUMMYFUNCTION("""COMPUTED_VALUE"""),27.0)</f>
        <v>27</v>
      </c>
      <c r="V15" s="95">
        <f>IFERROR(__xludf.DUMMYFUNCTION("""COMPUTED_VALUE"""),1.0)</f>
        <v>1</v>
      </c>
      <c r="W15" s="95">
        <f>IFERROR(__xludf.DUMMYFUNCTION("""COMPUTED_VALUE"""),0.6666666666666666)</f>
        <v>0.6666666667</v>
      </c>
      <c r="X15" s="95">
        <f>IFERROR(__xludf.DUMMYFUNCTION("""COMPUTED_VALUE"""),0.5925925925925926)</f>
        <v>0.5925925926</v>
      </c>
      <c r="Y15" s="94">
        <f>IFERROR(__xludf.DUMMYFUNCTION("""COMPUTED_VALUE"""),283.0)</f>
        <v>283</v>
      </c>
      <c r="Z15" s="95">
        <f>IFERROR(__xludf.DUMMYFUNCTION("""COMPUTED_VALUE"""),0.9893992932862191)</f>
        <v>0.9893992933</v>
      </c>
      <c r="AA15" s="95">
        <f>IFERROR(__xludf.DUMMYFUNCTION("""COMPUTED_VALUE"""),0.8197879858657244)</f>
        <v>0.8197879859</v>
      </c>
      <c r="AB15" s="96">
        <f>IFERROR(__xludf.DUMMYFUNCTION("""COMPUTED_VALUE"""),0.8127208480565371)</f>
        <v>0.8127208481</v>
      </c>
    </row>
    <row r="16" ht="17.25" customHeight="1">
      <c r="A16" s="99" t="str">
        <f>IFERROR(__xludf.DUMMYFUNCTION("""COMPUTED_VALUE"""),"Ngô  Thị Bích Trâm ")</f>
        <v>Ngô  Thị Bích Trâm </v>
      </c>
      <c r="B16" s="38">
        <f>IFERROR(__xludf.DUMMYFUNCTION("""COMPUTED_VALUE"""),491.0)</f>
        <v>491</v>
      </c>
      <c r="C16" s="39">
        <f>IFERROR(__xludf.DUMMYFUNCTION("""COMPUTED_VALUE"""),1.0)</f>
        <v>1</v>
      </c>
      <c r="D16" s="39">
        <f>IFERROR(__xludf.DUMMYFUNCTION("""COMPUTED_VALUE"""),0.9613034623217923)</f>
        <v>0.9613034623</v>
      </c>
      <c r="E16" s="38"/>
      <c r="F16" s="51"/>
      <c r="G16" s="51"/>
      <c r="H16" s="38">
        <f>IFERROR(__xludf.DUMMYFUNCTION("""COMPUTED_VALUE"""),49.0)</f>
        <v>49</v>
      </c>
      <c r="I16" s="39">
        <f>IFERROR(__xludf.DUMMYFUNCTION("""COMPUTED_VALUE"""),1.0)</f>
        <v>1</v>
      </c>
      <c r="J16" s="39">
        <f>IFERROR(__xludf.DUMMYFUNCTION("""COMPUTED_VALUE"""),0.8979591836734694)</f>
        <v>0.8979591837</v>
      </c>
      <c r="K16" s="38">
        <f>IFERROR(__xludf.DUMMYFUNCTION("""COMPUTED_VALUE"""),540.0)</f>
        <v>540</v>
      </c>
      <c r="L16" s="39">
        <f>IFERROR(__xludf.DUMMYFUNCTION("""COMPUTED_VALUE"""),1.0)</f>
        <v>1</v>
      </c>
      <c r="M16" s="100">
        <f>IFERROR(__xludf.DUMMYFUNCTION("""COMPUTED_VALUE"""),0.9555555555555556)</f>
        <v>0.9555555556</v>
      </c>
      <c r="O16" s="92" t="str">
        <f>IFERROR(__xludf.DUMMYFUNCTION("""COMPUTED_VALUE"""),"Lê Văn Tài")</f>
        <v>Lê Văn Tài</v>
      </c>
      <c r="P16" s="93" t="str">
        <f>IFERROR(__xludf.DUMMYFUNCTION("""COMPUTED_VALUE"""),"BC 297 Hùng Vương-CưMgar-Đắk Lắk")</f>
        <v>BC 297 Hùng Vương-CưMgar-Đắk Lắk</v>
      </c>
      <c r="Q16" s="94">
        <f>IFERROR(__xludf.DUMMYFUNCTION("""COMPUTED_VALUE"""),131.0)</f>
        <v>131</v>
      </c>
      <c r="R16" s="95">
        <f>IFERROR(__xludf.DUMMYFUNCTION("""COMPUTED_VALUE"""),1.0)</f>
        <v>1</v>
      </c>
      <c r="S16" s="95">
        <f>IFERROR(__xludf.DUMMYFUNCTION("""COMPUTED_VALUE"""),0.8625954198473282)</f>
        <v>0.8625954198</v>
      </c>
      <c r="T16" s="95">
        <f>IFERROR(__xludf.DUMMYFUNCTION("""COMPUTED_VALUE"""),0.8625954198473282)</f>
        <v>0.8625954198</v>
      </c>
      <c r="U16" s="94">
        <f>IFERROR(__xludf.DUMMYFUNCTION("""COMPUTED_VALUE"""),9.0)</f>
        <v>9</v>
      </c>
      <c r="V16" s="95">
        <f>IFERROR(__xludf.DUMMYFUNCTION("""COMPUTED_VALUE"""),1.0)</f>
        <v>1</v>
      </c>
      <c r="W16" s="95">
        <f>IFERROR(__xludf.DUMMYFUNCTION("""COMPUTED_VALUE"""),0.2222222222222222)</f>
        <v>0.2222222222</v>
      </c>
      <c r="X16" s="95">
        <f>IFERROR(__xludf.DUMMYFUNCTION("""COMPUTED_VALUE"""),0.2222222222222222)</f>
        <v>0.2222222222</v>
      </c>
      <c r="Y16" s="94">
        <f>IFERROR(__xludf.DUMMYFUNCTION("""COMPUTED_VALUE"""),140.0)</f>
        <v>140</v>
      </c>
      <c r="Z16" s="95">
        <f>IFERROR(__xludf.DUMMYFUNCTION("""COMPUTED_VALUE"""),1.0)</f>
        <v>1</v>
      </c>
      <c r="AA16" s="95">
        <f>IFERROR(__xludf.DUMMYFUNCTION("""COMPUTED_VALUE"""),0.8214285714285714)</f>
        <v>0.8214285714</v>
      </c>
      <c r="AB16" s="96">
        <f>IFERROR(__xludf.DUMMYFUNCTION("""COMPUTED_VALUE"""),0.8214285714285714)</f>
        <v>0.8214285714</v>
      </c>
    </row>
    <row r="17" ht="17.25" customHeight="1">
      <c r="A17" s="99" t="str">
        <f>IFERROR(__xludf.DUMMYFUNCTION("""COMPUTED_VALUE"""),"Lê Trọng Khiêm")</f>
        <v>Lê Trọng Khiêm</v>
      </c>
      <c r="B17" s="38">
        <f>IFERROR(__xludf.DUMMYFUNCTION("""COMPUTED_VALUE"""),616.0)</f>
        <v>616</v>
      </c>
      <c r="C17" s="39">
        <f>IFERROR(__xludf.DUMMYFUNCTION("""COMPUTED_VALUE"""),1.0)</f>
        <v>1</v>
      </c>
      <c r="D17" s="39">
        <f>IFERROR(__xludf.DUMMYFUNCTION("""COMPUTED_VALUE"""),0.9594155844155844)</f>
        <v>0.9594155844</v>
      </c>
      <c r="E17" s="38"/>
      <c r="F17" s="51"/>
      <c r="G17" s="51"/>
      <c r="H17" s="38">
        <f>IFERROR(__xludf.DUMMYFUNCTION("""COMPUTED_VALUE"""),31.0)</f>
        <v>31</v>
      </c>
      <c r="I17" s="39">
        <f>IFERROR(__xludf.DUMMYFUNCTION("""COMPUTED_VALUE"""),1.0)</f>
        <v>1</v>
      </c>
      <c r="J17" s="39">
        <f>IFERROR(__xludf.DUMMYFUNCTION("""COMPUTED_VALUE"""),0.9032258064516129)</f>
        <v>0.9032258065</v>
      </c>
      <c r="K17" s="38">
        <f>IFERROR(__xludf.DUMMYFUNCTION("""COMPUTED_VALUE"""),647.0)</f>
        <v>647</v>
      </c>
      <c r="L17" s="39">
        <f>IFERROR(__xludf.DUMMYFUNCTION("""COMPUTED_VALUE"""),1.0)</f>
        <v>1</v>
      </c>
      <c r="M17" s="100">
        <f>IFERROR(__xludf.DUMMYFUNCTION("""COMPUTED_VALUE"""),0.9567233384853169)</f>
        <v>0.9567233385</v>
      </c>
      <c r="O17" s="92" t="str">
        <f>IFERROR(__xludf.DUMMYFUNCTION("""COMPUTED_VALUE"""),"Võ Thanh Diệu ")</f>
        <v>Võ Thanh Diệu </v>
      </c>
      <c r="P17" s="93" t="str">
        <f>IFERROR(__xludf.DUMMYFUNCTION("""COMPUTED_VALUE"""),"BC Vận Hành Thôn Định Trị-Xã Vĩnh Thạnh-Bình Định")</f>
        <v>BC Vận Hành Thôn Định Trị-Xã Vĩnh Thạnh-Bình Định</v>
      </c>
      <c r="Q17" s="94">
        <f>IFERROR(__xludf.DUMMYFUNCTION("""COMPUTED_VALUE"""),11.0)</f>
        <v>11</v>
      </c>
      <c r="R17" s="95">
        <f>IFERROR(__xludf.DUMMYFUNCTION("""COMPUTED_VALUE"""),1.0)</f>
        <v>1</v>
      </c>
      <c r="S17" s="95">
        <f>IFERROR(__xludf.DUMMYFUNCTION("""COMPUTED_VALUE"""),0.8181818181818182)</f>
        <v>0.8181818182</v>
      </c>
      <c r="T17" s="95">
        <f>IFERROR(__xludf.DUMMYFUNCTION("""COMPUTED_VALUE"""),0.7272727272727273)</f>
        <v>0.7272727273</v>
      </c>
      <c r="U17" s="94">
        <f>IFERROR(__xludf.DUMMYFUNCTION("""COMPUTED_VALUE"""),1.0)</f>
        <v>1</v>
      </c>
      <c r="V17" s="95">
        <f>IFERROR(__xludf.DUMMYFUNCTION("""COMPUTED_VALUE"""),1.0)</f>
        <v>1</v>
      </c>
      <c r="W17" s="95">
        <f>IFERROR(__xludf.DUMMYFUNCTION("""COMPUTED_VALUE"""),1.0)</f>
        <v>1</v>
      </c>
      <c r="X17" s="95">
        <f>IFERROR(__xludf.DUMMYFUNCTION("""COMPUTED_VALUE"""),1.0)</f>
        <v>1</v>
      </c>
      <c r="Y17" s="94">
        <f>IFERROR(__xludf.DUMMYFUNCTION("""COMPUTED_VALUE"""),12.0)</f>
        <v>12</v>
      </c>
      <c r="Z17" s="95">
        <f>IFERROR(__xludf.DUMMYFUNCTION("""COMPUTED_VALUE"""),1.0)</f>
        <v>1</v>
      </c>
      <c r="AA17" s="95">
        <f>IFERROR(__xludf.DUMMYFUNCTION("""COMPUTED_VALUE"""),0.8333333333333334)</f>
        <v>0.8333333333</v>
      </c>
      <c r="AB17" s="96">
        <f>IFERROR(__xludf.DUMMYFUNCTION("""COMPUTED_VALUE"""),0.75)</f>
        <v>0.75</v>
      </c>
    </row>
    <row r="18" ht="17.25" customHeight="1">
      <c r="A18" s="101" t="str">
        <f>IFERROR(__xludf.DUMMYFUNCTION("""COMPUTED_VALUE"""),"Huỳnh Thị Mới ")</f>
        <v>Huỳnh Thị Mới </v>
      </c>
      <c r="B18" s="38">
        <f>IFERROR(__xludf.DUMMYFUNCTION("""COMPUTED_VALUE"""),833.0)</f>
        <v>833</v>
      </c>
      <c r="C18" s="39">
        <f>IFERROR(__xludf.DUMMYFUNCTION("""COMPUTED_VALUE"""),1.0)</f>
        <v>1</v>
      </c>
      <c r="D18" s="39">
        <f>IFERROR(__xludf.DUMMYFUNCTION("""COMPUTED_VALUE"""),0.9627851140456183)</f>
        <v>0.962785114</v>
      </c>
      <c r="E18" s="51"/>
      <c r="F18" s="51"/>
      <c r="G18" s="51"/>
      <c r="H18" s="38">
        <f>IFERROR(__xludf.DUMMYFUNCTION("""COMPUTED_VALUE"""),82.0)</f>
        <v>82</v>
      </c>
      <c r="I18" s="39">
        <f>IFERROR(__xludf.DUMMYFUNCTION("""COMPUTED_VALUE"""),1.0)</f>
        <v>1</v>
      </c>
      <c r="J18" s="39">
        <f>IFERROR(__xludf.DUMMYFUNCTION("""COMPUTED_VALUE"""),0.9390243902439024)</f>
        <v>0.9390243902</v>
      </c>
      <c r="K18" s="38">
        <f>IFERROR(__xludf.DUMMYFUNCTION("""COMPUTED_VALUE"""),915.0)</f>
        <v>915</v>
      </c>
      <c r="L18" s="39">
        <f>IFERROR(__xludf.DUMMYFUNCTION("""COMPUTED_VALUE"""),1.0)</f>
        <v>1</v>
      </c>
      <c r="M18" s="100">
        <f>IFERROR(__xludf.DUMMYFUNCTION("""COMPUTED_VALUE"""),0.9606557377049181)</f>
        <v>0.9606557377</v>
      </c>
      <c r="O18" s="92" t="str">
        <f>IFERROR(__xludf.DUMMYFUNCTION("""COMPUTED_VALUE"""),"Nguyễn  Ngọc Hà")</f>
        <v>Nguyễn  Ngọc Hà</v>
      </c>
      <c r="P18" s="93" t="str">
        <f>IFERROR(__xludf.DUMMYFUNCTION("""COMPUTED_VALUE"""),"BC 125 Lý Chính Thắng-Buôn Ma Thuột-Đắk Lắk")</f>
        <v>BC 125 Lý Chính Thắng-Buôn Ma Thuột-Đắk Lắk</v>
      </c>
      <c r="Q18" s="94">
        <f>IFERROR(__xludf.DUMMYFUNCTION("""COMPUTED_VALUE"""),272.0)</f>
        <v>272</v>
      </c>
      <c r="R18" s="95">
        <f>IFERROR(__xludf.DUMMYFUNCTION("""COMPUTED_VALUE"""),1.0)</f>
        <v>1</v>
      </c>
      <c r="S18" s="95">
        <f>IFERROR(__xludf.DUMMYFUNCTION("""COMPUTED_VALUE"""),0.8639705882352942)</f>
        <v>0.8639705882</v>
      </c>
      <c r="T18" s="95">
        <f>IFERROR(__xludf.DUMMYFUNCTION("""COMPUTED_VALUE"""),0.8272058823529411)</f>
        <v>0.8272058824</v>
      </c>
      <c r="U18" s="94">
        <f>IFERROR(__xludf.DUMMYFUNCTION("""COMPUTED_VALUE"""),83.0)</f>
        <v>83</v>
      </c>
      <c r="V18" s="95">
        <f>IFERROR(__xludf.DUMMYFUNCTION("""COMPUTED_VALUE"""),1.0)</f>
        <v>1</v>
      </c>
      <c r="W18" s="95">
        <f>IFERROR(__xludf.DUMMYFUNCTION("""COMPUTED_VALUE"""),0.7710843373493976)</f>
        <v>0.7710843373</v>
      </c>
      <c r="X18" s="95">
        <f>IFERROR(__xludf.DUMMYFUNCTION("""COMPUTED_VALUE"""),0.7469879518072289)</f>
        <v>0.7469879518</v>
      </c>
      <c r="Y18" s="94">
        <f>IFERROR(__xludf.DUMMYFUNCTION("""COMPUTED_VALUE"""),355.0)</f>
        <v>355</v>
      </c>
      <c r="Z18" s="95">
        <f>IFERROR(__xludf.DUMMYFUNCTION("""COMPUTED_VALUE"""),1.0)</f>
        <v>1</v>
      </c>
      <c r="AA18" s="95">
        <f>IFERROR(__xludf.DUMMYFUNCTION("""COMPUTED_VALUE"""),0.8422535211267606)</f>
        <v>0.8422535211</v>
      </c>
      <c r="AB18" s="96">
        <f>IFERROR(__xludf.DUMMYFUNCTION("""COMPUTED_VALUE"""),0.8084507042253521)</f>
        <v>0.8084507042</v>
      </c>
    </row>
    <row r="19" ht="17.25" customHeight="1">
      <c r="A19" s="101" t="str">
        <f>IFERROR(__xludf.DUMMYFUNCTION("""COMPUTED_VALUE"""),"Võ Thanh Diệu ")</f>
        <v>Võ Thanh Diệu </v>
      </c>
      <c r="B19" s="38">
        <f>IFERROR(__xludf.DUMMYFUNCTION("""COMPUTED_VALUE"""),1272.0)</f>
        <v>1272</v>
      </c>
      <c r="C19" s="39">
        <f>IFERROR(__xludf.DUMMYFUNCTION("""COMPUTED_VALUE"""),0.9992138364779874)</f>
        <v>0.9992138365</v>
      </c>
      <c r="D19" s="39">
        <f>IFERROR(__xludf.DUMMYFUNCTION("""COMPUTED_VALUE"""),0.97562893081761)</f>
        <v>0.9756289308</v>
      </c>
      <c r="E19" s="51"/>
      <c r="F19" s="51"/>
      <c r="G19" s="51"/>
      <c r="H19" s="38">
        <f>IFERROR(__xludf.DUMMYFUNCTION("""COMPUTED_VALUE"""),39.0)</f>
        <v>39</v>
      </c>
      <c r="I19" s="39">
        <f>IFERROR(__xludf.DUMMYFUNCTION("""COMPUTED_VALUE"""),1.0)</f>
        <v>1</v>
      </c>
      <c r="J19" s="39">
        <f>IFERROR(__xludf.DUMMYFUNCTION("""COMPUTED_VALUE"""),0.8205128205128205)</f>
        <v>0.8205128205</v>
      </c>
      <c r="K19" s="38">
        <f>IFERROR(__xludf.DUMMYFUNCTION("""COMPUTED_VALUE"""),1311.0)</f>
        <v>1311</v>
      </c>
      <c r="L19" s="39">
        <f>IFERROR(__xludf.DUMMYFUNCTION("""COMPUTED_VALUE"""),0.9992372234935164)</f>
        <v>0.9992372235</v>
      </c>
      <c r="M19" s="100">
        <f>IFERROR(__xludf.DUMMYFUNCTION("""COMPUTED_VALUE"""),0.9710144927536232)</f>
        <v>0.9710144928</v>
      </c>
      <c r="O19" s="92" t="str">
        <f>IFERROR(__xludf.DUMMYFUNCTION("""COMPUTED_VALUE"""),"Nguyễn  Hoàng Anh ")</f>
        <v>Nguyễn  Hoàng Anh </v>
      </c>
      <c r="P19" s="93" t="str">
        <f>IFERROR(__xludf.DUMMYFUNCTION("""COMPUTED_VALUE"""),"BC Km18-Cư Kuin-Đắk Lắk")</f>
        <v>BC Km18-Cư Kuin-Đắk Lắk</v>
      </c>
      <c r="Q19" s="94">
        <f>IFERROR(__xludf.DUMMYFUNCTION("""COMPUTED_VALUE"""),97.0)</f>
        <v>97</v>
      </c>
      <c r="R19" s="95">
        <f>IFERROR(__xludf.DUMMYFUNCTION("""COMPUTED_VALUE"""),0.979381443298969)</f>
        <v>0.9793814433</v>
      </c>
      <c r="S19" s="95">
        <f>IFERROR(__xludf.DUMMYFUNCTION("""COMPUTED_VALUE"""),0.8350515463917526)</f>
        <v>0.8350515464</v>
      </c>
      <c r="T19" s="95">
        <f>IFERROR(__xludf.DUMMYFUNCTION("""COMPUTED_VALUE"""),0.8350515463917526)</f>
        <v>0.8350515464</v>
      </c>
      <c r="U19" s="94">
        <f>IFERROR(__xludf.DUMMYFUNCTION("""COMPUTED_VALUE"""),31.0)</f>
        <v>31</v>
      </c>
      <c r="V19" s="95">
        <f>IFERROR(__xludf.DUMMYFUNCTION("""COMPUTED_VALUE"""),0.967741935483871)</f>
        <v>0.9677419355</v>
      </c>
      <c r="W19" s="95">
        <f>IFERROR(__xludf.DUMMYFUNCTION("""COMPUTED_VALUE"""),0.8709677419354839)</f>
        <v>0.8709677419</v>
      </c>
      <c r="X19" s="95">
        <f>IFERROR(__xludf.DUMMYFUNCTION("""COMPUTED_VALUE"""),0.7741935483870968)</f>
        <v>0.7741935484</v>
      </c>
      <c r="Y19" s="94">
        <f>IFERROR(__xludf.DUMMYFUNCTION("""COMPUTED_VALUE"""),128.0)</f>
        <v>128</v>
      </c>
      <c r="Z19" s="95">
        <f>IFERROR(__xludf.DUMMYFUNCTION("""COMPUTED_VALUE"""),0.9765625)</f>
        <v>0.9765625</v>
      </c>
      <c r="AA19" s="95">
        <f>IFERROR(__xludf.DUMMYFUNCTION("""COMPUTED_VALUE"""),0.84375)</f>
        <v>0.84375</v>
      </c>
      <c r="AB19" s="96">
        <f>IFERROR(__xludf.DUMMYFUNCTION("""COMPUTED_VALUE"""),0.8203125)</f>
        <v>0.8203125</v>
      </c>
    </row>
    <row r="20" ht="17.25" customHeight="1">
      <c r="A20" s="102" t="str">
        <f>IFERROR(__xludf.DUMMYFUNCTION("""COMPUTED_VALUE"""),"Grand Total")</f>
        <v>Grand Total</v>
      </c>
      <c r="B20" s="103">
        <f>IFERROR(__xludf.DUMMYFUNCTION("""COMPUTED_VALUE"""),15689.0)</f>
        <v>15689</v>
      </c>
      <c r="C20" s="104">
        <f>IFERROR(__xludf.DUMMYFUNCTION("""COMPUTED_VALUE"""),0.996621836955829)</f>
        <v>0.996621837</v>
      </c>
      <c r="D20" s="104">
        <f>IFERROR(__xludf.DUMMYFUNCTION("""COMPUTED_VALUE"""),0.9337115176238129)</f>
        <v>0.9337115176</v>
      </c>
      <c r="E20" s="105"/>
      <c r="F20" s="105"/>
      <c r="G20" s="105"/>
      <c r="H20" s="103">
        <f>IFERROR(__xludf.DUMMYFUNCTION("""COMPUTED_VALUE"""),1238.0)</f>
        <v>1238</v>
      </c>
      <c r="I20" s="104">
        <f>IFERROR(__xludf.DUMMYFUNCTION("""COMPUTED_VALUE"""),0.9975767366720517)</f>
        <v>0.9975767367</v>
      </c>
      <c r="J20" s="104">
        <f>IFERROR(__xludf.DUMMYFUNCTION("""COMPUTED_VALUE"""),0.8497576736672051)</f>
        <v>0.8497576737</v>
      </c>
      <c r="K20" s="103">
        <f>IFERROR(__xludf.DUMMYFUNCTION("""COMPUTED_VALUE"""),16927.0)</f>
        <v>16927</v>
      </c>
      <c r="L20" s="104">
        <f>IFERROR(__xludf.DUMMYFUNCTION("""COMPUTED_VALUE"""),0.9966916760205589)</f>
        <v>0.996691676</v>
      </c>
      <c r="M20" s="106">
        <f>IFERROR(__xludf.DUMMYFUNCTION("""COMPUTED_VALUE"""),0.9275713357358067)</f>
        <v>0.9275713357</v>
      </c>
      <c r="O20" s="92" t="str">
        <f>IFERROR(__xludf.DUMMYFUNCTION("""COMPUTED_VALUE"""),"Nguyễn Thị Bảo Nhi")</f>
        <v>Nguyễn Thị Bảo Nhi</v>
      </c>
      <c r="P20" s="93" t="str">
        <f>IFERROR(__xludf.DUMMYFUNCTION("""COMPUTED_VALUE"""),"BC Km 30 Tân Hòa-Buôn Đôn-Đắk Lắk")</f>
        <v>BC Km 30 Tân Hòa-Buôn Đôn-Đắk Lắk</v>
      </c>
      <c r="Q20" s="94">
        <f>IFERROR(__xludf.DUMMYFUNCTION("""COMPUTED_VALUE"""),25.0)</f>
        <v>25</v>
      </c>
      <c r="R20" s="95">
        <f>IFERROR(__xludf.DUMMYFUNCTION("""COMPUTED_VALUE"""),1.0)</f>
        <v>1</v>
      </c>
      <c r="S20" s="95">
        <f>IFERROR(__xludf.DUMMYFUNCTION("""COMPUTED_VALUE"""),0.84)</f>
        <v>0.84</v>
      </c>
      <c r="T20" s="95">
        <f>IFERROR(__xludf.DUMMYFUNCTION("""COMPUTED_VALUE"""),0.84)</f>
        <v>0.84</v>
      </c>
      <c r="U20" s="94">
        <f>IFERROR(__xludf.DUMMYFUNCTION("""COMPUTED_VALUE"""),3.0)</f>
        <v>3</v>
      </c>
      <c r="V20" s="95">
        <f>IFERROR(__xludf.DUMMYFUNCTION("""COMPUTED_VALUE"""),1.0)</f>
        <v>1</v>
      </c>
      <c r="W20" s="95">
        <f>IFERROR(__xludf.DUMMYFUNCTION("""COMPUTED_VALUE"""),1.0)</f>
        <v>1</v>
      </c>
      <c r="X20" s="95">
        <f>IFERROR(__xludf.DUMMYFUNCTION("""COMPUTED_VALUE"""),1.0)</f>
        <v>1</v>
      </c>
      <c r="Y20" s="94">
        <f>IFERROR(__xludf.DUMMYFUNCTION("""COMPUTED_VALUE"""),28.0)</f>
        <v>28</v>
      </c>
      <c r="Z20" s="95">
        <f>IFERROR(__xludf.DUMMYFUNCTION("""COMPUTED_VALUE"""),1.0)</f>
        <v>1</v>
      </c>
      <c r="AA20" s="95">
        <f>IFERROR(__xludf.DUMMYFUNCTION("""COMPUTED_VALUE"""),0.8571428571428571)</f>
        <v>0.8571428571</v>
      </c>
      <c r="AB20" s="96">
        <f>IFERROR(__xludf.DUMMYFUNCTION("""COMPUTED_VALUE"""),0.8571428571428571)</f>
        <v>0.8571428571</v>
      </c>
    </row>
    <row r="21" ht="17.25" customHeight="1">
      <c r="A21" s="4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O21" s="92" t="str">
        <f>IFERROR(__xludf.DUMMYFUNCTION("""COMPUTED_VALUE"""),"Nguyễn Đình Trung")</f>
        <v>Nguyễn Đình Trung</v>
      </c>
      <c r="P21" s="93" t="str">
        <f>IFERROR(__xludf.DUMMYFUNCTION("""COMPUTED_VALUE"""),"BC 15 Hoàng Văn Thụ-An Khê-Gia Lai")</f>
        <v>BC 15 Hoàng Văn Thụ-An Khê-Gia Lai</v>
      </c>
      <c r="Q21" s="94">
        <f>IFERROR(__xludf.DUMMYFUNCTION("""COMPUTED_VALUE"""),393.0)</f>
        <v>393</v>
      </c>
      <c r="R21" s="95">
        <f>IFERROR(__xludf.DUMMYFUNCTION("""COMPUTED_VALUE"""),1.0)</f>
        <v>1</v>
      </c>
      <c r="S21" s="95">
        <f>IFERROR(__xludf.DUMMYFUNCTION("""COMPUTED_VALUE"""),0.8905852417302799)</f>
        <v>0.8905852417</v>
      </c>
      <c r="T21" s="95">
        <f>IFERROR(__xludf.DUMMYFUNCTION("""COMPUTED_VALUE"""),0.8905852417302799)</f>
        <v>0.8905852417</v>
      </c>
      <c r="U21" s="94">
        <f>IFERROR(__xludf.DUMMYFUNCTION("""COMPUTED_VALUE"""),61.0)</f>
        <v>61</v>
      </c>
      <c r="V21" s="95">
        <f>IFERROR(__xludf.DUMMYFUNCTION("""COMPUTED_VALUE"""),0.9836065573770492)</f>
        <v>0.9836065574</v>
      </c>
      <c r="W21" s="95">
        <f>IFERROR(__xludf.DUMMYFUNCTION("""COMPUTED_VALUE"""),0.7868852459016393)</f>
        <v>0.7868852459</v>
      </c>
      <c r="X21" s="95">
        <f>IFERROR(__xludf.DUMMYFUNCTION("""COMPUTED_VALUE"""),0.7868852459016393)</f>
        <v>0.7868852459</v>
      </c>
      <c r="Y21" s="94">
        <f>IFERROR(__xludf.DUMMYFUNCTION("""COMPUTED_VALUE"""),454.0)</f>
        <v>454</v>
      </c>
      <c r="Z21" s="95">
        <f>IFERROR(__xludf.DUMMYFUNCTION("""COMPUTED_VALUE"""),0.9977973568281938)</f>
        <v>0.9977973568</v>
      </c>
      <c r="AA21" s="95">
        <f>IFERROR(__xludf.DUMMYFUNCTION("""COMPUTED_VALUE"""),0.8766519823788547)</f>
        <v>0.8766519824</v>
      </c>
      <c r="AB21" s="96">
        <f>IFERROR(__xludf.DUMMYFUNCTION("""COMPUTED_VALUE"""),0.8766519823788547)</f>
        <v>0.8766519824</v>
      </c>
    </row>
    <row r="22" ht="17.25" customHeight="1">
      <c r="A22" s="6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O22" s="92" t="str">
        <f>IFERROR(__xludf.DUMMYFUNCTION("""COMPUTED_VALUE"""),"Nguyễn Thị Bảo Nhi")</f>
        <v>Nguyễn Thị Bảo Nhi</v>
      </c>
      <c r="P22" s="93" t="str">
        <f>IFERROR(__xludf.DUMMYFUNCTION("""COMPUTED_VALUE"""),"BC 245 Hùng Vương-Ea Súp-Đắk Lắk")</f>
        <v>BC 245 Hùng Vương-Ea Súp-Đắk Lắk</v>
      </c>
      <c r="Q22" s="94">
        <f>IFERROR(__xludf.DUMMYFUNCTION("""COMPUTED_VALUE"""),269.0)</f>
        <v>269</v>
      </c>
      <c r="R22" s="95">
        <f>IFERROR(__xludf.DUMMYFUNCTION("""COMPUTED_VALUE"""),0.8847583643122676)</f>
        <v>0.8847583643</v>
      </c>
      <c r="S22" s="95">
        <f>IFERROR(__xludf.DUMMYFUNCTION("""COMPUTED_VALUE"""),0.8773234200743495)</f>
        <v>0.8773234201</v>
      </c>
      <c r="T22" s="95">
        <f>IFERROR(__xludf.DUMMYFUNCTION("""COMPUTED_VALUE"""),0.8661710037174721)</f>
        <v>0.8661710037</v>
      </c>
      <c r="U22" s="94">
        <f>IFERROR(__xludf.DUMMYFUNCTION("""COMPUTED_VALUE"""),3.0)</f>
        <v>3</v>
      </c>
      <c r="V22" s="95">
        <f>IFERROR(__xludf.DUMMYFUNCTION("""COMPUTED_VALUE"""),1.0)</f>
        <v>1</v>
      </c>
      <c r="W22" s="95">
        <f>IFERROR(__xludf.DUMMYFUNCTION("""COMPUTED_VALUE"""),1.0)</f>
        <v>1</v>
      </c>
      <c r="X22" s="95">
        <f>IFERROR(__xludf.DUMMYFUNCTION("""COMPUTED_VALUE"""),0.6666666666666666)</f>
        <v>0.6666666667</v>
      </c>
      <c r="Y22" s="94">
        <f>IFERROR(__xludf.DUMMYFUNCTION("""COMPUTED_VALUE"""),272.0)</f>
        <v>272</v>
      </c>
      <c r="Z22" s="95">
        <f>IFERROR(__xludf.DUMMYFUNCTION("""COMPUTED_VALUE"""),0.8860294117647058)</f>
        <v>0.8860294118</v>
      </c>
      <c r="AA22" s="95">
        <f>IFERROR(__xludf.DUMMYFUNCTION("""COMPUTED_VALUE"""),0.8786764705882353)</f>
        <v>0.8786764706</v>
      </c>
      <c r="AB22" s="96">
        <f>IFERROR(__xludf.DUMMYFUNCTION("""COMPUTED_VALUE"""),0.8639705882352942)</f>
        <v>0.8639705882</v>
      </c>
    </row>
    <row r="23" ht="17.25" customHeight="1">
      <c r="A23" s="5" t="s">
        <v>24</v>
      </c>
      <c r="B23" s="6"/>
      <c r="C23" s="6"/>
      <c r="D23" s="6"/>
      <c r="E23" s="6"/>
      <c r="F23" s="6"/>
      <c r="G23" s="6"/>
      <c r="H23" s="6"/>
      <c r="I23" s="7">
        <f>TODAY()-1</f>
        <v>46162</v>
      </c>
      <c r="J23" s="6"/>
      <c r="K23" s="6"/>
      <c r="L23" s="6"/>
      <c r="M23" s="8"/>
      <c r="O23" s="92" t="str">
        <f>IFERROR(__xludf.DUMMYFUNCTION("""COMPUTED_VALUE"""),"Phan Thanh Thức")</f>
        <v>Phan Thanh Thức</v>
      </c>
      <c r="P23" s="93" t="str">
        <f>IFERROR(__xludf.DUMMYFUNCTION("""COMPUTED_VALUE"""),"BC 767 Hùng Vương-Quy Nhơn-Bình Định")</f>
        <v>BC 767 Hùng Vương-Quy Nhơn-Bình Định</v>
      </c>
      <c r="Q23" s="94">
        <f>IFERROR(__xludf.DUMMYFUNCTION("""COMPUTED_VALUE"""),178.0)</f>
        <v>178</v>
      </c>
      <c r="R23" s="95">
        <f>IFERROR(__xludf.DUMMYFUNCTION("""COMPUTED_VALUE"""),1.0)</f>
        <v>1</v>
      </c>
      <c r="S23" s="95">
        <f>IFERROR(__xludf.DUMMYFUNCTION("""COMPUTED_VALUE"""),0.9101123595505618)</f>
        <v>0.9101123596</v>
      </c>
      <c r="T23" s="95">
        <f>IFERROR(__xludf.DUMMYFUNCTION("""COMPUTED_VALUE"""),0.9101123595505618)</f>
        <v>0.9101123596</v>
      </c>
      <c r="U23" s="94">
        <f>IFERROR(__xludf.DUMMYFUNCTION("""COMPUTED_VALUE"""),9.0)</f>
        <v>9</v>
      </c>
      <c r="V23" s="95">
        <f>IFERROR(__xludf.DUMMYFUNCTION("""COMPUTED_VALUE"""),1.0)</f>
        <v>1</v>
      </c>
      <c r="W23" s="95">
        <f>IFERROR(__xludf.DUMMYFUNCTION("""COMPUTED_VALUE"""),0.4444444444444444)</f>
        <v>0.4444444444</v>
      </c>
      <c r="X23" s="95">
        <f>IFERROR(__xludf.DUMMYFUNCTION("""COMPUTED_VALUE"""),0.3333333333333333)</f>
        <v>0.3333333333</v>
      </c>
      <c r="Y23" s="94">
        <f>IFERROR(__xludf.DUMMYFUNCTION("""COMPUTED_VALUE"""),187.0)</f>
        <v>187</v>
      </c>
      <c r="Z23" s="95">
        <f>IFERROR(__xludf.DUMMYFUNCTION("""COMPUTED_VALUE"""),1.0)</f>
        <v>1</v>
      </c>
      <c r="AA23" s="95">
        <f>IFERROR(__xludf.DUMMYFUNCTION("""COMPUTED_VALUE"""),0.8877005347593583)</f>
        <v>0.8877005348</v>
      </c>
      <c r="AB23" s="96">
        <f>IFERROR(__xludf.DUMMYFUNCTION("""COMPUTED_VALUE"""),0.8823529411764706)</f>
        <v>0.8823529412</v>
      </c>
    </row>
    <row r="24" ht="17.25" customHeight="1">
      <c r="A24" s="9" t="s">
        <v>2</v>
      </c>
      <c r="B24" s="10" t="s">
        <v>3</v>
      </c>
      <c r="E24" s="11" t="s">
        <v>4</v>
      </c>
      <c r="H24" s="12" t="s">
        <v>5</v>
      </c>
      <c r="K24" s="13" t="s">
        <v>6</v>
      </c>
      <c r="L24" s="14">
        <f>TODAY()-1</f>
        <v>46162</v>
      </c>
      <c r="M24" s="15"/>
      <c r="O24" s="92" t="str">
        <f>IFERROR(__xludf.DUMMYFUNCTION("""COMPUTED_VALUE"""),"Nguyễn Văn Sáng")</f>
        <v>Nguyễn Văn Sáng</v>
      </c>
      <c r="P24" s="93" t="str">
        <f>IFERROR(__xludf.DUMMYFUNCTION("""COMPUTED_VALUE"""),"BC 132 Hoàng Hoa Thám-Buôn Ma Thuột-Đắk Lắk")</f>
        <v>BC 132 Hoàng Hoa Thám-Buôn Ma Thuột-Đắk Lắk</v>
      </c>
      <c r="Q24" s="94">
        <f>IFERROR(__xludf.DUMMYFUNCTION("""COMPUTED_VALUE"""),434.0)</f>
        <v>434</v>
      </c>
      <c r="R24" s="95">
        <f>IFERROR(__xludf.DUMMYFUNCTION("""COMPUTED_VALUE"""),1.0)</f>
        <v>1</v>
      </c>
      <c r="S24" s="95">
        <f>IFERROR(__xludf.DUMMYFUNCTION("""COMPUTED_VALUE"""),0.9216589861751152)</f>
        <v>0.9216589862</v>
      </c>
      <c r="T24" s="95">
        <f>IFERROR(__xludf.DUMMYFUNCTION("""COMPUTED_VALUE"""),0.9170506912442397)</f>
        <v>0.9170506912</v>
      </c>
      <c r="U24" s="94">
        <f>IFERROR(__xludf.DUMMYFUNCTION("""COMPUTED_VALUE"""),56.0)</f>
        <v>56</v>
      </c>
      <c r="V24" s="95">
        <f>IFERROR(__xludf.DUMMYFUNCTION("""COMPUTED_VALUE"""),1.0)</f>
        <v>1</v>
      </c>
      <c r="W24" s="95">
        <f>IFERROR(__xludf.DUMMYFUNCTION("""COMPUTED_VALUE"""),0.6607142857142857)</f>
        <v>0.6607142857</v>
      </c>
      <c r="X24" s="95">
        <f>IFERROR(__xludf.DUMMYFUNCTION("""COMPUTED_VALUE"""),0.625)</f>
        <v>0.625</v>
      </c>
      <c r="Y24" s="94">
        <f>IFERROR(__xludf.DUMMYFUNCTION("""COMPUTED_VALUE"""),490.0)</f>
        <v>490</v>
      </c>
      <c r="Z24" s="95">
        <f>IFERROR(__xludf.DUMMYFUNCTION("""COMPUTED_VALUE"""),1.0)</f>
        <v>1</v>
      </c>
      <c r="AA24" s="95">
        <f>IFERROR(__xludf.DUMMYFUNCTION("""COMPUTED_VALUE"""),0.8918367346938776)</f>
        <v>0.8918367347</v>
      </c>
      <c r="AB24" s="96">
        <f>IFERROR(__xludf.DUMMYFUNCTION("""COMPUTED_VALUE"""),0.8836734693877552)</f>
        <v>0.8836734694</v>
      </c>
    </row>
    <row r="25" ht="17.25" customHeight="1">
      <c r="A25" s="28" t="str">
        <f>IFERROR(__xludf.DUMMYFUNCTION("IMPORTRANGE(""https://docs.google.com/spreadsheets/d/1487b2qDJjFxuit1ljyyJ220-vW46d0ImSvFQle7Fw-k/edit?gid=1113323595#gid=1113323595"",""PV GTC TTS!P26:Ab43"")"),"AM")</f>
        <v>AM</v>
      </c>
      <c r="B25" s="29" t="str">
        <f>IFERROR(__xludf.DUMMYFUNCTION("""COMPUTED_VALUE"""),"Volume")</f>
        <v>Volume</v>
      </c>
      <c r="C25" s="29" t="str">
        <f>IFERROR(__xludf.DUMMYFUNCTION("""COMPUTED_VALUE"""),"%Gán")</f>
        <v>%Gán</v>
      </c>
      <c r="D25" s="29" t="str">
        <f>IFERROR(__xludf.DUMMYFUNCTION("""COMPUTED_VALUE"""),"%LTC")</f>
        <v>%LTC</v>
      </c>
      <c r="E25" s="29" t="str">
        <f>IFERROR(__xludf.DUMMYFUNCTION("""COMPUTED_VALUE"""),"Volume")</f>
        <v>Volume</v>
      </c>
      <c r="F25" s="29" t="str">
        <f>IFERROR(__xludf.DUMMYFUNCTION("""COMPUTED_VALUE"""),"%Gán")</f>
        <v>%Gán</v>
      </c>
      <c r="G25" s="29" t="str">
        <f>IFERROR(__xludf.DUMMYFUNCTION("""COMPUTED_VALUE"""),"%LTC")</f>
        <v>%LTC</v>
      </c>
      <c r="H25" s="29" t="str">
        <f>IFERROR(__xludf.DUMMYFUNCTION("""COMPUTED_VALUE"""),"Volume")</f>
        <v>Volume</v>
      </c>
      <c r="I25" s="29" t="str">
        <f>IFERROR(__xludf.DUMMYFUNCTION("""COMPUTED_VALUE"""),"%Gán")</f>
        <v>%Gán</v>
      </c>
      <c r="J25" s="29" t="str">
        <f>IFERROR(__xludf.DUMMYFUNCTION("""COMPUTED_VALUE"""),"%LTC")</f>
        <v>%LTC</v>
      </c>
      <c r="K25" s="107" t="str">
        <f>IFERROR(__xludf.DUMMYFUNCTION("""COMPUTED_VALUE"""),"Volume")</f>
        <v>Volume</v>
      </c>
      <c r="L25" s="30" t="str">
        <f>IFERROR(__xludf.DUMMYFUNCTION("""COMPUTED_VALUE"""),"% Gán")</f>
        <v>% Gán</v>
      </c>
      <c r="M25" s="108" t="str">
        <f>IFERROR(__xludf.DUMMYFUNCTION("""COMPUTED_VALUE"""),"% LTC")</f>
        <v>% LTC</v>
      </c>
      <c r="O25" s="92" t="str">
        <f>IFERROR(__xludf.DUMMYFUNCTION("""COMPUTED_VALUE"""),"Lê Văn Tài")</f>
        <v>Lê Văn Tài</v>
      </c>
      <c r="P25" s="93" t="str">
        <f>IFERROR(__xludf.DUMMYFUNCTION("""COMPUTED_VALUE"""),"BC 941 Giải Phóng-Ea Đrăng-Ea H'Leo-Đắk Lắk")</f>
        <v>BC 941 Giải Phóng-Ea Đrăng-Ea H'Leo-Đắk Lắk</v>
      </c>
      <c r="Q25" s="94">
        <f>IFERROR(__xludf.DUMMYFUNCTION("""COMPUTED_VALUE"""),137.0)</f>
        <v>137</v>
      </c>
      <c r="R25" s="95">
        <f>IFERROR(__xludf.DUMMYFUNCTION("""COMPUTED_VALUE"""),1.0)</f>
        <v>1</v>
      </c>
      <c r="S25" s="95">
        <f>IFERROR(__xludf.DUMMYFUNCTION("""COMPUTED_VALUE"""),0.8832116788321168)</f>
        <v>0.8832116788</v>
      </c>
      <c r="T25" s="95">
        <f>IFERROR(__xludf.DUMMYFUNCTION("""COMPUTED_VALUE"""),0.8467153284671532)</f>
        <v>0.8467153285</v>
      </c>
      <c r="U25" s="94">
        <f>IFERROR(__xludf.DUMMYFUNCTION("""COMPUTED_VALUE"""),11.0)</f>
        <v>11</v>
      </c>
      <c r="V25" s="95">
        <f>IFERROR(__xludf.DUMMYFUNCTION("""COMPUTED_VALUE"""),1.0)</f>
        <v>1</v>
      </c>
      <c r="W25" s="95">
        <f>IFERROR(__xludf.DUMMYFUNCTION("""COMPUTED_VALUE"""),1.0)</f>
        <v>1</v>
      </c>
      <c r="X25" s="95">
        <f>IFERROR(__xludf.DUMMYFUNCTION("""COMPUTED_VALUE"""),0.6363636363636364)</f>
        <v>0.6363636364</v>
      </c>
      <c r="Y25" s="94">
        <f>IFERROR(__xludf.DUMMYFUNCTION("""COMPUTED_VALUE"""),148.0)</f>
        <v>148</v>
      </c>
      <c r="Z25" s="95">
        <f>IFERROR(__xludf.DUMMYFUNCTION("""COMPUTED_VALUE"""),1.0)</f>
        <v>1</v>
      </c>
      <c r="AA25" s="95">
        <f>IFERROR(__xludf.DUMMYFUNCTION("""COMPUTED_VALUE"""),0.8918918918918919)</f>
        <v>0.8918918919</v>
      </c>
      <c r="AB25" s="96">
        <f>IFERROR(__xludf.DUMMYFUNCTION("""COMPUTED_VALUE"""),0.831081081081081)</f>
        <v>0.8310810811</v>
      </c>
    </row>
    <row r="26" ht="17.25" customHeight="1">
      <c r="A26" s="109" t="str">
        <f>IFERROR(__xludf.DUMMYFUNCTION("""COMPUTED_VALUE"""),"Nguyễn Đình Trung")</f>
        <v>Nguyễn Đình Trung</v>
      </c>
      <c r="B26" s="33">
        <f>IFERROR(__xludf.DUMMYFUNCTION("""COMPUTED_VALUE"""),67.0)</f>
        <v>67</v>
      </c>
      <c r="C26" s="34">
        <f>IFERROR(__xludf.DUMMYFUNCTION("""COMPUTED_VALUE"""),1.0)</f>
        <v>1</v>
      </c>
      <c r="D26" s="34">
        <f>IFERROR(__xludf.DUMMYFUNCTION("""COMPUTED_VALUE"""),0.6716417910447762)</f>
        <v>0.671641791</v>
      </c>
      <c r="E26" s="33"/>
      <c r="F26" s="36"/>
      <c r="G26" s="36"/>
      <c r="H26" s="33">
        <f>IFERROR(__xludf.DUMMYFUNCTION("""COMPUTED_VALUE"""),3.0)</f>
        <v>3</v>
      </c>
      <c r="I26" s="34">
        <f>IFERROR(__xludf.DUMMYFUNCTION("""COMPUTED_VALUE"""),1.0)</f>
        <v>1</v>
      </c>
      <c r="J26" s="34">
        <f>IFERROR(__xludf.DUMMYFUNCTION("""COMPUTED_VALUE"""),1.0)</f>
        <v>1</v>
      </c>
      <c r="K26" s="33">
        <f>IFERROR(__xludf.DUMMYFUNCTION("""COMPUTED_VALUE"""),70.0)</f>
        <v>70</v>
      </c>
      <c r="L26" s="34">
        <f>IFERROR(__xludf.DUMMYFUNCTION("""COMPUTED_VALUE"""),1.0)</f>
        <v>1</v>
      </c>
      <c r="M26" s="35">
        <f>IFERROR(__xludf.DUMMYFUNCTION("""COMPUTED_VALUE"""),0.6857142857142857)</f>
        <v>0.6857142857</v>
      </c>
      <c r="O26" s="92" t="str">
        <f>IFERROR(__xludf.DUMMYFUNCTION("""COMPUTED_VALUE"""),"Nguyễn Đình Trung")</f>
        <v>Nguyễn Đình Trung</v>
      </c>
      <c r="P26" s="93" t="str">
        <f>IFERROR(__xludf.DUMMYFUNCTION("""COMPUTED_VALUE"""),"BC 127B Lê Văn Tám-Thị Trấn Kbang-Huyện Kbang-Gia Lai")</f>
        <v>BC 127B Lê Văn Tám-Thị Trấn Kbang-Huyện Kbang-Gia Lai</v>
      </c>
      <c r="Q26" s="94">
        <f>IFERROR(__xludf.DUMMYFUNCTION("""COMPUTED_VALUE"""),73.0)</f>
        <v>73</v>
      </c>
      <c r="R26" s="95">
        <f>IFERROR(__xludf.DUMMYFUNCTION("""COMPUTED_VALUE"""),1.0)</f>
        <v>1</v>
      </c>
      <c r="S26" s="95">
        <f>IFERROR(__xludf.DUMMYFUNCTION("""COMPUTED_VALUE"""),0.9041095890410958)</f>
        <v>0.904109589</v>
      </c>
      <c r="T26" s="95">
        <f>IFERROR(__xludf.DUMMYFUNCTION("""COMPUTED_VALUE"""),0.9041095890410958)</f>
        <v>0.904109589</v>
      </c>
      <c r="U26" s="94">
        <f>IFERROR(__xludf.DUMMYFUNCTION("""COMPUTED_VALUE"""),6.0)</f>
        <v>6</v>
      </c>
      <c r="V26" s="95">
        <f>IFERROR(__xludf.DUMMYFUNCTION("""COMPUTED_VALUE"""),1.0)</f>
        <v>1</v>
      </c>
      <c r="W26" s="95">
        <f>IFERROR(__xludf.DUMMYFUNCTION("""COMPUTED_VALUE"""),0.8333333333333334)</f>
        <v>0.8333333333</v>
      </c>
      <c r="X26" s="95">
        <f>IFERROR(__xludf.DUMMYFUNCTION("""COMPUTED_VALUE"""),0.8333333333333334)</f>
        <v>0.8333333333</v>
      </c>
      <c r="Y26" s="94">
        <f>IFERROR(__xludf.DUMMYFUNCTION("""COMPUTED_VALUE"""),79.0)</f>
        <v>79</v>
      </c>
      <c r="Z26" s="95">
        <f>IFERROR(__xludf.DUMMYFUNCTION("""COMPUTED_VALUE"""),1.0)</f>
        <v>1</v>
      </c>
      <c r="AA26" s="95">
        <f>IFERROR(__xludf.DUMMYFUNCTION("""COMPUTED_VALUE"""),0.8987341772151899)</f>
        <v>0.8987341772</v>
      </c>
      <c r="AB26" s="96">
        <f>IFERROR(__xludf.DUMMYFUNCTION("""COMPUTED_VALUE"""),0.8987341772151899)</f>
        <v>0.8987341772</v>
      </c>
    </row>
    <row r="27" ht="17.25" customHeight="1">
      <c r="A27" s="109" t="str">
        <f>IFERROR(__xludf.DUMMYFUNCTION("""COMPUTED_VALUE"""),"Lê Văn Tài")</f>
        <v>Lê Văn Tài</v>
      </c>
      <c r="B27" s="33">
        <f>IFERROR(__xludf.DUMMYFUNCTION("""COMPUTED_VALUE"""),44.0)</f>
        <v>44</v>
      </c>
      <c r="C27" s="34">
        <f>IFERROR(__xludf.DUMMYFUNCTION("""COMPUTED_VALUE"""),1.0)</f>
        <v>1</v>
      </c>
      <c r="D27" s="34">
        <f>IFERROR(__xludf.DUMMYFUNCTION("""COMPUTED_VALUE"""),1.0)</f>
        <v>1</v>
      </c>
      <c r="E27" s="33"/>
      <c r="F27" s="36"/>
      <c r="G27" s="36"/>
      <c r="H27" s="33">
        <f>IFERROR(__xludf.DUMMYFUNCTION("""COMPUTED_VALUE"""),5.0)</f>
        <v>5</v>
      </c>
      <c r="I27" s="34">
        <f>IFERROR(__xludf.DUMMYFUNCTION("""COMPUTED_VALUE"""),1.0)</f>
        <v>1</v>
      </c>
      <c r="J27" s="34">
        <f>IFERROR(__xludf.DUMMYFUNCTION("""COMPUTED_VALUE"""),0.2)</f>
        <v>0.2</v>
      </c>
      <c r="K27" s="33">
        <f>IFERROR(__xludf.DUMMYFUNCTION("""COMPUTED_VALUE"""),49.0)</f>
        <v>49</v>
      </c>
      <c r="L27" s="34">
        <f>IFERROR(__xludf.DUMMYFUNCTION("""COMPUTED_VALUE"""),1.0)</f>
        <v>1</v>
      </c>
      <c r="M27" s="35">
        <f>IFERROR(__xludf.DUMMYFUNCTION("""COMPUTED_VALUE"""),0.9183673469387755)</f>
        <v>0.9183673469</v>
      </c>
      <c r="O27" s="92" t="str">
        <f>IFERROR(__xludf.DUMMYFUNCTION("""COMPUTED_VALUE"""),"Nguyễn  Ngọc Hà")</f>
        <v>Nguyễn  Ngọc Hà</v>
      </c>
      <c r="P27" s="93" t="str">
        <f>IFERROR(__xludf.DUMMYFUNCTION("""COMPUTED_VALUE"""),"BC Thôn Tân Lập Quốc Lộ 26-Xã Cư M'ta-M'Đrắk-Đăk Lắk")</f>
        <v>BC Thôn Tân Lập Quốc Lộ 26-Xã Cư M'ta-M'Đrắk-Đăk Lắk</v>
      </c>
      <c r="Q27" s="94">
        <f>IFERROR(__xludf.DUMMYFUNCTION("""COMPUTED_VALUE"""),329.0)</f>
        <v>329</v>
      </c>
      <c r="R27" s="95">
        <f>IFERROR(__xludf.DUMMYFUNCTION("""COMPUTED_VALUE"""),1.0)</f>
        <v>1</v>
      </c>
      <c r="S27" s="95">
        <f>IFERROR(__xludf.DUMMYFUNCTION("""COMPUTED_VALUE"""),0.9057750759878419)</f>
        <v>0.905775076</v>
      </c>
      <c r="T27" s="95">
        <f>IFERROR(__xludf.DUMMYFUNCTION("""COMPUTED_VALUE"""),0.8966565349544073)</f>
        <v>0.896656535</v>
      </c>
      <c r="U27" s="94">
        <f>IFERROR(__xludf.DUMMYFUNCTION("""COMPUTED_VALUE"""),4.0)</f>
        <v>4</v>
      </c>
      <c r="V27" s="95">
        <f>IFERROR(__xludf.DUMMYFUNCTION("""COMPUTED_VALUE"""),1.0)</f>
        <v>1</v>
      </c>
      <c r="W27" s="95">
        <f>IFERROR(__xludf.DUMMYFUNCTION("""COMPUTED_VALUE"""),1.0)</f>
        <v>1</v>
      </c>
      <c r="X27" s="95">
        <f>IFERROR(__xludf.DUMMYFUNCTION("""COMPUTED_VALUE"""),1.0)</f>
        <v>1</v>
      </c>
      <c r="Y27" s="94">
        <f>IFERROR(__xludf.DUMMYFUNCTION("""COMPUTED_VALUE"""),333.0)</f>
        <v>333</v>
      </c>
      <c r="Z27" s="95">
        <f>IFERROR(__xludf.DUMMYFUNCTION("""COMPUTED_VALUE"""),1.0)</f>
        <v>1</v>
      </c>
      <c r="AA27" s="95">
        <f>IFERROR(__xludf.DUMMYFUNCTION("""COMPUTED_VALUE"""),0.9069069069069069)</f>
        <v>0.9069069069</v>
      </c>
      <c r="AB27" s="96">
        <f>IFERROR(__xludf.DUMMYFUNCTION("""COMPUTED_VALUE"""),0.8978978978978979)</f>
        <v>0.8978978979</v>
      </c>
    </row>
    <row r="28" ht="17.25" customHeight="1">
      <c r="A28" s="110" t="str">
        <f>IFERROR(__xludf.DUMMYFUNCTION("""COMPUTED_VALUE"""),"Phan Thanh Thức")</f>
        <v>Phan Thanh Thức</v>
      </c>
      <c r="B28" s="33">
        <f>IFERROR(__xludf.DUMMYFUNCTION("""COMPUTED_VALUE"""),252.0)</f>
        <v>252</v>
      </c>
      <c r="C28" s="34">
        <f>IFERROR(__xludf.DUMMYFUNCTION("""COMPUTED_VALUE"""),1.0)</f>
        <v>1</v>
      </c>
      <c r="D28" s="34">
        <f>IFERROR(__xludf.DUMMYFUNCTION("""COMPUTED_VALUE"""),0.9603174603174603)</f>
        <v>0.9603174603</v>
      </c>
      <c r="E28" s="33"/>
      <c r="F28" s="36"/>
      <c r="G28" s="36"/>
      <c r="H28" s="33">
        <f>IFERROR(__xludf.DUMMYFUNCTION("""COMPUTED_VALUE"""),8.0)</f>
        <v>8</v>
      </c>
      <c r="I28" s="34">
        <f>IFERROR(__xludf.DUMMYFUNCTION("""COMPUTED_VALUE"""),1.0)</f>
        <v>1</v>
      </c>
      <c r="J28" s="34">
        <f>IFERROR(__xludf.DUMMYFUNCTION("""COMPUTED_VALUE"""),1.0)</f>
        <v>1</v>
      </c>
      <c r="K28" s="33">
        <f>IFERROR(__xludf.DUMMYFUNCTION("""COMPUTED_VALUE"""),260.0)</f>
        <v>260</v>
      </c>
      <c r="L28" s="34">
        <f>IFERROR(__xludf.DUMMYFUNCTION("""COMPUTED_VALUE"""),1.0)</f>
        <v>1</v>
      </c>
      <c r="M28" s="35">
        <f>IFERROR(__xludf.DUMMYFUNCTION("""COMPUTED_VALUE"""),0.9615384615384616)</f>
        <v>0.9615384615</v>
      </c>
      <c r="O28" s="92" t="str">
        <f>IFERROR(__xludf.DUMMYFUNCTION("""COMPUTED_VALUE"""),"Nguyễn Công Luận")</f>
        <v>Nguyễn Công Luận</v>
      </c>
      <c r="P28" s="93" t="str">
        <f>IFERROR(__xludf.DUMMYFUNCTION("""COMPUTED_VALUE"""),"BC 56 Đường 17 Tháng 3-Chư Sê-Gia Lai")</f>
        <v>BC 56 Đường 17 Tháng 3-Chư Sê-Gia Lai</v>
      </c>
      <c r="Q28" s="94">
        <f>IFERROR(__xludf.DUMMYFUNCTION("""COMPUTED_VALUE"""),2460.0)</f>
        <v>2460</v>
      </c>
      <c r="R28" s="95">
        <f>IFERROR(__xludf.DUMMYFUNCTION("""COMPUTED_VALUE"""),0.9995934959349594)</f>
        <v>0.9995934959</v>
      </c>
      <c r="S28" s="95">
        <f>IFERROR(__xludf.DUMMYFUNCTION("""COMPUTED_VALUE"""),0.9158536585365854)</f>
        <v>0.9158536585</v>
      </c>
      <c r="T28" s="95">
        <f>IFERROR(__xludf.DUMMYFUNCTION("""COMPUTED_VALUE"""),0.9158536585365854)</f>
        <v>0.9158536585</v>
      </c>
      <c r="U28" s="94">
        <f>IFERROR(__xludf.DUMMYFUNCTION("""COMPUTED_VALUE"""),41.0)</f>
        <v>41</v>
      </c>
      <c r="V28" s="95">
        <f>IFERROR(__xludf.DUMMYFUNCTION("""COMPUTED_VALUE"""),1.0)</f>
        <v>1</v>
      </c>
      <c r="W28" s="95">
        <f>IFERROR(__xludf.DUMMYFUNCTION("""COMPUTED_VALUE"""),0.8292682926829268)</f>
        <v>0.8292682927</v>
      </c>
      <c r="X28" s="95">
        <f>IFERROR(__xludf.DUMMYFUNCTION("""COMPUTED_VALUE"""),0.8048780487804879)</f>
        <v>0.8048780488</v>
      </c>
      <c r="Y28" s="94">
        <f>IFERROR(__xludf.DUMMYFUNCTION("""COMPUTED_VALUE"""),2501.0)</f>
        <v>2501</v>
      </c>
      <c r="Z28" s="95">
        <f>IFERROR(__xludf.DUMMYFUNCTION("""COMPUTED_VALUE"""),0.9996001599360256)</f>
        <v>0.9996001599</v>
      </c>
      <c r="AA28" s="95">
        <f>IFERROR(__xludf.DUMMYFUNCTION("""COMPUTED_VALUE"""),0.9144342263094762)</f>
        <v>0.9144342263</v>
      </c>
      <c r="AB28" s="96">
        <f>IFERROR(__xludf.DUMMYFUNCTION("""COMPUTED_VALUE"""),0.9140343862455018)</f>
        <v>0.9140343862</v>
      </c>
    </row>
    <row r="29" ht="17.25" customHeight="1">
      <c r="A29" s="109" t="str">
        <f>IFERROR(__xludf.DUMMYFUNCTION("""COMPUTED_VALUE"""),"Lê Trọng Khiêm")</f>
        <v>Lê Trọng Khiêm</v>
      </c>
      <c r="B29" s="33">
        <f>IFERROR(__xludf.DUMMYFUNCTION("""COMPUTED_VALUE"""),77.0)</f>
        <v>77</v>
      </c>
      <c r="C29" s="34">
        <f>IFERROR(__xludf.DUMMYFUNCTION("""COMPUTED_VALUE"""),1.0)</f>
        <v>1</v>
      </c>
      <c r="D29" s="34">
        <f>IFERROR(__xludf.DUMMYFUNCTION("""COMPUTED_VALUE"""),0.961038961038961)</f>
        <v>0.961038961</v>
      </c>
      <c r="E29" s="33"/>
      <c r="F29" s="36"/>
      <c r="G29" s="36"/>
      <c r="H29" s="33">
        <f>IFERROR(__xludf.DUMMYFUNCTION("""COMPUTED_VALUE"""),4.0)</f>
        <v>4</v>
      </c>
      <c r="I29" s="34">
        <f>IFERROR(__xludf.DUMMYFUNCTION("""COMPUTED_VALUE"""),1.0)</f>
        <v>1</v>
      </c>
      <c r="J29" s="34">
        <f>IFERROR(__xludf.DUMMYFUNCTION("""COMPUTED_VALUE"""),1.0)</f>
        <v>1</v>
      </c>
      <c r="K29" s="33">
        <f>IFERROR(__xludf.DUMMYFUNCTION("""COMPUTED_VALUE"""),81.0)</f>
        <v>81</v>
      </c>
      <c r="L29" s="34">
        <f>IFERROR(__xludf.DUMMYFUNCTION("""COMPUTED_VALUE"""),1.0)</f>
        <v>1</v>
      </c>
      <c r="M29" s="35">
        <f>IFERROR(__xludf.DUMMYFUNCTION("""COMPUTED_VALUE"""),0.9629629629629629)</f>
        <v>0.962962963</v>
      </c>
      <c r="O29" s="92" t="str">
        <f>IFERROR(__xludf.DUMMYFUNCTION("""COMPUTED_VALUE"""),"Nguyễn Văn Sáng")</f>
        <v>Nguyễn Văn Sáng</v>
      </c>
      <c r="P29" s="93" t="str">
        <f>IFERROR(__xludf.DUMMYFUNCTION("""COMPUTED_VALUE"""),"BC Ea Phê-Krông Pắk-Đắk Lắk")</f>
        <v>BC Ea Phê-Krông Pắk-Đắk Lắk</v>
      </c>
      <c r="Q29" s="94">
        <f>IFERROR(__xludf.DUMMYFUNCTION("""COMPUTED_VALUE"""),71.0)</f>
        <v>71</v>
      </c>
      <c r="R29" s="95">
        <f>IFERROR(__xludf.DUMMYFUNCTION("""COMPUTED_VALUE"""),1.0)</f>
        <v>1</v>
      </c>
      <c r="S29" s="95">
        <f>IFERROR(__xludf.DUMMYFUNCTION("""COMPUTED_VALUE"""),0.9295774647887324)</f>
        <v>0.9295774648</v>
      </c>
      <c r="T29" s="95">
        <f>IFERROR(__xludf.DUMMYFUNCTION("""COMPUTED_VALUE"""),0.9154929577464789)</f>
        <v>0.9154929577</v>
      </c>
      <c r="U29" s="94">
        <f>IFERROR(__xludf.DUMMYFUNCTION("""COMPUTED_VALUE"""),12.0)</f>
        <v>12</v>
      </c>
      <c r="V29" s="95">
        <f>IFERROR(__xludf.DUMMYFUNCTION("""COMPUTED_VALUE"""),1.0)</f>
        <v>1</v>
      </c>
      <c r="W29" s="95">
        <f>IFERROR(__xludf.DUMMYFUNCTION("""COMPUTED_VALUE"""),0.8333333333333334)</f>
        <v>0.8333333333</v>
      </c>
      <c r="X29" s="95">
        <f>IFERROR(__xludf.DUMMYFUNCTION("""COMPUTED_VALUE"""),0.8333333333333334)</f>
        <v>0.8333333333</v>
      </c>
      <c r="Y29" s="94">
        <f>IFERROR(__xludf.DUMMYFUNCTION("""COMPUTED_VALUE"""),83.0)</f>
        <v>83</v>
      </c>
      <c r="Z29" s="95">
        <f>IFERROR(__xludf.DUMMYFUNCTION("""COMPUTED_VALUE"""),1.0)</f>
        <v>1</v>
      </c>
      <c r="AA29" s="95">
        <f>IFERROR(__xludf.DUMMYFUNCTION("""COMPUTED_VALUE"""),0.9156626506024096)</f>
        <v>0.9156626506</v>
      </c>
      <c r="AB29" s="96">
        <f>IFERROR(__xludf.DUMMYFUNCTION("""COMPUTED_VALUE"""),0.9036144578313253)</f>
        <v>0.9036144578</v>
      </c>
    </row>
    <row r="30" ht="17.25" customHeight="1">
      <c r="A30" s="109" t="str">
        <f>IFERROR(__xludf.DUMMYFUNCTION("""COMPUTED_VALUE"""),"Nguyễn Công Luận")</f>
        <v>Nguyễn Công Luận</v>
      </c>
      <c r="B30" s="33">
        <f>IFERROR(__xludf.DUMMYFUNCTION("""COMPUTED_VALUE"""),59.0)</f>
        <v>59</v>
      </c>
      <c r="C30" s="34">
        <f>IFERROR(__xludf.DUMMYFUNCTION("""COMPUTED_VALUE"""),1.0)</f>
        <v>1</v>
      </c>
      <c r="D30" s="34">
        <f>IFERROR(__xludf.DUMMYFUNCTION("""COMPUTED_VALUE"""),0.9830508474576272)</f>
        <v>0.9830508475</v>
      </c>
      <c r="E30" s="33"/>
      <c r="F30" s="36"/>
      <c r="G30" s="36"/>
      <c r="H30" s="33">
        <f>IFERROR(__xludf.DUMMYFUNCTION("""COMPUTED_VALUE"""),18.0)</f>
        <v>18</v>
      </c>
      <c r="I30" s="34">
        <f>IFERROR(__xludf.DUMMYFUNCTION("""COMPUTED_VALUE"""),1.0)</f>
        <v>1</v>
      </c>
      <c r="J30" s="34">
        <f>IFERROR(__xludf.DUMMYFUNCTION("""COMPUTED_VALUE"""),0.9444444444444444)</f>
        <v>0.9444444444</v>
      </c>
      <c r="K30" s="33">
        <f>IFERROR(__xludf.DUMMYFUNCTION("""COMPUTED_VALUE"""),77.0)</f>
        <v>77</v>
      </c>
      <c r="L30" s="34">
        <f>IFERROR(__xludf.DUMMYFUNCTION("""COMPUTED_VALUE"""),1.0)</f>
        <v>1</v>
      </c>
      <c r="M30" s="35">
        <f>IFERROR(__xludf.DUMMYFUNCTION("""COMPUTED_VALUE"""),0.974025974025974)</f>
        <v>0.974025974</v>
      </c>
      <c r="O30" s="92" t="str">
        <f>IFERROR(__xludf.DUMMYFUNCTION("""COMPUTED_VALUE"""),"Nguyễn Công Luận")</f>
        <v>Nguyễn Công Luận</v>
      </c>
      <c r="P30" s="93" t="str">
        <f>IFERROR(__xludf.DUMMYFUNCTION("""COMPUTED_VALUE"""),"BC 138 Hùng Vương-Phú Thiện-Gia Lai")</f>
        <v>BC 138 Hùng Vương-Phú Thiện-Gia Lai</v>
      </c>
      <c r="Q30" s="94">
        <f>IFERROR(__xludf.DUMMYFUNCTION("""COMPUTED_VALUE"""),80.0)</f>
        <v>80</v>
      </c>
      <c r="R30" s="95">
        <f>IFERROR(__xludf.DUMMYFUNCTION("""COMPUTED_VALUE"""),1.0)</f>
        <v>1</v>
      </c>
      <c r="S30" s="95">
        <f>IFERROR(__xludf.DUMMYFUNCTION("""COMPUTED_VALUE"""),0.9)</f>
        <v>0.9</v>
      </c>
      <c r="T30" s="95">
        <f>IFERROR(__xludf.DUMMYFUNCTION("""COMPUTED_VALUE"""),0.4125)</f>
        <v>0.4125</v>
      </c>
      <c r="U30" s="94">
        <f>IFERROR(__xludf.DUMMYFUNCTION("""COMPUTED_VALUE"""),19.0)</f>
        <v>19</v>
      </c>
      <c r="V30" s="95">
        <f>IFERROR(__xludf.DUMMYFUNCTION("""COMPUTED_VALUE"""),1.0)</f>
        <v>1</v>
      </c>
      <c r="W30" s="95">
        <f>IFERROR(__xludf.DUMMYFUNCTION("""COMPUTED_VALUE"""),1.0)</f>
        <v>1</v>
      </c>
      <c r="X30" s="95">
        <f>IFERROR(__xludf.DUMMYFUNCTION("""COMPUTED_VALUE"""),0.9473684210526315)</f>
        <v>0.9473684211</v>
      </c>
      <c r="Y30" s="94">
        <f>IFERROR(__xludf.DUMMYFUNCTION("""COMPUTED_VALUE"""),99.0)</f>
        <v>99</v>
      </c>
      <c r="Z30" s="95">
        <f>IFERROR(__xludf.DUMMYFUNCTION("""COMPUTED_VALUE"""),1.0)</f>
        <v>1</v>
      </c>
      <c r="AA30" s="95">
        <f>IFERROR(__xludf.DUMMYFUNCTION("""COMPUTED_VALUE"""),0.9191919191919192)</f>
        <v>0.9191919192</v>
      </c>
      <c r="AB30" s="96">
        <f>IFERROR(__xludf.DUMMYFUNCTION("""COMPUTED_VALUE"""),0.5151515151515151)</f>
        <v>0.5151515152</v>
      </c>
    </row>
    <row r="31" ht="17.25" customHeight="1">
      <c r="A31" s="109" t="str">
        <f>IFERROR(__xludf.DUMMYFUNCTION("""COMPUTED_VALUE"""),"Nguyễn Thị Bảo Nhi")</f>
        <v>Nguyễn Thị Bảo Nhi</v>
      </c>
      <c r="B31" s="33">
        <f>IFERROR(__xludf.DUMMYFUNCTION("""COMPUTED_VALUE"""),371.0)</f>
        <v>371</v>
      </c>
      <c r="C31" s="34">
        <f>IFERROR(__xludf.DUMMYFUNCTION("""COMPUTED_VALUE"""),1.0)</f>
        <v>1</v>
      </c>
      <c r="D31" s="34">
        <f>IFERROR(__xludf.DUMMYFUNCTION("""COMPUTED_VALUE"""),0.9757412398921833)</f>
        <v>0.9757412399</v>
      </c>
      <c r="E31" s="33"/>
      <c r="F31" s="36"/>
      <c r="G31" s="36"/>
      <c r="H31" s="33">
        <f>IFERROR(__xludf.DUMMYFUNCTION("""COMPUTED_VALUE"""),40.0)</f>
        <v>40</v>
      </c>
      <c r="I31" s="34">
        <f>IFERROR(__xludf.DUMMYFUNCTION("""COMPUTED_VALUE"""),1.0)</f>
        <v>1</v>
      </c>
      <c r="J31" s="34">
        <f>IFERROR(__xludf.DUMMYFUNCTION("""COMPUTED_VALUE"""),1.0)</f>
        <v>1</v>
      </c>
      <c r="K31" s="33">
        <f>IFERROR(__xludf.DUMMYFUNCTION("""COMPUTED_VALUE"""),411.0)</f>
        <v>411</v>
      </c>
      <c r="L31" s="34">
        <f>IFERROR(__xludf.DUMMYFUNCTION("""COMPUTED_VALUE"""),1.0)</f>
        <v>1</v>
      </c>
      <c r="M31" s="35">
        <f>IFERROR(__xludf.DUMMYFUNCTION("""COMPUTED_VALUE"""),0.9781021897810219)</f>
        <v>0.9781021898</v>
      </c>
      <c r="O31" s="92" t="str">
        <f>IFERROR(__xludf.DUMMYFUNCTION("""COMPUTED_VALUE"""),"Lê Trọng Khiêm")</f>
        <v>Lê Trọng Khiêm</v>
      </c>
      <c r="P31" s="93" t="str">
        <f>IFERROR(__xludf.DUMMYFUNCTION("""COMPUTED_VALUE"""),"BC 138 Trần Phú- Đồng Xuân- Phú Yên")</f>
        <v>BC 138 Trần Phú- Đồng Xuân- Phú Yên</v>
      </c>
      <c r="Q31" s="94">
        <f>IFERROR(__xludf.DUMMYFUNCTION("""COMPUTED_VALUE"""),54.0)</f>
        <v>54</v>
      </c>
      <c r="R31" s="95">
        <f>IFERROR(__xludf.DUMMYFUNCTION("""COMPUTED_VALUE"""),1.0)</f>
        <v>1</v>
      </c>
      <c r="S31" s="95">
        <f>IFERROR(__xludf.DUMMYFUNCTION("""COMPUTED_VALUE"""),0.9259259259259259)</f>
        <v>0.9259259259</v>
      </c>
      <c r="T31" s="95">
        <f>IFERROR(__xludf.DUMMYFUNCTION("""COMPUTED_VALUE"""),0.9259259259259259)</f>
        <v>0.9259259259</v>
      </c>
      <c r="U31" s="94"/>
      <c r="V31" s="94"/>
      <c r="W31" s="94"/>
      <c r="X31" s="94"/>
      <c r="Y31" s="94">
        <f>IFERROR(__xludf.DUMMYFUNCTION("""COMPUTED_VALUE"""),54.0)</f>
        <v>54</v>
      </c>
      <c r="Z31" s="95">
        <f>IFERROR(__xludf.DUMMYFUNCTION("""COMPUTED_VALUE"""),1.0)</f>
        <v>1</v>
      </c>
      <c r="AA31" s="95">
        <f>IFERROR(__xludf.DUMMYFUNCTION("""COMPUTED_VALUE"""),0.9259259259259259)</f>
        <v>0.9259259259</v>
      </c>
      <c r="AB31" s="96">
        <f>IFERROR(__xludf.DUMMYFUNCTION("""COMPUTED_VALUE"""),0.9259259259259259)</f>
        <v>0.9259259259</v>
      </c>
    </row>
    <row r="32" ht="17.25" customHeight="1">
      <c r="A32" s="111" t="str">
        <f>IFERROR(__xludf.DUMMYFUNCTION("""COMPUTED_VALUE"""),"Nguyễn Văn Sáng")</f>
        <v>Nguyễn Văn Sáng</v>
      </c>
      <c r="B32" s="38">
        <f>IFERROR(__xludf.DUMMYFUNCTION("""COMPUTED_VALUE"""),375.0)</f>
        <v>375</v>
      </c>
      <c r="C32" s="39">
        <f>IFERROR(__xludf.DUMMYFUNCTION("""COMPUTED_VALUE"""),1.0)</f>
        <v>1</v>
      </c>
      <c r="D32" s="39">
        <f>IFERROR(__xludf.DUMMYFUNCTION("""COMPUTED_VALUE"""),0.9786666666666667)</f>
        <v>0.9786666667</v>
      </c>
      <c r="E32" s="38"/>
      <c r="F32" s="51"/>
      <c r="G32" s="51"/>
      <c r="H32" s="38">
        <f>IFERROR(__xludf.DUMMYFUNCTION("""COMPUTED_VALUE"""),12.0)</f>
        <v>12</v>
      </c>
      <c r="I32" s="39">
        <f>IFERROR(__xludf.DUMMYFUNCTION("""COMPUTED_VALUE"""),1.0)</f>
        <v>1</v>
      </c>
      <c r="J32" s="39">
        <f>IFERROR(__xludf.DUMMYFUNCTION("""COMPUTED_VALUE"""),1.0)</f>
        <v>1</v>
      </c>
      <c r="K32" s="38">
        <f>IFERROR(__xludf.DUMMYFUNCTION("""COMPUTED_VALUE"""),387.0)</f>
        <v>387</v>
      </c>
      <c r="L32" s="39">
        <f>IFERROR(__xludf.DUMMYFUNCTION("""COMPUTED_VALUE"""),1.0)</f>
        <v>1</v>
      </c>
      <c r="M32" s="40">
        <f>IFERROR(__xludf.DUMMYFUNCTION("""COMPUTED_VALUE"""),0.979328165374677)</f>
        <v>0.9793281654</v>
      </c>
      <c r="O32" s="92" t="str">
        <f>IFERROR(__xludf.DUMMYFUNCTION("""COMPUTED_VALUE"""),"Phan Thanh Thức")</f>
        <v>Phan Thanh Thức</v>
      </c>
      <c r="P32" s="93" t="str">
        <f>IFERROR(__xludf.DUMMYFUNCTION("""COMPUTED_VALUE"""),"BC 263 Đống Đa-Quy Nhơn-Bình Định")</f>
        <v>BC 263 Đống Đa-Quy Nhơn-Bình Định</v>
      </c>
      <c r="Q32" s="94">
        <f>IFERROR(__xludf.DUMMYFUNCTION("""COMPUTED_VALUE"""),284.0)</f>
        <v>284</v>
      </c>
      <c r="R32" s="95">
        <f>IFERROR(__xludf.DUMMYFUNCTION("""COMPUTED_VALUE"""),1.0)</f>
        <v>1</v>
      </c>
      <c r="S32" s="95">
        <f>IFERROR(__xludf.DUMMYFUNCTION("""COMPUTED_VALUE"""),0.9401408450704225)</f>
        <v>0.9401408451</v>
      </c>
      <c r="T32" s="95">
        <f>IFERROR(__xludf.DUMMYFUNCTION("""COMPUTED_VALUE"""),0.9401408450704225)</f>
        <v>0.9401408451</v>
      </c>
      <c r="U32" s="94">
        <f>IFERROR(__xludf.DUMMYFUNCTION("""COMPUTED_VALUE"""),9.0)</f>
        <v>9</v>
      </c>
      <c r="V32" s="95">
        <f>IFERROR(__xludf.DUMMYFUNCTION("""COMPUTED_VALUE"""),1.0)</f>
        <v>1</v>
      </c>
      <c r="W32" s="95">
        <f>IFERROR(__xludf.DUMMYFUNCTION("""COMPUTED_VALUE"""),0.5555555555555556)</f>
        <v>0.5555555556</v>
      </c>
      <c r="X32" s="95">
        <f>IFERROR(__xludf.DUMMYFUNCTION("""COMPUTED_VALUE"""),0.4444444444444444)</f>
        <v>0.4444444444</v>
      </c>
      <c r="Y32" s="94">
        <f>IFERROR(__xludf.DUMMYFUNCTION("""COMPUTED_VALUE"""),293.0)</f>
        <v>293</v>
      </c>
      <c r="Z32" s="95">
        <f>IFERROR(__xludf.DUMMYFUNCTION("""COMPUTED_VALUE"""),1.0)</f>
        <v>1</v>
      </c>
      <c r="AA32" s="95">
        <f>IFERROR(__xludf.DUMMYFUNCTION("""COMPUTED_VALUE"""),0.9283276450511946)</f>
        <v>0.9283276451</v>
      </c>
      <c r="AB32" s="96">
        <f>IFERROR(__xludf.DUMMYFUNCTION("""COMPUTED_VALUE"""),0.9249146757679181)</f>
        <v>0.9249146758</v>
      </c>
    </row>
    <row r="33" ht="17.25" customHeight="1">
      <c r="A33" s="112" t="str">
        <f>IFERROR(__xludf.DUMMYFUNCTION("""COMPUTED_VALUE"""),"Ngô  Thị Bích Trâm ")</f>
        <v>Ngô  Thị Bích Trâm </v>
      </c>
      <c r="B33" s="38">
        <f>IFERROR(__xludf.DUMMYFUNCTION("""COMPUTED_VALUE"""),53.0)</f>
        <v>53</v>
      </c>
      <c r="C33" s="39">
        <f>IFERROR(__xludf.DUMMYFUNCTION("""COMPUTED_VALUE"""),1.0)</f>
        <v>1</v>
      </c>
      <c r="D33" s="39">
        <f>IFERROR(__xludf.DUMMYFUNCTION("""COMPUTED_VALUE"""),1.0)</f>
        <v>1</v>
      </c>
      <c r="E33" s="38"/>
      <c r="F33" s="51"/>
      <c r="G33" s="51"/>
      <c r="H33" s="38">
        <f>IFERROR(__xludf.DUMMYFUNCTION("""COMPUTED_VALUE"""),4.0)</f>
        <v>4</v>
      </c>
      <c r="I33" s="39">
        <f>IFERROR(__xludf.DUMMYFUNCTION("""COMPUTED_VALUE"""),1.0)</f>
        <v>1</v>
      </c>
      <c r="J33" s="39">
        <f>IFERROR(__xludf.DUMMYFUNCTION("""COMPUTED_VALUE"""),0.75)</f>
        <v>0.75</v>
      </c>
      <c r="K33" s="38">
        <f>IFERROR(__xludf.DUMMYFUNCTION("""COMPUTED_VALUE"""),57.0)</f>
        <v>57</v>
      </c>
      <c r="L33" s="39">
        <f>IFERROR(__xludf.DUMMYFUNCTION("""COMPUTED_VALUE"""),1.0)</f>
        <v>1</v>
      </c>
      <c r="M33" s="40">
        <f>IFERROR(__xludf.DUMMYFUNCTION("""COMPUTED_VALUE"""),0.9824561403508771)</f>
        <v>0.9824561404</v>
      </c>
      <c r="O33" s="92" t="str">
        <f>IFERROR(__xludf.DUMMYFUNCTION("""COMPUTED_VALUE"""),"Huỳnh Thị Mới ")</f>
        <v>Huỳnh Thị Mới </v>
      </c>
      <c r="P33" s="93" t="str">
        <f>IFERROR(__xludf.DUMMYFUNCTION("""COMPUTED_VALUE"""),"BC Thị Trấn Phú Thứ-Tây Hoà-Phú Yên")</f>
        <v>BC Thị Trấn Phú Thứ-Tây Hoà-Phú Yên</v>
      </c>
      <c r="Q33" s="94">
        <f>IFERROR(__xludf.DUMMYFUNCTION("""COMPUTED_VALUE"""),118.0)</f>
        <v>118</v>
      </c>
      <c r="R33" s="95">
        <f>IFERROR(__xludf.DUMMYFUNCTION("""COMPUTED_VALUE"""),1.0)</f>
        <v>1</v>
      </c>
      <c r="S33" s="95">
        <f>IFERROR(__xludf.DUMMYFUNCTION("""COMPUTED_VALUE"""),0.940677966101695)</f>
        <v>0.9406779661</v>
      </c>
      <c r="T33" s="95">
        <f>IFERROR(__xludf.DUMMYFUNCTION("""COMPUTED_VALUE"""),0.8728813559322034)</f>
        <v>0.8728813559</v>
      </c>
      <c r="U33" s="94">
        <f>IFERROR(__xludf.DUMMYFUNCTION("""COMPUTED_VALUE"""),11.0)</f>
        <v>11</v>
      </c>
      <c r="V33" s="95">
        <f>IFERROR(__xludf.DUMMYFUNCTION("""COMPUTED_VALUE"""),1.0)</f>
        <v>1</v>
      </c>
      <c r="W33" s="95">
        <f>IFERROR(__xludf.DUMMYFUNCTION("""COMPUTED_VALUE"""),0.8181818181818182)</f>
        <v>0.8181818182</v>
      </c>
      <c r="X33" s="95">
        <f>IFERROR(__xludf.DUMMYFUNCTION("""COMPUTED_VALUE"""),0.7272727272727273)</f>
        <v>0.7272727273</v>
      </c>
      <c r="Y33" s="94">
        <f>IFERROR(__xludf.DUMMYFUNCTION("""COMPUTED_VALUE"""),129.0)</f>
        <v>129</v>
      </c>
      <c r="Z33" s="95">
        <f>IFERROR(__xludf.DUMMYFUNCTION("""COMPUTED_VALUE"""),1.0)</f>
        <v>1</v>
      </c>
      <c r="AA33" s="95">
        <f>IFERROR(__xludf.DUMMYFUNCTION("""COMPUTED_VALUE"""),0.9302325581395349)</f>
        <v>0.9302325581</v>
      </c>
      <c r="AB33" s="96">
        <f>IFERROR(__xludf.DUMMYFUNCTION("""COMPUTED_VALUE"""),0.8604651162790697)</f>
        <v>0.8604651163</v>
      </c>
    </row>
    <row r="34" ht="17.25" customHeight="1">
      <c r="A34" s="111" t="str">
        <f>IFERROR(__xludf.DUMMYFUNCTION("""COMPUTED_VALUE"""),"Huỳnh Thị Mới ")</f>
        <v>Huỳnh Thị Mới </v>
      </c>
      <c r="B34" s="38">
        <f>IFERROR(__xludf.DUMMYFUNCTION("""COMPUTED_VALUE"""),208.0)</f>
        <v>208</v>
      </c>
      <c r="C34" s="39">
        <f>IFERROR(__xludf.DUMMYFUNCTION("""COMPUTED_VALUE"""),1.0)</f>
        <v>1</v>
      </c>
      <c r="D34" s="39">
        <f>IFERROR(__xludf.DUMMYFUNCTION("""COMPUTED_VALUE"""),0.9855769230769231)</f>
        <v>0.9855769231</v>
      </c>
      <c r="E34" s="38"/>
      <c r="F34" s="51"/>
      <c r="G34" s="51"/>
      <c r="H34" s="38">
        <f>IFERROR(__xludf.DUMMYFUNCTION("""COMPUTED_VALUE"""),7.0)</f>
        <v>7</v>
      </c>
      <c r="I34" s="39">
        <f>IFERROR(__xludf.DUMMYFUNCTION("""COMPUTED_VALUE"""),1.0)</f>
        <v>1</v>
      </c>
      <c r="J34" s="39">
        <f>IFERROR(__xludf.DUMMYFUNCTION("""COMPUTED_VALUE"""),1.0)</f>
        <v>1</v>
      </c>
      <c r="K34" s="38">
        <f>IFERROR(__xludf.DUMMYFUNCTION("""COMPUTED_VALUE"""),215.0)</f>
        <v>215</v>
      </c>
      <c r="L34" s="39">
        <f>IFERROR(__xludf.DUMMYFUNCTION("""COMPUTED_VALUE"""),1.0)</f>
        <v>1</v>
      </c>
      <c r="M34" s="40">
        <f>IFERROR(__xludf.DUMMYFUNCTION("""COMPUTED_VALUE"""),0.986046511627907)</f>
        <v>0.9860465116</v>
      </c>
      <c r="O34" s="92" t="str">
        <f>IFERROR(__xludf.DUMMYFUNCTION("""COMPUTED_VALUE"""),"Nguyễn  Ngọc Hà")</f>
        <v>Nguyễn  Ngọc Hà</v>
      </c>
      <c r="P34" s="93" t="str">
        <f>IFERROR(__xludf.DUMMYFUNCTION("""COMPUTED_VALUE"""),"BC 01 An Bình-Ea KNốp-Ea Kar-Đắk Lắk")</f>
        <v>BC 01 An Bình-Ea KNốp-Ea Kar-Đắk Lắk</v>
      </c>
      <c r="Q34" s="94">
        <f>IFERROR(__xludf.DUMMYFUNCTION("""COMPUTED_VALUE"""),42.0)</f>
        <v>42</v>
      </c>
      <c r="R34" s="95">
        <f>IFERROR(__xludf.DUMMYFUNCTION("""COMPUTED_VALUE"""),1.0)</f>
        <v>1</v>
      </c>
      <c r="S34" s="95">
        <f>IFERROR(__xludf.DUMMYFUNCTION("""COMPUTED_VALUE"""),0.9523809523809523)</f>
        <v>0.9523809524</v>
      </c>
      <c r="T34" s="95">
        <f>IFERROR(__xludf.DUMMYFUNCTION("""COMPUTED_VALUE"""),0.9523809523809523)</f>
        <v>0.9523809524</v>
      </c>
      <c r="U34" s="94">
        <f>IFERROR(__xludf.DUMMYFUNCTION("""COMPUTED_VALUE"""),2.0)</f>
        <v>2</v>
      </c>
      <c r="V34" s="95">
        <f>IFERROR(__xludf.DUMMYFUNCTION("""COMPUTED_VALUE"""),1.0)</f>
        <v>1</v>
      </c>
      <c r="W34" s="95">
        <f>IFERROR(__xludf.DUMMYFUNCTION("""COMPUTED_VALUE"""),0.5)</f>
        <v>0.5</v>
      </c>
      <c r="X34" s="95">
        <f>IFERROR(__xludf.DUMMYFUNCTION("""COMPUTED_VALUE"""),0.0)</f>
        <v>0</v>
      </c>
      <c r="Y34" s="94">
        <f>IFERROR(__xludf.DUMMYFUNCTION("""COMPUTED_VALUE"""),44.0)</f>
        <v>44</v>
      </c>
      <c r="Z34" s="95">
        <f>IFERROR(__xludf.DUMMYFUNCTION("""COMPUTED_VALUE"""),1.0)</f>
        <v>1</v>
      </c>
      <c r="AA34" s="95">
        <f>IFERROR(__xludf.DUMMYFUNCTION("""COMPUTED_VALUE"""),0.9318181818181818)</f>
        <v>0.9318181818</v>
      </c>
      <c r="AB34" s="96">
        <f>IFERROR(__xludf.DUMMYFUNCTION("""COMPUTED_VALUE"""),0.9090909090909091)</f>
        <v>0.9090909091</v>
      </c>
    </row>
    <row r="35" ht="17.25" customHeight="1">
      <c r="A35" s="111" t="str">
        <f>IFERROR(__xludf.DUMMYFUNCTION("""COMPUTED_VALUE"""),"Võ Thanh Diệu ")</f>
        <v>Võ Thanh Diệu </v>
      </c>
      <c r="B35" s="38">
        <f>IFERROR(__xludf.DUMMYFUNCTION("""COMPUTED_VALUE"""),328.0)</f>
        <v>328</v>
      </c>
      <c r="C35" s="39">
        <f>IFERROR(__xludf.DUMMYFUNCTION("""COMPUTED_VALUE"""),1.0)</f>
        <v>1</v>
      </c>
      <c r="D35" s="39">
        <f>IFERROR(__xludf.DUMMYFUNCTION("""COMPUTED_VALUE"""),0.9908536585365854)</f>
        <v>0.9908536585</v>
      </c>
      <c r="E35" s="38"/>
      <c r="F35" s="51"/>
      <c r="G35" s="51"/>
      <c r="H35" s="38">
        <f>IFERROR(__xludf.DUMMYFUNCTION("""COMPUTED_VALUE"""),2.0)</f>
        <v>2</v>
      </c>
      <c r="I35" s="39">
        <f>IFERROR(__xludf.DUMMYFUNCTION("""COMPUTED_VALUE"""),1.0)</f>
        <v>1</v>
      </c>
      <c r="J35" s="39">
        <f>IFERROR(__xludf.DUMMYFUNCTION("""COMPUTED_VALUE"""),1.0)</f>
        <v>1</v>
      </c>
      <c r="K35" s="38">
        <f>IFERROR(__xludf.DUMMYFUNCTION("""COMPUTED_VALUE"""),330.0)</f>
        <v>330</v>
      </c>
      <c r="L35" s="39">
        <f>IFERROR(__xludf.DUMMYFUNCTION("""COMPUTED_VALUE"""),1.0)</f>
        <v>1</v>
      </c>
      <c r="M35" s="40">
        <f>IFERROR(__xludf.DUMMYFUNCTION("""COMPUTED_VALUE"""),0.990909090909091)</f>
        <v>0.9909090909</v>
      </c>
      <c r="O35" s="92" t="str">
        <f>IFERROR(__xludf.DUMMYFUNCTION("""COMPUTED_VALUE"""),"Phan Thanh Thức")</f>
        <v>Phan Thanh Thức</v>
      </c>
      <c r="P35" s="93" t="str">
        <f>IFERROR(__xludf.DUMMYFUNCTION("""COMPUTED_VALUE"""),"BC Khu Vực Kim Châu-An Nhơn-Bình Định")</f>
        <v>BC Khu Vực Kim Châu-An Nhơn-Bình Định</v>
      </c>
      <c r="Q35" s="94">
        <f>IFERROR(__xludf.DUMMYFUNCTION("""COMPUTED_VALUE"""),334.0)</f>
        <v>334</v>
      </c>
      <c r="R35" s="95">
        <f>IFERROR(__xludf.DUMMYFUNCTION("""COMPUTED_VALUE"""),1.0)</f>
        <v>1</v>
      </c>
      <c r="S35" s="95">
        <f>IFERROR(__xludf.DUMMYFUNCTION("""COMPUTED_VALUE"""),0.9461077844311377)</f>
        <v>0.9461077844</v>
      </c>
      <c r="T35" s="95">
        <f>IFERROR(__xludf.DUMMYFUNCTION("""COMPUTED_VALUE"""),0.9341317365269461)</f>
        <v>0.9341317365</v>
      </c>
      <c r="U35" s="94">
        <f>IFERROR(__xludf.DUMMYFUNCTION("""COMPUTED_VALUE"""),30.0)</f>
        <v>30</v>
      </c>
      <c r="V35" s="95">
        <f>IFERROR(__xludf.DUMMYFUNCTION("""COMPUTED_VALUE"""),1.0)</f>
        <v>1</v>
      </c>
      <c r="W35" s="95">
        <f>IFERROR(__xludf.DUMMYFUNCTION("""COMPUTED_VALUE"""),0.8)</f>
        <v>0.8</v>
      </c>
      <c r="X35" s="95">
        <f>IFERROR(__xludf.DUMMYFUNCTION("""COMPUTED_VALUE"""),0.8)</f>
        <v>0.8</v>
      </c>
      <c r="Y35" s="94">
        <f>IFERROR(__xludf.DUMMYFUNCTION("""COMPUTED_VALUE"""),364.0)</f>
        <v>364</v>
      </c>
      <c r="Z35" s="95">
        <f>IFERROR(__xludf.DUMMYFUNCTION("""COMPUTED_VALUE"""),1.0)</f>
        <v>1</v>
      </c>
      <c r="AA35" s="95">
        <f>IFERROR(__xludf.DUMMYFUNCTION("""COMPUTED_VALUE"""),0.9340659340659341)</f>
        <v>0.9340659341</v>
      </c>
      <c r="AB35" s="96">
        <f>IFERROR(__xludf.DUMMYFUNCTION("""COMPUTED_VALUE"""),0.9230769230769231)</f>
        <v>0.9230769231</v>
      </c>
    </row>
    <row r="36" ht="17.25" customHeight="1">
      <c r="A36" s="111" t="str">
        <f>IFERROR(__xludf.DUMMYFUNCTION("""COMPUTED_VALUE"""),"Nguyễn  Hoàng Anh ")</f>
        <v>Nguyễn  Hoàng Anh </v>
      </c>
      <c r="B36" s="38">
        <f>IFERROR(__xludf.DUMMYFUNCTION("""COMPUTED_VALUE"""),198.0)</f>
        <v>198</v>
      </c>
      <c r="C36" s="39">
        <f>IFERROR(__xludf.DUMMYFUNCTION("""COMPUTED_VALUE"""),1.0)</f>
        <v>1</v>
      </c>
      <c r="D36" s="39">
        <f>IFERROR(__xludf.DUMMYFUNCTION("""COMPUTED_VALUE"""),0.9949494949494949)</f>
        <v>0.9949494949</v>
      </c>
      <c r="E36" s="38"/>
      <c r="F36" s="51"/>
      <c r="G36" s="51"/>
      <c r="H36" s="38">
        <f>IFERROR(__xludf.DUMMYFUNCTION("""COMPUTED_VALUE"""),5.0)</f>
        <v>5</v>
      </c>
      <c r="I36" s="39">
        <f>IFERROR(__xludf.DUMMYFUNCTION("""COMPUTED_VALUE"""),1.0)</f>
        <v>1</v>
      </c>
      <c r="J36" s="39">
        <f>IFERROR(__xludf.DUMMYFUNCTION("""COMPUTED_VALUE"""),1.0)</f>
        <v>1</v>
      </c>
      <c r="K36" s="38">
        <f>IFERROR(__xludf.DUMMYFUNCTION("""COMPUTED_VALUE"""),203.0)</f>
        <v>203</v>
      </c>
      <c r="L36" s="39">
        <f>IFERROR(__xludf.DUMMYFUNCTION("""COMPUTED_VALUE"""),1.0)</f>
        <v>1</v>
      </c>
      <c r="M36" s="40">
        <f>IFERROR(__xludf.DUMMYFUNCTION("""COMPUTED_VALUE"""),0.9950738916256158)</f>
        <v>0.9950738916</v>
      </c>
      <c r="O36" s="92" t="str">
        <f>IFERROR(__xludf.DUMMYFUNCTION("""COMPUTED_VALUE"""),"Nguyễn Văn Sáng")</f>
        <v>Nguyễn Văn Sáng</v>
      </c>
      <c r="P36" s="93" t="str">
        <f>IFERROR(__xludf.DUMMYFUNCTION("""COMPUTED_VALUE"""),"BC 03 Trần Hưng Đạo-Krông Pắc-Đắk Lắk")</f>
        <v>BC 03 Trần Hưng Đạo-Krông Pắc-Đắk Lắk</v>
      </c>
      <c r="Q36" s="94">
        <f>IFERROR(__xludf.DUMMYFUNCTION("""COMPUTED_VALUE"""),305.0)</f>
        <v>305</v>
      </c>
      <c r="R36" s="95">
        <f>IFERROR(__xludf.DUMMYFUNCTION("""COMPUTED_VALUE"""),1.0)</f>
        <v>1</v>
      </c>
      <c r="S36" s="95">
        <f>IFERROR(__xludf.DUMMYFUNCTION("""COMPUTED_VALUE"""),0.9442622950819672)</f>
        <v>0.9442622951</v>
      </c>
      <c r="T36" s="95">
        <f>IFERROR(__xludf.DUMMYFUNCTION("""COMPUTED_VALUE"""),0.9442622950819672)</f>
        <v>0.9442622951</v>
      </c>
      <c r="U36" s="94">
        <f>IFERROR(__xludf.DUMMYFUNCTION("""COMPUTED_VALUE"""),14.0)</f>
        <v>14</v>
      </c>
      <c r="V36" s="95">
        <f>IFERROR(__xludf.DUMMYFUNCTION("""COMPUTED_VALUE"""),1.0)</f>
        <v>1</v>
      </c>
      <c r="W36" s="95">
        <f>IFERROR(__xludf.DUMMYFUNCTION("""COMPUTED_VALUE"""),0.7142857142857143)</f>
        <v>0.7142857143</v>
      </c>
      <c r="X36" s="95">
        <f>IFERROR(__xludf.DUMMYFUNCTION("""COMPUTED_VALUE"""),0.7142857142857143)</f>
        <v>0.7142857143</v>
      </c>
      <c r="Y36" s="94">
        <f>IFERROR(__xludf.DUMMYFUNCTION("""COMPUTED_VALUE"""),319.0)</f>
        <v>319</v>
      </c>
      <c r="Z36" s="95">
        <f>IFERROR(__xludf.DUMMYFUNCTION("""COMPUTED_VALUE"""),1.0)</f>
        <v>1</v>
      </c>
      <c r="AA36" s="95">
        <f>IFERROR(__xludf.DUMMYFUNCTION("""COMPUTED_VALUE"""),0.9341692789968652)</f>
        <v>0.934169279</v>
      </c>
      <c r="AB36" s="96">
        <f>IFERROR(__xludf.DUMMYFUNCTION("""COMPUTED_VALUE"""),0.9341692789968652)</f>
        <v>0.934169279</v>
      </c>
    </row>
    <row r="37" ht="17.25" customHeight="1">
      <c r="A37" s="112" t="str">
        <f>IFERROR(__xludf.DUMMYFUNCTION("""COMPUTED_VALUE"""),"Phan Thị Mỹ Chi")</f>
        <v>Phan Thị Mỹ Chi</v>
      </c>
      <c r="B37" s="38">
        <f>IFERROR(__xludf.DUMMYFUNCTION("""COMPUTED_VALUE"""),247.0)</f>
        <v>247</v>
      </c>
      <c r="C37" s="39">
        <f>IFERROR(__xludf.DUMMYFUNCTION("""COMPUTED_VALUE"""),1.0)</f>
        <v>1</v>
      </c>
      <c r="D37" s="39">
        <f>IFERROR(__xludf.DUMMYFUNCTION("""COMPUTED_VALUE"""),0.9959514170040485)</f>
        <v>0.995951417</v>
      </c>
      <c r="E37" s="38"/>
      <c r="F37" s="51"/>
      <c r="G37" s="51"/>
      <c r="H37" s="38">
        <f>IFERROR(__xludf.DUMMYFUNCTION("""COMPUTED_VALUE"""),5.0)</f>
        <v>5</v>
      </c>
      <c r="I37" s="39">
        <f>IFERROR(__xludf.DUMMYFUNCTION("""COMPUTED_VALUE"""),1.0)</f>
        <v>1</v>
      </c>
      <c r="J37" s="39">
        <f>IFERROR(__xludf.DUMMYFUNCTION("""COMPUTED_VALUE"""),1.0)</f>
        <v>1</v>
      </c>
      <c r="K37" s="38">
        <f>IFERROR(__xludf.DUMMYFUNCTION("""COMPUTED_VALUE"""),252.0)</f>
        <v>252</v>
      </c>
      <c r="L37" s="39">
        <f>IFERROR(__xludf.DUMMYFUNCTION("""COMPUTED_VALUE"""),1.0)</f>
        <v>1</v>
      </c>
      <c r="M37" s="40">
        <f>IFERROR(__xludf.DUMMYFUNCTION("""COMPUTED_VALUE"""),0.996031746031746)</f>
        <v>0.996031746</v>
      </c>
      <c r="O37" s="92" t="str">
        <f>IFERROR(__xludf.DUMMYFUNCTION("""COMPUTED_VALUE"""),"Trần Nhật Thương")</f>
        <v>Trần Nhật Thương</v>
      </c>
      <c r="P37" s="93" t="str">
        <f>IFERROR(__xludf.DUMMYFUNCTION("""COMPUTED_VALUE"""),"BC 838 Quang Trung-Phường Hoài Nhơn Tây-Bình Định")</f>
        <v>BC 838 Quang Trung-Phường Hoài Nhơn Tây-Bình Định</v>
      </c>
      <c r="Q37" s="94">
        <f>IFERROR(__xludf.DUMMYFUNCTION("""COMPUTED_VALUE"""),226.0)</f>
        <v>226</v>
      </c>
      <c r="R37" s="95">
        <f>IFERROR(__xludf.DUMMYFUNCTION("""COMPUTED_VALUE"""),1.0)</f>
        <v>1</v>
      </c>
      <c r="S37" s="95">
        <f>IFERROR(__xludf.DUMMYFUNCTION("""COMPUTED_VALUE"""),0.9601769911504425)</f>
        <v>0.9601769912</v>
      </c>
      <c r="T37" s="95">
        <f>IFERROR(__xludf.DUMMYFUNCTION("""COMPUTED_VALUE"""),0.9513274336283186)</f>
        <v>0.9513274336</v>
      </c>
      <c r="U37" s="94">
        <f>IFERROR(__xludf.DUMMYFUNCTION("""COMPUTED_VALUE"""),9.0)</f>
        <v>9</v>
      </c>
      <c r="V37" s="95">
        <f>IFERROR(__xludf.DUMMYFUNCTION("""COMPUTED_VALUE"""),1.0)</f>
        <v>1</v>
      </c>
      <c r="W37" s="95">
        <f>IFERROR(__xludf.DUMMYFUNCTION("""COMPUTED_VALUE"""),0.3333333333333333)</f>
        <v>0.3333333333</v>
      </c>
      <c r="X37" s="95">
        <f>IFERROR(__xludf.DUMMYFUNCTION("""COMPUTED_VALUE"""),0.3333333333333333)</f>
        <v>0.3333333333</v>
      </c>
      <c r="Y37" s="94">
        <f>IFERROR(__xludf.DUMMYFUNCTION("""COMPUTED_VALUE"""),235.0)</f>
        <v>235</v>
      </c>
      <c r="Z37" s="95">
        <f>IFERROR(__xludf.DUMMYFUNCTION("""COMPUTED_VALUE"""),1.0)</f>
        <v>1</v>
      </c>
      <c r="AA37" s="95">
        <f>IFERROR(__xludf.DUMMYFUNCTION("""COMPUTED_VALUE"""),0.9361702127659575)</f>
        <v>0.9361702128</v>
      </c>
      <c r="AB37" s="96">
        <f>IFERROR(__xludf.DUMMYFUNCTION("""COMPUTED_VALUE"""),0.9276595744680851)</f>
        <v>0.9276595745</v>
      </c>
    </row>
    <row r="38" ht="17.25" customHeight="1">
      <c r="A38" s="111" t="str">
        <f>IFERROR(__xludf.DUMMYFUNCTION("""COMPUTED_VALUE"""),"Mai Đức Hoàng Long")</f>
        <v>Mai Đức Hoàng Long</v>
      </c>
      <c r="B38" s="38">
        <f>IFERROR(__xludf.DUMMYFUNCTION("""COMPUTED_VALUE"""),133.0)</f>
        <v>133</v>
      </c>
      <c r="C38" s="39">
        <f>IFERROR(__xludf.DUMMYFUNCTION("""COMPUTED_VALUE"""),1.0)</f>
        <v>1</v>
      </c>
      <c r="D38" s="39">
        <f>IFERROR(__xludf.DUMMYFUNCTION("""COMPUTED_VALUE"""),1.0)</f>
        <v>1</v>
      </c>
      <c r="E38" s="38"/>
      <c r="F38" s="51"/>
      <c r="G38" s="51"/>
      <c r="H38" s="38">
        <f>IFERROR(__xludf.DUMMYFUNCTION("""COMPUTED_VALUE"""),1.0)</f>
        <v>1</v>
      </c>
      <c r="I38" s="39">
        <f>IFERROR(__xludf.DUMMYFUNCTION("""COMPUTED_VALUE"""),1.0)</f>
        <v>1</v>
      </c>
      <c r="J38" s="39">
        <f>IFERROR(__xludf.DUMMYFUNCTION("""COMPUTED_VALUE"""),1.0)</f>
        <v>1</v>
      </c>
      <c r="K38" s="38">
        <f>IFERROR(__xludf.DUMMYFUNCTION("""COMPUTED_VALUE"""),134.0)</f>
        <v>134</v>
      </c>
      <c r="L38" s="39">
        <f>IFERROR(__xludf.DUMMYFUNCTION("""COMPUTED_VALUE"""),1.0)</f>
        <v>1</v>
      </c>
      <c r="M38" s="40">
        <f>IFERROR(__xludf.DUMMYFUNCTION("""COMPUTED_VALUE"""),1.0)</f>
        <v>1</v>
      </c>
      <c r="O38" s="92" t="str">
        <f>IFERROR(__xludf.DUMMYFUNCTION("""COMPUTED_VALUE"""),"Lê Văn Tài")</f>
        <v>Lê Văn Tài</v>
      </c>
      <c r="P38" s="93" t="str">
        <f>IFERROR(__xludf.DUMMYFUNCTION("""COMPUTED_VALUE"""),"BC Phạm Văn Đồng-Pơng Đrang-Krông Búk-Đắk Lắk")</f>
        <v>BC Phạm Văn Đồng-Pơng Đrang-Krông Búk-Đắk Lắk</v>
      </c>
      <c r="Q38" s="94">
        <f>IFERROR(__xludf.DUMMYFUNCTION("""COMPUTED_VALUE"""),208.0)</f>
        <v>208</v>
      </c>
      <c r="R38" s="95">
        <f>IFERROR(__xludf.DUMMYFUNCTION("""COMPUTED_VALUE"""),0.9903846153846154)</f>
        <v>0.9903846154</v>
      </c>
      <c r="S38" s="95">
        <f>IFERROR(__xludf.DUMMYFUNCTION("""COMPUTED_VALUE"""),0.9615384615384616)</f>
        <v>0.9615384615</v>
      </c>
      <c r="T38" s="95">
        <f>IFERROR(__xludf.DUMMYFUNCTION("""COMPUTED_VALUE"""),0.9615384615384616)</f>
        <v>0.9615384615</v>
      </c>
      <c r="U38" s="94">
        <f>IFERROR(__xludf.DUMMYFUNCTION("""COMPUTED_VALUE"""),60.0)</f>
        <v>60</v>
      </c>
      <c r="V38" s="95">
        <f>IFERROR(__xludf.DUMMYFUNCTION("""COMPUTED_VALUE"""),1.0)</f>
        <v>1</v>
      </c>
      <c r="W38" s="95">
        <f>IFERROR(__xludf.DUMMYFUNCTION("""COMPUTED_VALUE"""),0.85)</f>
        <v>0.85</v>
      </c>
      <c r="X38" s="95">
        <f>IFERROR(__xludf.DUMMYFUNCTION("""COMPUTED_VALUE"""),0.8333333333333334)</f>
        <v>0.8333333333</v>
      </c>
      <c r="Y38" s="94">
        <f>IFERROR(__xludf.DUMMYFUNCTION("""COMPUTED_VALUE"""),268.0)</f>
        <v>268</v>
      </c>
      <c r="Z38" s="95">
        <f>IFERROR(__xludf.DUMMYFUNCTION("""COMPUTED_VALUE"""),0.9925373134328358)</f>
        <v>0.9925373134</v>
      </c>
      <c r="AA38" s="95">
        <f>IFERROR(__xludf.DUMMYFUNCTION("""COMPUTED_VALUE"""),0.9365671641791045)</f>
        <v>0.9365671642</v>
      </c>
      <c r="AB38" s="96">
        <f>IFERROR(__xludf.DUMMYFUNCTION("""COMPUTED_VALUE"""),0.9328358208955224)</f>
        <v>0.9328358209</v>
      </c>
    </row>
    <row r="39" ht="17.25" customHeight="1">
      <c r="A39" s="113" t="str">
        <f>IFERROR(__xludf.DUMMYFUNCTION("""COMPUTED_VALUE"""),"Nguyễn  Ngọc Hà")</f>
        <v>Nguyễn  Ngọc Hà</v>
      </c>
      <c r="B39" s="114">
        <f>IFERROR(__xludf.DUMMYFUNCTION("""COMPUTED_VALUE"""),112.0)</f>
        <v>112</v>
      </c>
      <c r="C39" s="115">
        <f>IFERROR(__xludf.DUMMYFUNCTION("""COMPUTED_VALUE"""),1.0)</f>
        <v>1</v>
      </c>
      <c r="D39" s="115">
        <f>IFERROR(__xludf.DUMMYFUNCTION("""COMPUTED_VALUE"""),1.0)</f>
        <v>1</v>
      </c>
      <c r="E39" s="114"/>
      <c r="F39" s="52"/>
      <c r="G39" s="52"/>
      <c r="H39" s="114">
        <f>IFERROR(__xludf.DUMMYFUNCTION("""COMPUTED_VALUE"""),16.0)</f>
        <v>16</v>
      </c>
      <c r="I39" s="115">
        <f>IFERROR(__xludf.DUMMYFUNCTION("""COMPUTED_VALUE"""),1.0)</f>
        <v>1</v>
      </c>
      <c r="J39" s="115">
        <f>IFERROR(__xludf.DUMMYFUNCTION("""COMPUTED_VALUE"""),1.0)</f>
        <v>1</v>
      </c>
      <c r="K39" s="114">
        <f>IFERROR(__xludf.DUMMYFUNCTION("""COMPUTED_VALUE"""),128.0)</f>
        <v>128</v>
      </c>
      <c r="L39" s="115">
        <f>IFERROR(__xludf.DUMMYFUNCTION("""COMPUTED_VALUE"""),1.0)</f>
        <v>1</v>
      </c>
      <c r="M39" s="42">
        <f>IFERROR(__xludf.DUMMYFUNCTION("""COMPUTED_VALUE"""),1.0)</f>
        <v>1</v>
      </c>
      <c r="O39" s="92" t="str">
        <f>IFERROR(__xludf.DUMMYFUNCTION("""COMPUTED_VALUE"""),"Nguyễn Thị Bảo Nhi")</f>
        <v>Nguyễn Thị Bảo Nhi</v>
      </c>
      <c r="P39" s="93" t="str">
        <f>IFERROR(__xludf.DUMMYFUNCTION("""COMPUTED_VALUE"""),"BC Thị Trấn Buôn Trấp-Krông A Na-Đắk Lắk")</f>
        <v>BC Thị Trấn Buôn Trấp-Krông A Na-Đắk Lắk</v>
      </c>
      <c r="Q39" s="94">
        <f>IFERROR(__xludf.DUMMYFUNCTION("""COMPUTED_VALUE"""),77.0)</f>
        <v>77</v>
      </c>
      <c r="R39" s="95">
        <f>IFERROR(__xludf.DUMMYFUNCTION("""COMPUTED_VALUE"""),1.0)</f>
        <v>1</v>
      </c>
      <c r="S39" s="95">
        <f>IFERROR(__xludf.DUMMYFUNCTION("""COMPUTED_VALUE"""),0.935064935064935)</f>
        <v>0.9350649351</v>
      </c>
      <c r="T39" s="95">
        <f>IFERROR(__xludf.DUMMYFUNCTION("""COMPUTED_VALUE"""),0.935064935064935)</f>
        <v>0.9350649351</v>
      </c>
      <c r="U39" s="94">
        <f>IFERROR(__xludf.DUMMYFUNCTION("""COMPUTED_VALUE"""),5.0)</f>
        <v>5</v>
      </c>
      <c r="V39" s="95">
        <f>IFERROR(__xludf.DUMMYFUNCTION("""COMPUTED_VALUE"""),1.0)</f>
        <v>1</v>
      </c>
      <c r="W39" s="95">
        <f>IFERROR(__xludf.DUMMYFUNCTION("""COMPUTED_VALUE"""),1.0)</f>
        <v>1</v>
      </c>
      <c r="X39" s="95">
        <f>IFERROR(__xludf.DUMMYFUNCTION("""COMPUTED_VALUE"""),0.8)</f>
        <v>0.8</v>
      </c>
      <c r="Y39" s="94">
        <f>IFERROR(__xludf.DUMMYFUNCTION("""COMPUTED_VALUE"""),82.0)</f>
        <v>82</v>
      </c>
      <c r="Z39" s="95">
        <f>IFERROR(__xludf.DUMMYFUNCTION("""COMPUTED_VALUE"""),1.0)</f>
        <v>1</v>
      </c>
      <c r="AA39" s="95">
        <f>IFERROR(__xludf.DUMMYFUNCTION("""COMPUTED_VALUE"""),0.9390243902439024)</f>
        <v>0.9390243902</v>
      </c>
      <c r="AB39" s="96">
        <f>IFERROR(__xludf.DUMMYFUNCTION("""COMPUTED_VALUE"""),0.926829268292683)</f>
        <v>0.9268292683</v>
      </c>
    </row>
    <row r="40" ht="17.25" customHeight="1">
      <c r="A40" s="113" t="str">
        <f>IFERROR(__xludf.DUMMYFUNCTION("""COMPUTED_VALUE"""),"Trần Nhật Thương")</f>
        <v>Trần Nhật Thương</v>
      </c>
      <c r="B40" s="114">
        <f>IFERROR(__xludf.DUMMYFUNCTION("""COMPUTED_VALUE"""),249.0)</f>
        <v>249</v>
      </c>
      <c r="C40" s="115">
        <f>IFERROR(__xludf.DUMMYFUNCTION("""COMPUTED_VALUE"""),1.0)</f>
        <v>1</v>
      </c>
      <c r="D40" s="115">
        <f>IFERROR(__xludf.DUMMYFUNCTION("""COMPUTED_VALUE"""),1.0)</f>
        <v>1</v>
      </c>
      <c r="E40" s="114"/>
      <c r="F40" s="52"/>
      <c r="G40" s="52"/>
      <c r="H40" s="114">
        <f>IFERROR(__xludf.DUMMYFUNCTION("""COMPUTED_VALUE"""),2.0)</f>
        <v>2</v>
      </c>
      <c r="I40" s="115">
        <f>IFERROR(__xludf.DUMMYFUNCTION("""COMPUTED_VALUE"""),1.0)</f>
        <v>1</v>
      </c>
      <c r="J40" s="115">
        <f>IFERROR(__xludf.DUMMYFUNCTION("""COMPUTED_VALUE"""),1.0)</f>
        <v>1</v>
      </c>
      <c r="K40" s="114">
        <f>IFERROR(__xludf.DUMMYFUNCTION("""COMPUTED_VALUE"""),251.0)</f>
        <v>251</v>
      </c>
      <c r="L40" s="115">
        <f>IFERROR(__xludf.DUMMYFUNCTION("""COMPUTED_VALUE"""),1.0)</f>
        <v>1</v>
      </c>
      <c r="M40" s="42">
        <f>IFERROR(__xludf.DUMMYFUNCTION("""COMPUTED_VALUE"""),1.0)</f>
        <v>1</v>
      </c>
      <c r="O40" s="92" t="str">
        <f>IFERROR(__xludf.DUMMYFUNCTION("""COMPUTED_VALUE"""),"Huỳnh Thị Mới ")</f>
        <v>Huỳnh Thị Mới </v>
      </c>
      <c r="P40" s="93" t="str">
        <f>IFERROR(__xludf.DUMMYFUNCTION("""COMPUTED_VALUE"""),"BC KP3 TT Hai Riềng-Sông Hinh-Phú Yên")</f>
        <v>BC KP3 TT Hai Riềng-Sông Hinh-Phú Yên</v>
      </c>
      <c r="Q40" s="94">
        <f>IFERROR(__xludf.DUMMYFUNCTION("""COMPUTED_VALUE"""),114.0)</f>
        <v>114</v>
      </c>
      <c r="R40" s="95">
        <f>IFERROR(__xludf.DUMMYFUNCTION("""COMPUTED_VALUE"""),1.0)</f>
        <v>1</v>
      </c>
      <c r="S40" s="95">
        <f>IFERROR(__xludf.DUMMYFUNCTION("""COMPUTED_VALUE"""),0.9298245614035088)</f>
        <v>0.9298245614</v>
      </c>
      <c r="T40" s="95">
        <f>IFERROR(__xludf.DUMMYFUNCTION("""COMPUTED_VALUE"""),0.8421052631578947)</f>
        <v>0.8421052632</v>
      </c>
      <c r="U40" s="94">
        <f>IFERROR(__xludf.DUMMYFUNCTION("""COMPUTED_VALUE"""),21.0)</f>
        <v>21</v>
      </c>
      <c r="V40" s="95">
        <f>IFERROR(__xludf.DUMMYFUNCTION("""COMPUTED_VALUE"""),1.0)</f>
        <v>1</v>
      </c>
      <c r="W40" s="95">
        <f>IFERROR(__xludf.DUMMYFUNCTION("""COMPUTED_VALUE"""),1.0)</f>
        <v>1</v>
      </c>
      <c r="X40" s="95">
        <f>IFERROR(__xludf.DUMMYFUNCTION("""COMPUTED_VALUE"""),1.0)</f>
        <v>1</v>
      </c>
      <c r="Y40" s="94">
        <f>IFERROR(__xludf.DUMMYFUNCTION("""COMPUTED_VALUE"""),135.0)</f>
        <v>135</v>
      </c>
      <c r="Z40" s="95">
        <f>IFERROR(__xludf.DUMMYFUNCTION("""COMPUTED_VALUE"""),1.0)</f>
        <v>1</v>
      </c>
      <c r="AA40" s="95">
        <f>IFERROR(__xludf.DUMMYFUNCTION("""COMPUTED_VALUE"""),0.9407407407407408)</f>
        <v>0.9407407407</v>
      </c>
      <c r="AB40" s="96">
        <f>IFERROR(__xludf.DUMMYFUNCTION("""COMPUTED_VALUE"""),0.8666666666666667)</f>
        <v>0.8666666667</v>
      </c>
    </row>
    <row r="41" ht="17.25" customHeight="1">
      <c r="A41" s="116" t="str">
        <f>IFERROR(__xludf.DUMMYFUNCTION("""COMPUTED_VALUE"""),"Grand Total")</f>
        <v>Grand Total</v>
      </c>
      <c r="B41" s="117">
        <f>IFERROR(__xludf.DUMMYFUNCTION("""COMPUTED_VALUE"""),2773.0)</f>
        <v>2773</v>
      </c>
      <c r="C41" s="118">
        <f>IFERROR(__xludf.DUMMYFUNCTION("""COMPUTED_VALUE"""),1.0)</f>
        <v>1</v>
      </c>
      <c r="D41" s="118">
        <f>IFERROR(__xludf.DUMMYFUNCTION("""COMPUTED_VALUE"""),0.9780021637216012)</f>
        <v>0.9780021637</v>
      </c>
      <c r="E41" s="117"/>
      <c r="F41" s="119"/>
      <c r="G41" s="119"/>
      <c r="H41" s="117">
        <f>IFERROR(__xludf.DUMMYFUNCTION("""COMPUTED_VALUE"""),132.0)</f>
        <v>132</v>
      </c>
      <c r="I41" s="118">
        <f>IFERROR(__xludf.DUMMYFUNCTION("""COMPUTED_VALUE"""),1.0)</f>
        <v>1</v>
      </c>
      <c r="J41" s="118">
        <f>IFERROR(__xludf.DUMMYFUNCTION("""COMPUTED_VALUE"""),0.9545454545454546)</f>
        <v>0.9545454545</v>
      </c>
      <c r="K41" s="117">
        <f>IFERROR(__xludf.DUMMYFUNCTION("""COMPUTED_VALUE"""),2905.0)</f>
        <v>2905</v>
      </c>
      <c r="L41" s="118">
        <f>IFERROR(__xludf.DUMMYFUNCTION("""COMPUTED_VALUE"""),1.0)</f>
        <v>1</v>
      </c>
      <c r="M41" s="46">
        <f>IFERROR(__xludf.DUMMYFUNCTION("""COMPUTED_VALUE"""),0.9769363166953529)</f>
        <v>0.9769363167</v>
      </c>
      <c r="O41" s="92" t="str">
        <f>IFERROR(__xludf.DUMMYFUNCTION("""COMPUTED_VALUE"""),"Nguyễn Văn Sáng")</f>
        <v>Nguyễn Văn Sáng</v>
      </c>
      <c r="P41" s="93" t="str">
        <f>IFERROR(__xludf.DUMMYFUNCTION("""COMPUTED_VALUE"""),"BC 34 Quang Trung-Eakar-Đắk Lắk")</f>
        <v>BC 34 Quang Trung-Eakar-Đắk Lắk</v>
      </c>
      <c r="Q41" s="94">
        <f>IFERROR(__xludf.DUMMYFUNCTION("""COMPUTED_VALUE"""),406.0)</f>
        <v>406</v>
      </c>
      <c r="R41" s="95">
        <f>IFERROR(__xludf.DUMMYFUNCTION("""COMPUTED_VALUE"""),1.0)</f>
        <v>1</v>
      </c>
      <c r="S41" s="95">
        <f>IFERROR(__xludf.DUMMYFUNCTION("""COMPUTED_VALUE"""),0.9630541871921182)</f>
        <v>0.9630541872</v>
      </c>
      <c r="T41" s="95">
        <f>IFERROR(__xludf.DUMMYFUNCTION("""COMPUTED_VALUE"""),0.9630541871921182)</f>
        <v>0.9630541872</v>
      </c>
      <c r="U41" s="94">
        <f>IFERROR(__xludf.DUMMYFUNCTION("""COMPUTED_VALUE"""),78.0)</f>
        <v>78</v>
      </c>
      <c r="V41" s="95">
        <f>IFERROR(__xludf.DUMMYFUNCTION("""COMPUTED_VALUE"""),1.0)</f>
        <v>1</v>
      </c>
      <c r="W41" s="95">
        <f>IFERROR(__xludf.DUMMYFUNCTION("""COMPUTED_VALUE"""),0.8333333333333334)</f>
        <v>0.8333333333</v>
      </c>
      <c r="X41" s="95">
        <f>IFERROR(__xludf.DUMMYFUNCTION("""COMPUTED_VALUE"""),0.8205128205128205)</f>
        <v>0.8205128205</v>
      </c>
      <c r="Y41" s="94">
        <f>IFERROR(__xludf.DUMMYFUNCTION("""COMPUTED_VALUE"""),484.0)</f>
        <v>484</v>
      </c>
      <c r="Z41" s="95">
        <f>IFERROR(__xludf.DUMMYFUNCTION("""COMPUTED_VALUE"""),1.0)</f>
        <v>1</v>
      </c>
      <c r="AA41" s="95">
        <f>IFERROR(__xludf.DUMMYFUNCTION("""COMPUTED_VALUE"""),0.9421487603305785)</f>
        <v>0.9421487603</v>
      </c>
      <c r="AB41" s="96">
        <f>IFERROR(__xludf.DUMMYFUNCTION("""COMPUTED_VALUE"""),0.9400826446280992)</f>
        <v>0.9400826446</v>
      </c>
    </row>
    <row r="42" ht="17.25" customHeight="1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O42" s="92" t="str">
        <f>IFERROR(__xludf.DUMMYFUNCTION("""COMPUTED_VALUE"""),"Nguyễn  Hoàng Anh ")</f>
        <v>Nguyễn  Hoàng Anh </v>
      </c>
      <c r="P42" s="93" t="str">
        <f>IFERROR(__xludf.DUMMYFUNCTION("""COMPUTED_VALUE"""),"BC 271 Nguyễn Văn Cừ-Tân Lập-Đắk Lắk")</f>
        <v>BC 271 Nguyễn Văn Cừ-Tân Lập-Đắk Lắk</v>
      </c>
      <c r="Q42" s="94">
        <f>IFERROR(__xludf.DUMMYFUNCTION("""COMPUTED_VALUE"""),750.0)</f>
        <v>750</v>
      </c>
      <c r="R42" s="95">
        <f>IFERROR(__xludf.DUMMYFUNCTION("""COMPUTED_VALUE"""),0.9973333333333333)</f>
        <v>0.9973333333</v>
      </c>
      <c r="S42" s="95">
        <f>IFERROR(__xludf.DUMMYFUNCTION("""COMPUTED_VALUE"""),0.9426666666666667)</f>
        <v>0.9426666667</v>
      </c>
      <c r="T42" s="95">
        <f>IFERROR(__xludf.DUMMYFUNCTION("""COMPUTED_VALUE"""),0.9346666666666666)</f>
        <v>0.9346666667</v>
      </c>
      <c r="U42" s="94">
        <f>IFERROR(__xludf.DUMMYFUNCTION("""COMPUTED_VALUE"""),20.0)</f>
        <v>20</v>
      </c>
      <c r="V42" s="95">
        <f>IFERROR(__xludf.DUMMYFUNCTION("""COMPUTED_VALUE"""),1.0)</f>
        <v>1</v>
      </c>
      <c r="W42" s="95">
        <f>IFERROR(__xludf.DUMMYFUNCTION("""COMPUTED_VALUE"""),1.0)</f>
        <v>1</v>
      </c>
      <c r="X42" s="95">
        <f>IFERROR(__xludf.DUMMYFUNCTION("""COMPUTED_VALUE"""),0.95)</f>
        <v>0.95</v>
      </c>
      <c r="Y42" s="94">
        <f>IFERROR(__xludf.DUMMYFUNCTION("""COMPUTED_VALUE"""),770.0)</f>
        <v>770</v>
      </c>
      <c r="Z42" s="95">
        <f>IFERROR(__xludf.DUMMYFUNCTION("""COMPUTED_VALUE"""),0.9974025974025974)</f>
        <v>0.9974025974</v>
      </c>
      <c r="AA42" s="95">
        <f>IFERROR(__xludf.DUMMYFUNCTION("""COMPUTED_VALUE"""),0.9441558441558442)</f>
        <v>0.9441558442</v>
      </c>
      <c r="AB42" s="96">
        <f>IFERROR(__xludf.DUMMYFUNCTION("""COMPUTED_VALUE"""),0.935064935064935)</f>
        <v>0.9350649351</v>
      </c>
    </row>
    <row r="43" ht="17.25" customHeight="1">
      <c r="O43" s="92" t="str">
        <f>IFERROR(__xludf.DUMMYFUNCTION("""COMPUTED_VALUE"""),"Phan Thanh Thức")</f>
        <v>Phan Thanh Thức</v>
      </c>
      <c r="P43" s="93" t="str">
        <f>IFERROR(__xludf.DUMMYFUNCTION("""COMPUTED_VALUE"""),"BC 565 Trần Phú-Tuy Phước-Bình Định")</f>
        <v>BC 565 Trần Phú-Tuy Phước-Bình Định</v>
      </c>
      <c r="Q43" s="94">
        <f>IFERROR(__xludf.DUMMYFUNCTION("""COMPUTED_VALUE"""),183.0)</f>
        <v>183</v>
      </c>
      <c r="R43" s="95">
        <f>IFERROR(__xludf.DUMMYFUNCTION("""COMPUTED_VALUE"""),1.0)</f>
        <v>1</v>
      </c>
      <c r="S43" s="95">
        <f>IFERROR(__xludf.DUMMYFUNCTION("""COMPUTED_VALUE"""),0.9617486338797814)</f>
        <v>0.9617486339</v>
      </c>
      <c r="T43" s="95">
        <f>IFERROR(__xludf.DUMMYFUNCTION("""COMPUTED_VALUE"""),0.9617486338797814)</f>
        <v>0.9617486339</v>
      </c>
      <c r="U43" s="94">
        <f>IFERROR(__xludf.DUMMYFUNCTION("""COMPUTED_VALUE"""),14.0)</f>
        <v>14</v>
      </c>
      <c r="V43" s="95">
        <f>IFERROR(__xludf.DUMMYFUNCTION("""COMPUTED_VALUE"""),1.0)</f>
        <v>1</v>
      </c>
      <c r="W43" s="95">
        <f>IFERROR(__xludf.DUMMYFUNCTION("""COMPUTED_VALUE"""),0.7857142857142857)</f>
        <v>0.7857142857</v>
      </c>
      <c r="X43" s="95">
        <f>IFERROR(__xludf.DUMMYFUNCTION("""COMPUTED_VALUE"""),0.6428571428571429)</f>
        <v>0.6428571429</v>
      </c>
      <c r="Y43" s="94">
        <f>IFERROR(__xludf.DUMMYFUNCTION("""COMPUTED_VALUE"""),197.0)</f>
        <v>197</v>
      </c>
      <c r="Z43" s="95">
        <f>IFERROR(__xludf.DUMMYFUNCTION("""COMPUTED_VALUE"""),1.0)</f>
        <v>1</v>
      </c>
      <c r="AA43" s="95">
        <f>IFERROR(__xludf.DUMMYFUNCTION("""COMPUTED_VALUE"""),0.949238578680203)</f>
        <v>0.9492385787</v>
      </c>
      <c r="AB43" s="96">
        <f>IFERROR(__xludf.DUMMYFUNCTION("""COMPUTED_VALUE"""),0.9390862944162437)</f>
        <v>0.9390862944</v>
      </c>
    </row>
    <row r="44" ht="17.25" customHeight="1">
      <c r="O44" s="92" t="str">
        <f>IFERROR(__xludf.DUMMYFUNCTION("""COMPUTED_VALUE"""),"Huỳnh Thị Mới ")</f>
        <v>Huỳnh Thị Mới </v>
      </c>
      <c r="P44" s="93" t="str">
        <f>IFERROR(__xludf.DUMMYFUNCTION("""COMPUTED_VALUE"""),"BC KP4 Hòa Vinh- Đông Hòa- Phú Yên")</f>
        <v>BC KP4 Hòa Vinh- Đông Hòa- Phú Yên</v>
      </c>
      <c r="Q44" s="94">
        <f>IFERROR(__xludf.DUMMYFUNCTION("""COMPUTED_VALUE"""),240.0)</f>
        <v>240</v>
      </c>
      <c r="R44" s="95">
        <f>IFERROR(__xludf.DUMMYFUNCTION("""COMPUTED_VALUE"""),1.0)</f>
        <v>1</v>
      </c>
      <c r="S44" s="95">
        <f>IFERROR(__xludf.DUMMYFUNCTION("""COMPUTED_VALUE"""),0.9541666666666667)</f>
        <v>0.9541666667</v>
      </c>
      <c r="T44" s="95">
        <f>IFERROR(__xludf.DUMMYFUNCTION("""COMPUTED_VALUE"""),0.9541666666666667)</f>
        <v>0.9541666667</v>
      </c>
      <c r="U44" s="94">
        <f>IFERROR(__xludf.DUMMYFUNCTION("""COMPUTED_VALUE"""),12.0)</f>
        <v>12</v>
      </c>
      <c r="V44" s="95">
        <f>IFERROR(__xludf.DUMMYFUNCTION("""COMPUTED_VALUE"""),1.0)</f>
        <v>1</v>
      </c>
      <c r="W44" s="95">
        <f>IFERROR(__xludf.DUMMYFUNCTION("""COMPUTED_VALUE"""),0.9166666666666666)</f>
        <v>0.9166666667</v>
      </c>
      <c r="X44" s="95">
        <f>IFERROR(__xludf.DUMMYFUNCTION("""COMPUTED_VALUE"""),0.9166666666666666)</f>
        <v>0.9166666667</v>
      </c>
      <c r="Y44" s="94">
        <f>IFERROR(__xludf.DUMMYFUNCTION("""COMPUTED_VALUE"""),252.0)</f>
        <v>252</v>
      </c>
      <c r="Z44" s="95">
        <f>IFERROR(__xludf.DUMMYFUNCTION("""COMPUTED_VALUE"""),1.0)</f>
        <v>1</v>
      </c>
      <c r="AA44" s="95">
        <f>IFERROR(__xludf.DUMMYFUNCTION("""COMPUTED_VALUE"""),0.9523809523809523)</f>
        <v>0.9523809524</v>
      </c>
      <c r="AB44" s="96">
        <f>IFERROR(__xludf.DUMMYFUNCTION("""COMPUTED_VALUE"""),0.9523809523809523)</f>
        <v>0.9523809524</v>
      </c>
    </row>
    <row r="45" ht="17.25" customHeight="1">
      <c r="O45" s="92" t="str">
        <f>IFERROR(__xludf.DUMMYFUNCTION("""COMPUTED_VALUE"""),"Nguyễn Đình Trung")</f>
        <v>Nguyễn Đình Trung</v>
      </c>
      <c r="P45" s="93" t="str">
        <f>IFERROR(__xludf.DUMMYFUNCTION("""COMPUTED_VALUE"""),"BC 327A Cách Mạng Tháng 8-Pleiku-Gia Lai")</f>
        <v>BC 327A Cách Mạng Tháng 8-Pleiku-Gia Lai</v>
      </c>
      <c r="Q45" s="94">
        <f>IFERROR(__xludf.DUMMYFUNCTION("""COMPUTED_VALUE"""),292.0)</f>
        <v>292</v>
      </c>
      <c r="R45" s="95">
        <f>IFERROR(__xludf.DUMMYFUNCTION("""COMPUTED_VALUE"""),0.9965753424657534)</f>
        <v>0.9965753425</v>
      </c>
      <c r="S45" s="95">
        <f>IFERROR(__xludf.DUMMYFUNCTION("""COMPUTED_VALUE"""),0.952054794520548)</f>
        <v>0.9520547945</v>
      </c>
      <c r="T45" s="95">
        <f>IFERROR(__xludf.DUMMYFUNCTION("""COMPUTED_VALUE"""),0.952054794520548)</f>
        <v>0.9520547945</v>
      </c>
      <c r="U45" s="94">
        <f>IFERROR(__xludf.DUMMYFUNCTION("""COMPUTED_VALUE"""),12.0)</f>
        <v>12</v>
      </c>
      <c r="V45" s="95">
        <f>IFERROR(__xludf.DUMMYFUNCTION("""COMPUTED_VALUE"""),1.0)</f>
        <v>1</v>
      </c>
      <c r="W45" s="95">
        <f>IFERROR(__xludf.DUMMYFUNCTION("""COMPUTED_VALUE"""),1.0)</f>
        <v>1</v>
      </c>
      <c r="X45" s="95">
        <f>IFERROR(__xludf.DUMMYFUNCTION("""COMPUTED_VALUE"""),1.0)</f>
        <v>1</v>
      </c>
      <c r="Y45" s="94">
        <f>IFERROR(__xludf.DUMMYFUNCTION("""COMPUTED_VALUE"""),304.0)</f>
        <v>304</v>
      </c>
      <c r="Z45" s="95">
        <f>IFERROR(__xludf.DUMMYFUNCTION("""COMPUTED_VALUE"""),0.9967105263157895)</f>
        <v>0.9967105263</v>
      </c>
      <c r="AA45" s="95">
        <f>IFERROR(__xludf.DUMMYFUNCTION("""COMPUTED_VALUE"""),0.9539473684210527)</f>
        <v>0.9539473684</v>
      </c>
      <c r="AB45" s="96">
        <f>IFERROR(__xludf.DUMMYFUNCTION("""COMPUTED_VALUE"""),0.9539473684210527)</f>
        <v>0.9539473684</v>
      </c>
    </row>
    <row r="46" ht="17.25" customHeight="1">
      <c r="O46" s="92" t="str">
        <f>IFERROR(__xludf.DUMMYFUNCTION("""COMPUTED_VALUE"""),"Mai Đức Hoàng Long")</f>
        <v>Mai Đức Hoàng Long</v>
      </c>
      <c r="P46" s="93" t="str">
        <f>IFERROR(__xludf.DUMMYFUNCTION("""COMPUTED_VALUE"""),"BC 159 Tân Quảng-EaTóh-Krông Năng-Đắk Lắk")</f>
        <v>BC 159 Tân Quảng-EaTóh-Krông Năng-Đắk Lắk</v>
      </c>
      <c r="Q46" s="94">
        <f>IFERROR(__xludf.DUMMYFUNCTION("""COMPUTED_VALUE"""),291.0)</f>
        <v>291</v>
      </c>
      <c r="R46" s="95">
        <f>IFERROR(__xludf.DUMMYFUNCTION("""COMPUTED_VALUE"""),0.9965635738831615)</f>
        <v>0.9965635739</v>
      </c>
      <c r="S46" s="95">
        <f>IFERROR(__xludf.DUMMYFUNCTION("""COMPUTED_VALUE"""),0.9553264604810997)</f>
        <v>0.9553264605</v>
      </c>
      <c r="T46" s="95">
        <f>IFERROR(__xludf.DUMMYFUNCTION("""COMPUTED_VALUE"""),0.9518900343642611)</f>
        <v>0.9518900344</v>
      </c>
      <c r="U46" s="94">
        <f>IFERROR(__xludf.DUMMYFUNCTION("""COMPUTED_VALUE"""),15.0)</f>
        <v>15</v>
      </c>
      <c r="V46" s="95">
        <f>IFERROR(__xludf.DUMMYFUNCTION("""COMPUTED_VALUE"""),1.0)</f>
        <v>1</v>
      </c>
      <c r="W46" s="95">
        <f>IFERROR(__xludf.DUMMYFUNCTION("""COMPUTED_VALUE"""),0.9333333333333333)</f>
        <v>0.9333333333</v>
      </c>
      <c r="X46" s="95">
        <f>IFERROR(__xludf.DUMMYFUNCTION("""COMPUTED_VALUE"""),0.8)</f>
        <v>0.8</v>
      </c>
      <c r="Y46" s="94">
        <f>IFERROR(__xludf.DUMMYFUNCTION("""COMPUTED_VALUE"""),306.0)</f>
        <v>306</v>
      </c>
      <c r="Z46" s="95">
        <f>IFERROR(__xludf.DUMMYFUNCTION("""COMPUTED_VALUE"""),0.9967320261437909)</f>
        <v>0.9967320261</v>
      </c>
      <c r="AA46" s="95">
        <f>IFERROR(__xludf.DUMMYFUNCTION("""COMPUTED_VALUE"""),0.954248366013072)</f>
        <v>0.954248366</v>
      </c>
      <c r="AB46" s="96">
        <f>IFERROR(__xludf.DUMMYFUNCTION("""COMPUTED_VALUE"""),0.9444444444444444)</f>
        <v>0.9444444444</v>
      </c>
    </row>
    <row r="47" ht="17.25" customHeight="1">
      <c r="O47" s="92" t="str">
        <f>IFERROR(__xludf.DUMMYFUNCTION("""COMPUTED_VALUE"""),"Nguyễn Thị Bảo Nhi")</f>
        <v>Nguyễn Thị Bảo Nhi</v>
      </c>
      <c r="P47" s="93" t="str">
        <f>IFERROR(__xludf.DUMMYFUNCTION("""COMPUTED_VALUE"""),"BC 70 Đường 30/4-Ea Tam-Buôn Ma Thuột-Đắk Lắk ")</f>
        <v>BC 70 Đường 30/4-Ea Tam-Buôn Ma Thuột-Đắk Lắk </v>
      </c>
      <c r="Q47" s="94">
        <f>IFERROR(__xludf.DUMMYFUNCTION("""COMPUTED_VALUE"""),235.0)</f>
        <v>235</v>
      </c>
      <c r="R47" s="95">
        <f>IFERROR(__xludf.DUMMYFUNCTION("""COMPUTED_VALUE"""),1.0)</f>
        <v>1</v>
      </c>
      <c r="S47" s="95">
        <f>IFERROR(__xludf.DUMMYFUNCTION("""COMPUTED_VALUE"""),0.9659574468085106)</f>
        <v>0.9659574468</v>
      </c>
      <c r="T47" s="95">
        <f>IFERROR(__xludf.DUMMYFUNCTION("""COMPUTED_VALUE"""),0.9659574468085106)</f>
        <v>0.9659574468</v>
      </c>
      <c r="U47" s="94">
        <f>IFERROR(__xludf.DUMMYFUNCTION("""COMPUTED_VALUE"""),14.0)</f>
        <v>14</v>
      </c>
      <c r="V47" s="95">
        <f>IFERROR(__xludf.DUMMYFUNCTION("""COMPUTED_VALUE"""),1.0)</f>
        <v>1</v>
      </c>
      <c r="W47" s="95">
        <f>IFERROR(__xludf.DUMMYFUNCTION("""COMPUTED_VALUE"""),0.7857142857142857)</f>
        <v>0.7857142857</v>
      </c>
      <c r="X47" s="95">
        <f>IFERROR(__xludf.DUMMYFUNCTION("""COMPUTED_VALUE"""),0.7142857142857143)</f>
        <v>0.7142857143</v>
      </c>
      <c r="Y47" s="94">
        <f>IFERROR(__xludf.DUMMYFUNCTION("""COMPUTED_VALUE"""),249.0)</f>
        <v>249</v>
      </c>
      <c r="Z47" s="95">
        <f>IFERROR(__xludf.DUMMYFUNCTION("""COMPUTED_VALUE"""),1.0)</f>
        <v>1</v>
      </c>
      <c r="AA47" s="95">
        <f>IFERROR(__xludf.DUMMYFUNCTION("""COMPUTED_VALUE"""),0.9558232931726908)</f>
        <v>0.9558232932</v>
      </c>
      <c r="AB47" s="96">
        <f>IFERROR(__xludf.DUMMYFUNCTION("""COMPUTED_VALUE"""),0.9518072289156626)</f>
        <v>0.9518072289</v>
      </c>
    </row>
    <row r="48" ht="17.25" customHeight="1">
      <c r="O48" s="92" t="str">
        <f>IFERROR(__xludf.DUMMYFUNCTION("""COMPUTED_VALUE"""),"Nguyễn Thị Bảo Nhi")</f>
        <v>Nguyễn Thị Bảo Nhi</v>
      </c>
      <c r="P48" s="93" t="str">
        <f>IFERROR(__xludf.DUMMYFUNCTION("""COMPUTED_VALUE"""),"BC 09 Quốc Lộ 14-Hoà Phú-Đắk Lắk")</f>
        <v>BC 09 Quốc Lộ 14-Hoà Phú-Đắk Lắk</v>
      </c>
      <c r="Q48" s="94">
        <f>IFERROR(__xludf.DUMMYFUNCTION("""COMPUTED_VALUE"""),435.0)</f>
        <v>435</v>
      </c>
      <c r="R48" s="95">
        <f>IFERROR(__xludf.DUMMYFUNCTION("""COMPUTED_VALUE"""),1.0)</f>
        <v>1</v>
      </c>
      <c r="S48" s="95">
        <f>IFERROR(__xludf.DUMMYFUNCTION("""COMPUTED_VALUE"""),0.960919540229885)</f>
        <v>0.9609195402</v>
      </c>
      <c r="T48" s="95">
        <f>IFERROR(__xludf.DUMMYFUNCTION("""COMPUTED_VALUE"""),0.9586206896551724)</f>
        <v>0.9586206897</v>
      </c>
      <c r="U48" s="94">
        <f>IFERROR(__xludf.DUMMYFUNCTION("""COMPUTED_VALUE"""),46.0)</f>
        <v>46</v>
      </c>
      <c r="V48" s="95">
        <f>IFERROR(__xludf.DUMMYFUNCTION("""COMPUTED_VALUE"""),1.0)</f>
        <v>1</v>
      </c>
      <c r="W48" s="95">
        <f>IFERROR(__xludf.DUMMYFUNCTION("""COMPUTED_VALUE"""),0.9130434782608695)</f>
        <v>0.9130434783</v>
      </c>
      <c r="X48" s="95">
        <f>IFERROR(__xludf.DUMMYFUNCTION("""COMPUTED_VALUE"""),0.9130434782608695)</f>
        <v>0.9130434783</v>
      </c>
      <c r="Y48" s="94">
        <f>IFERROR(__xludf.DUMMYFUNCTION("""COMPUTED_VALUE"""),481.0)</f>
        <v>481</v>
      </c>
      <c r="Z48" s="95">
        <f>IFERROR(__xludf.DUMMYFUNCTION("""COMPUTED_VALUE"""),1.0)</f>
        <v>1</v>
      </c>
      <c r="AA48" s="95">
        <f>IFERROR(__xludf.DUMMYFUNCTION("""COMPUTED_VALUE"""),0.9563409563409564)</f>
        <v>0.9563409563</v>
      </c>
      <c r="AB48" s="96">
        <f>IFERROR(__xludf.DUMMYFUNCTION("""COMPUTED_VALUE"""),0.9542619542619543)</f>
        <v>0.9542619543</v>
      </c>
    </row>
    <row r="49" ht="17.25" customHeight="1">
      <c r="O49" s="92" t="str">
        <f>IFERROR(__xludf.DUMMYFUNCTION("""COMPUTED_VALUE"""),"Trần Nhật Thương")</f>
        <v>Trần Nhật Thương</v>
      </c>
      <c r="P49" s="93" t="str">
        <f>IFERROR(__xludf.DUMMYFUNCTION("""COMPUTED_VALUE"""),"Điểm xử lý hàng Thôn Xuân Phong Nam-An Lão-Bình Định")</f>
        <v>Điểm xử lý hàng Thôn Xuân Phong Nam-An Lão-Bình Định</v>
      </c>
      <c r="Q49" s="94">
        <f>IFERROR(__xludf.DUMMYFUNCTION("""COMPUTED_VALUE"""),20.0)</f>
        <v>20</v>
      </c>
      <c r="R49" s="95">
        <f>IFERROR(__xludf.DUMMYFUNCTION("""COMPUTED_VALUE"""),1.0)</f>
        <v>1</v>
      </c>
      <c r="S49" s="95">
        <f>IFERROR(__xludf.DUMMYFUNCTION("""COMPUTED_VALUE"""),0.95)</f>
        <v>0.95</v>
      </c>
      <c r="T49" s="95">
        <f>IFERROR(__xludf.DUMMYFUNCTION("""COMPUTED_VALUE"""),0.95)</f>
        <v>0.95</v>
      </c>
      <c r="U49" s="94">
        <f>IFERROR(__xludf.DUMMYFUNCTION("""COMPUTED_VALUE"""),3.0)</f>
        <v>3</v>
      </c>
      <c r="V49" s="95">
        <f>IFERROR(__xludf.DUMMYFUNCTION("""COMPUTED_VALUE"""),1.0)</f>
        <v>1</v>
      </c>
      <c r="W49" s="95">
        <f>IFERROR(__xludf.DUMMYFUNCTION("""COMPUTED_VALUE"""),1.0)</f>
        <v>1</v>
      </c>
      <c r="X49" s="95">
        <f>IFERROR(__xludf.DUMMYFUNCTION("""COMPUTED_VALUE"""),1.0)</f>
        <v>1</v>
      </c>
      <c r="Y49" s="94">
        <f>IFERROR(__xludf.DUMMYFUNCTION("""COMPUTED_VALUE"""),23.0)</f>
        <v>23</v>
      </c>
      <c r="Z49" s="95">
        <f>IFERROR(__xludf.DUMMYFUNCTION("""COMPUTED_VALUE"""),1.0)</f>
        <v>1</v>
      </c>
      <c r="AA49" s="95">
        <f>IFERROR(__xludf.DUMMYFUNCTION("""COMPUTED_VALUE"""),0.9565217391304348)</f>
        <v>0.9565217391</v>
      </c>
      <c r="AB49" s="96">
        <f>IFERROR(__xludf.DUMMYFUNCTION("""COMPUTED_VALUE"""),0.9565217391304348)</f>
        <v>0.9565217391</v>
      </c>
    </row>
    <row r="50" ht="17.25" customHeight="1">
      <c r="O50" s="92" t="str">
        <f>IFERROR(__xludf.DUMMYFUNCTION("""COMPUTED_VALUE"""),"Nguyễn Công Luận")</f>
        <v>Nguyễn Công Luận</v>
      </c>
      <c r="P50" s="93" t="str">
        <f>IFERROR(__xludf.DUMMYFUNCTION("""COMPUTED_VALUE"""),"BC 39 Nguyễn Huệ-Ayun Pa-Gia Lai")</f>
        <v>BC 39 Nguyễn Huệ-Ayun Pa-Gia Lai</v>
      </c>
      <c r="Q50" s="94">
        <f>IFERROR(__xludf.DUMMYFUNCTION("""COMPUTED_VALUE"""),98.0)</f>
        <v>98</v>
      </c>
      <c r="R50" s="95">
        <f>IFERROR(__xludf.DUMMYFUNCTION("""COMPUTED_VALUE"""),1.0)</f>
        <v>1</v>
      </c>
      <c r="S50" s="95">
        <f>IFERROR(__xludf.DUMMYFUNCTION("""COMPUTED_VALUE"""),0.9897959183673469)</f>
        <v>0.9897959184</v>
      </c>
      <c r="T50" s="95">
        <f>IFERROR(__xludf.DUMMYFUNCTION("""COMPUTED_VALUE"""),0.6122448979591837)</f>
        <v>0.612244898</v>
      </c>
      <c r="U50" s="94">
        <f>IFERROR(__xludf.DUMMYFUNCTION("""COMPUTED_VALUE"""),23.0)</f>
        <v>23</v>
      </c>
      <c r="V50" s="95">
        <f>IFERROR(__xludf.DUMMYFUNCTION("""COMPUTED_VALUE"""),1.0)</f>
        <v>1</v>
      </c>
      <c r="W50" s="95">
        <f>IFERROR(__xludf.DUMMYFUNCTION("""COMPUTED_VALUE"""),0.8260869565217391)</f>
        <v>0.8260869565</v>
      </c>
      <c r="X50" s="95">
        <f>IFERROR(__xludf.DUMMYFUNCTION("""COMPUTED_VALUE"""),0.5652173913043478)</f>
        <v>0.5652173913</v>
      </c>
      <c r="Y50" s="94">
        <f>IFERROR(__xludf.DUMMYFUNCTION("""COMPUTED_VALUE"""),121.0)</f>
        <v>121</v>
      </c>
      <c r="Z50" s="95">
        <f>IFERROR(__xludf.DUMMYFUNCTION("""COMPUTED_VALUE"""),1.0)</f>
        <v>1</v>
      </c>
      <c r="AA50" s="95">
        <f>IFERROR(__xludf.DUMMYFUNCTION("""COMPUTED_VALUE"""),0.9586776859504132)</f>
        <v>0.958677686</v>
      </c>
      <c r="AB50" s="96">
        <f>IFERROR(__xludf.DUMMYFUNCTION("""COMPUTED_VALUE"""),0.6033057851239669)</f>
        <v>0.6033057851</v>
      </c>
    </row>
    <row r="51" ht="17.25" customHeight="1">
      <c r="O51" s="92" t="str">
        <f>IFERROR(__xludf.DUMMYFUNCTION("""COMPUTED_VALUE"""),"Trần Nhật Thương")</f>
        <v>Trần Nhật Thương</v>
      </c>
      <c r="P51" s="93" t="str">
        <f>IFERROR(__xludf.DUMMYFUNCTION("""COMPUTED_VALUE"""),"BC Hoài Nhơn-Bình Định")</f>
        <v>BC Hoài Nhơn-Bình Định</v>
      </c>
      <c r="Q51" s="94">
        <f>IFERROR(__xludf.DUMMYFUNCTION("""COMPUTED_VALUE"""),345.0)</f>
        <v>345</v>
      </c>
      <c r="R51" s="95">
        <f>IFERROR(__xludf.DUMMYFUNCTION("""COMPUTED_VALUE"""),1.0)</f>
        <v>1</v>
      </c>
      <c r="S51" s="95">
        <f>IFERROR(__xludf.DUMMYFUNCTION("""COMPUTED_VALUE"""),0.9594202898550724)</f>
        <v>0.9594202899</v>
      </c>
      <c r="T51" s="95">
        <f>IFERROR(__xludf.DUMMYFUNCTION("""COMPUTED_VALUE"""),0.9594202898550724)</f>
        <v>0.9594202899</v>
      </c>
      <c r="U51" s="94">
        <f>IFERROR(__xludf.DUMMYFUNCTION("""COMPUTED_VALUE"""),71.0)</f>
        <v>71</v>
      </c>
      <c r="V51" s="95">
        <f>IFERROR(__xludf.DUMMYFUNCTION("""COMPUTED_VALUE"""),1.0)</f>
        <v>1</v>
      </c>
      <c r="W51" s="95">
        <f>IFERROR(__xludf.DUMMYFUNCTION("""COMPUTED_VALUE"""),0.9577464788732394)</f>
        <v>0.9577464789</v>
      </c>
      <c r="X51" s="95">
        <f>IFERROR(__xludf.DUMMYFUNCTION("""COMPUTED_VALUE"""),0.9577464788732394)</f>
        <v>0.9577464789</v>
      </c>
      <c r="Y51" s="94">
        <f>IFERROR(__xludf.DUMMYFUNCTION("""COMPUTED_VALUE"""),416.0)</f>
        <v>416</v>
      </c>
      <c r="Z51" s="95">
        <f>IFERROR(__xludf.DUMMYFUNCTION("""COMPUTED_VALUE"""),1.0)</f>
        <v>1</v>
      </c>
      <c r="AA51" s="95">
        <f>IFERROR(__xludf.DUMMYFUNCTION("""COMPUTED_VALUE"""),0.9591346153846154)</f>
        <v>0.9591346154</v>
      </c>
      <c r="AB51" s="96">
        <f>IFERROR(__xludf.DUMMYFUNCTION("""COMPUTED_VALUE"""),0.9591346153846154)</f>
        <v>0.9591346154</v>
      </c>
    </row>
    <row r="52" ht="17.25" customHeight="1">
      <c r="O52" s="92" t="str">
        <f>IFERROR(__xludf.DUMMYFUNCTION("""COMPUTED_VALUE"""),"Mai Đức Hoàng Long")</f>
        <v>Mai Đức Hoàng Long</v>
      </c>
      <c r="P52" s="93" t="str">
        <f>IFERROR(__xludf.DUMMYFUNCTION("""COMPUTED_VALUE"""),"BC 204 Trần Hưng Đạo-Buôn Hồ-Đắk Lắk")</f>
        <v>BC 204 Trần Hưng Đạo-Buôn Hồ-Đắk Lắk</v>
      </c>
      <c r="Q52" s="94">
        <f>IFERROR(__xludf.DUMMYFUNCTION("""COMPUTED_VALUE"""),242.0)</f>
        <v>242</v>
      </c>
      <c r="R52" s="95">
        <f>IFERROR(__xludf.DUMMYFUNCTION("""COMPUTED_VALUE"""),0.987603305785124)</f>
        <v>0.9876033058</v>
      </c>
      <c r="S52" s="95">
        <f>IFERROR(__xludf.DUMMYFUNCTION("""COMPUTED_VALUE"""),0.9710743801652892)</f>
        <v>0.9710743802</v>
      </c>
      <c r="T52" s="95">
        <f>IFERROR(__xludf.DUMMYFUNCTION("""COMPUTED_VALUE"""),0.9628099173553719)</f>
        <v>0.9628099174</v>
      </c>
      <c r="U52" s="94">
        <f>IFERROR(__xludf.DUMMYFUNCTION("""COMPUTED_VALUE"""),19.0)</f>
        <v>19</v>
      </c>
      <c r="V52" s="95">
        <f>IFERROR(__xludf.DUMMYFUNCTION("""COMPUTED_VALUE"""),1.0)</f>
        <v>1</v>
      </c>
      <c r="W52" s="95">
        <f>IFERROR(__xludf.DUMMYFUNCTION("""COMPUTED_VALUE"""),0.8421052631578947)</f>
        <v>0.8421052632</v>
      </c>
      <c r="X52" s="95">
        <f>IFERROR(__xludf.DUMMYFUNCTION("""COMPUTED_VALUE"""),0.7894736842105263)</f>
        <v>0.7894736842</v>
      </c>
      <c r="Y52" s="94">
        <f>IFERROR(__xludf.DUMMYFUNCTION("""COMPUTED_VALUE"""),261.0)</f>
        <v>261</v>
      </c>
      <c r="Z52" s="95">
        <f>IFERROR(__xludf.DUMMYFUNCTION("""COMPUTED_VALUE"""),0.9885057471264368)</f>
        <v>0.9885057471</v>
      </c>
      <c r="AA52" s="95">
        <f>IFERROR(__xludf.DUMMYFUNCTION("""COMPUTED_VALUE"""),0.9616858237547893)</f>
        <v>0.9616858238</v>
      </c>
      <c r="AB52" s="96">
        <f>IFERROR(__xludf.DUMMYFUNCTION("""COMPUTED_VALUE"""),0.9501915708812261)</f>
        <v>0.9501915709</v>
      </c>
    </row>
    <row r="53" ht="17.25" customHeight="1">
      <c r="O53" s="92" t="str">
        <f>IFERROR(__xludf.DUMMYFUNCTION("""COMPUTED_VALUE"""),"Ngô  Thị Bích Trâm ")</f>
        <v>Ngô  Thị Bích Trâm </v>
      </c>
      <c r="P53" s="93" t="str">
        <f>IFERROR(__xludf.DUMMYFUNCTION("""COMPUTED_VALUE"""),"BC 172 Hùng Vương-Chư Prông-Gia Lai")</f>
        <v>BC 172 Hùng Vương-Chư Prông-Gia Lai</v>
      </c>
      <c r="Q53" s="94">
        <f>IFERROR(__xludf.DUMMYFUNCTION("""COMPUTED_VALUE"""),114.0)</f>
        <v>114</v>
      </c>
      <c r="R53" s="95">
        <f>IFERROR(__xludf.DUMMYFUNCTION("""COMPUTED_VALUE"""),1.0)</f>
        <v>1</v>
      </c>
      <c r="S53" s="95">
        <f>IFERROR(__xludf.DUMMYFUNCTION("""COMPUTED_VALUE"""),0.9649122807017544)</f>
        <v>0.9649122807</v>
      </c>
      <c r="T53" s="95">
        <f>IFERROR(__xludf.DUMMYFUNCTION("""COMPUTED_VALUE"""),0.21052631578947367)</f>
        <v>0.2105263158</v>
      </c>
      <c r="U53" s="94">
        <f>IFERROR(__xludf.DUMMYFUNCTION("""COMPUTED_VALUE"""),10.0)</f>
        <v>10</v>
      </c>
      <c r="V53" s="95">
        <f>IFERROR(__xludf.DUMMYFUNCTION("""COMPUTED_VALUE"""),1.0)</f>
        <v>1</v>
      </c>
      <c r="W53" s="95">
        <f>IFERROR(__xludf.DUMMYFUNCTION("""COMPUTED_VALUE"""),1.0)</f>
        <v>1</v>
      </c>
      <c r="X53" s="95">
        <f>IFERROR(__xludf.DUMMYFUNCTION("""COMPUTED_VALUE"""),0.9)</f>
        <v>0.9</v>
      </c>
      <c r="Y53" s="94">
        <f>IFERROR(__xludf.DUMMYFUNCTION("""COMPUTED_VALUE"""),124.0)</f>
        <v>124</v>
      </c>
      <c r="Z53" s="95">
        <f>IFERROR(__xludf.DUMMYFUNCTION("""COMPUTED_VALUE"""),1.0)</f>
        <v>1</v>
      </c>
      <c r="AA53" s="95">
        <f>IFERROR(__xludf.DUMMYFUNCTION("""COMPUTED_VALUE"""),0.967741935483871)</f>
        <v>0.9677419355</v>
      </c>
      <c r="AB53" s="96">
        <f>IFERROR(__xludf.DUMMYFUNCTION("""COMPUTED_VALUE"""),0.2661290322580645)</f>
        <v>0.2661290323</v>
      </c>
    </row>
    <row r="54" ht="17.25" customHeight="1">
      <c r="O54" s="92" t="str">
        <f>IFERROR(__xludf.DUMMYFUNCTION("""COMPUTED_VALUE"""),"Phan Thị Mỹ Chi")</f>
        <v>Phan Thị Mỹ Chi</v>
      </c>
      <c r="P54" s="93" t="str">
        <f>IFERROR(__xludf.DUMMYFUNCTION("""COMPUTED_VALUE"""),"BC 73 Lê Lợi-Chư Pah-Gia Lai")</f>
        <v>BC 73 Lê Lợi-Chư Pah-Gia Lai</v>
      </c>
      <c r="Q54" s="94">
        <f>IFERROR(__xludf.DUMMYFUNCTION("""COMPUTED_VALUE"""),469.0)</f>
        <v>469</v>
      </c>
      <c r="R54" s="95">
        <f>IFERROR(__xludf.DUMMYFUNCTION("""COMPUTED_VALUE"""),1.0)</f>
        <v>1</v>
      </c>
      <c r="S54" s="95">
        <f>IFERROR(__xludf.DUMMYFUNCTION("""COMPUTED_VALUE"""),0.9680170575692963)</f>
        <v>0.9680170576</v>
      </c>
      <c r="T54" s="95">
        <f>IFERROR(__xludf.DUMMYFUNCTION("""COMPUTED_VALUE"""),0.9680170575692963)</f>
        <v>0.9680170576</v>
      </c>
      <c r="U54" s="94">
        <f>IFERROR(__xludf.DUMMYFUNCTION("""COMPUTED_VALUE"""),35.0)</f>
        <v>35</v>
      </c>
      <c r="V54" s="95">
        <f>IFERROR(__xludf.DUMMYFUNCTION("""COMPUTED_VALUE"""),1.0)</f>
        <v>1</v>
      </c>
      <c r="W54" s="95">
        <f>IFERROR(__xludf.DUMMYFUNCTION("""COMPUTED_VALUE"""),1.0)</f>
        <v>1</v>
      </c>
      <c r="X54" s="95">
        <f>IFERROR(__xludf.DUMMYFUNCTION("""COMPUTED_VALUE"""),0.9714285714285714)</f>
        <v>0.9714285714</v>
      </c>
      <c r="Y54" s="94">
        <f>IFERROR(__xludf.DUMMYFUNCTION("""COMPUTED_VALUE"""),504.0)</f>
        <v>504</v>
      </c>
      <c r="Z54" s="95">
        <f>IFERROR(__xludf.DUMMYFUNCTION("""COMPUTED_VALUE"""),1.0)</f>
        <v>1</v>
      </c>
      <c r="AA54" s="95">
        <f>IFERROR(__xludf.DUMMYFUNCTION("""COMPUTED_VALUE"""),0.9702380952380952)</f>
        <v>0.9702380952</v>
      </c>
      <c r="AB54" s="96">
        <f>IFERROR(__xludf.DUMMYFUNCTION("""COMPUTED_VALUE"""),0.9682539682539683)</f>
        <v>0.9682539683</v>
      </c>
    </row>
    <row r="55" ht="17.25" customHeight="1">
      <c r="O55" s="92" t="str">
        <f>IFERROR(__xludf.DUMMYFUNCTION("""COMPUTED_VALUE"""),"Võ Thanh Diệu ")</f>
        <v>Võ Thanh Diệu </v>
      </c>
      <c r="P55" s="93" t="str">
        <f>IFERROR(__xludf.DUMMYFUNCTION("""COMPUTED_VALUE"""),"BC 269 Tây Sơn-Quy Nhơn-Bình Định")</f>
        <v>BC 269 Tây Sơn-Quy Nhơn-Bình Định</v>
      </c>
      <c r="Q55" s="94">
        <f>IFERROR(__xludf.DUMMYFUNCTION("""COMPUTED_VALUE"""),283.0)</f>
        <v>283</v>
      </c>
      <c r="R55" s="95">
        <f>IFERROR(__xludf.DUMMYFUNCTION("""COMPUTED_VALUE"""),1.0)</f>
        <v>1</v>
      </c>
      <c r="S55" s="95">
        <f>IFERROR(__xludf.DUMMYFUNCTION("""COMPUTED_VALUE"""),0.9787985865724381)</f>
        <v>0.9787985866</v>
      </c>
      <c r="T55" s="95">
        <f>IFERROR(__xludf.DUMMYFUNCTION("""COMPUTED_VALUE"""),0.9787985865724381)</f>
        <v>0.9787985866</v>
      </c>
      <c r="U55" s="94">
        <f>IFERROR(__xludf.DUMMYFUNCTION("""COMPUTED_VALUE"""),10.0)</f>
        <v>10</v>
      </c>
      <c r="V55" s="95">
        <f>IFERROR(__xludf.DUMMYFUNCTION("""COMPUTED_VALUE"""),1.0)</f>
        <v>1</v>
      </c>
      <c r="W55" s="95">
        <f>IFERROR(__xludf.DUMMYFUNCTION("""COMPUTED_VALUE"""),0.9)</f>
        <v>0.9</v>
      </c>
      <c r="X55" s="95">
        <f>IFERROR(__xludf.DUMMYFUNCTION("""COMPUTED_VALUE"""),0.9)</f>
        <v>0.9</v>
      </c>
      <c r="Y55" s="94">
        <f>IFERROR(__xludf.DUMMYFUNCTION("""COMPUTED_VALUE"""),293.0)</f>
        <v>293</v>
      </c>
      <c r="Z55" s="95">
        <f>IFERROR(__xludf.DUMMYFUNCTION("""COMPUTED_VALUE"""),1.0)</f>
        <v>1</v>
      </c>
      <c r="AA55" s="95">
        <f>IFERROR(__xludf.DUMMYFUNCTION("""COMPUTED_VALUE"""),0.9761092150170648)</f>
        <v>0.976109215</v>
      </c>
      <c r="AB55" s="96">
        <f>IFERROR(__xludf.DUMMYFUNCTION("""COMPUTED_VALUE"""),0.9761092150170648)</f>
        <v>0.976109215</v>
      </c>
    </row>
    <row r="56" ht="17.25" customHeight="1">
      <c r="O56" s="92" t="str">
        <f>IFERROR(__xludf.DUMMYFUNCTION("""COMPUTED_VALUE"""),"Lê Trọng Khiêm")</f>
        <v>Lê Trọng Khiêm</v>
      </c>
      <c r="P56" s="93" t="str">
        <f>IFERROR(__xludf.DUMMYFUNCTION("""COMPUTED_VALUE"""),"BC DT644-Sông Cầu-Phú Yên")</f>
        <v>BC DT644-Sông Cầu-Phú Yên</v>
      </c>
      <c r="Q56" s="94">
        <f>IFERROR(__xludf.DUMMYFUNCTION("""COMPUTED_VALUE"""),130.0)</f>
        <v>130</v>
      </c>
      <c r="R56" s="95">
        <f>IFERROR(__xludf.DUMMYFUNCTION("""COMPUTED_VALUE"""),1.0)</f>
        <v>1</v>
      </c>
      <c r="S56" s="95">
        <f>IFERROR(__xludf.DUMMYFUNCTION("""COMPUTED_VALUE"""),0.9846153846153847)</f>
        <v>0.9846153846</v>
      </c>
      <c r="T56" s="95">
        <f>IFERROR(__xludf.DUMMYFUNCTION("""COMPUTED_VALUE"""),0.9846153846153847)</f>
        <v>0.9846153846</v>
      </c>
      <c r="U56" s="94">
        <f>IFERROR(__xludf.DUMMYFUNCTION("""COMPUTED_VALUE"""),5.0)</f>
        <v>5</v>
      </c>
      <c r="V56" s="95">
        <f>IFERROR(__xludf.DUMMYFUNCTION("""COMPUTED_VALUE"""),1.0)</f>
        <v>1</v>
      </c>
      <c r="W56" s="95">
        <f>IFERROR(__xludf.DUMMYFUNCTION("""COMPUTED_VALUE"""),0.8)</f>
        <v>0.8</v>
      </c>
      <c r="X56" s="95">
        <f>IFERROR(__xludf.DUMMYFUNCTION("""COMPUTED_VALUE"""),0.8)</f>
        <v>0.8</v>
      </c>
      <c r="Y56" s="94">
        <f>IFERROR(__xludf.DUMMYFUNCTION("""COMPUTED_VALUE"""),135.0)</f>
        <v>135</v>
      </c>
      <c r="Z56" s="95">
        <f>IFERROR(__xludf.DUMMYFUNCTION("""COMPUTED_VALUE"""),1.0)</f>
        <v>1</v>
      </c>
      <c r="AA56" s="95">
        <f>IFERROR(__xludf.DUMMYFUNCTION("""COMPUTED_VALUE"""),0.9777777777777777)</f>
        <v>0.9777777778</v>
      </c>
      <c r="AB56" s="96">
        <f>IFERROR(__xludf.DUMMYFUNCTION("""COMPUTED_VALUE"""),0.9777777777777777)</f>
        <v>0.9777777778</v>
      </c>
    </row>
    <row r="57" ht="17.25" customHeight="1">
      <c r="O57" s="92" t="str">
        <f>IFERROR(__xludf.DUMMYFUNCTION("""COMPUTED_VALUE"""),"Trần Nhật Thương")</f>
        <v>Trần Nhật Thương</v>
      </c>
      <c r="P57" s="93" t="str">
        <f>IFERROR(__xludf.DUMMYFUNCTION("""COMPUTED_VALUE"""),"BC 21 Tây Sơn-Xã Phù Mỹ-Bình Định")</f>
        <v>BC 21 Tây Sơn-Xã Phù Mỹ-Bình Định</v>
      </c>
      <c r="Q57" s="94">
        <f>IFERROR(__xludf.DUMMYFUNCTION("""COMPUTED_VALUE"""),348.0)</f>
        <v>348</v>
      </c>
      <c r="R57" s="95">
        <f>IFERROR(__xludf.DUMMYFUNCTION("""COMPUTED_VALUE"""),1.0)</f>
        <v>1</v>
      </c>
      <c r="S57" s="95">
        <f>IFERROR(__xludf.DUMMYFUNCTION("""COMPUTED_VALUE"""),0.985632183908046)</f>
        <v>0.9856321839</v>
      </c>
      <c r="T57" s="95">
        <f>IFERROR(__xludf.DUMMYFUNCTION("""COMPUTED_VALUE"""),0.985632183908046)</f>
        <v>0.9856321839</v>
      </c>
      <c r="U57" s="94">
        <f>IFERROR(__xludf.DUMMYFUNCTION("""COMPUTED_VALUE"""),7.0)</f>
        <v>7</v>
      </c>
      <c r="V57" s="95">
        <f>IFERROR(__xludf.DUMMYFUNCTION("""COMPUTED_VALUE"""),1.0)</f>
        <v>1</v>
      </c>
      <c r="W57" s="95">
        <f>IFERROR(__xludf.DUMMYFUNCTION("""COMPUTED_VALUE"""),0.7142857142857143)</f>
        <v>0.7142857143</v>
      </c>
      <c r="X57" s="95">
        <f>IFERROR(__xludf.DUMMYFUNCTION("""COMPUTED_VALUE"""),0.7142857142857143)</f>
        <v>0.7142857143</v>
      </c>
      <c r="Y57" s="94">
        <f>IFERROR(__xludf.DUMMYFUNCTION("""COMPUTED_VALUE"""),355.0)</f>
        <v>355</v>
      </c>
      <c r="Z57" s="95">
        <f>IFERROR(__xludf.DUMMYFUNCTION("""COMPUTED_VALUE"""),1.0)</f>
        <v>1</v>
      </c>
      <c r="AA57" s="95">
        <f>IFERROR(__xludf.DUMMYFUNCTION("""COMPUTED_VALUE"""),0.9802816901408451)</f>
        <v>0.9802816901</v>
      </c>
      <c r="AB57" s="96">
        <f>IFERROR(__xludf.DUMMYFUNCTION("""COMPUTED_VALUE"""),0.9802816901408451)</f>
        <v>0.9802816901</v>
      </c>
    </row>
    <row r="58" ht="17.25" customHeight="1">
      <c r="O58" s="92" t="str">
        <f>IFERROR(__xludf.DUMMYFUNCTION("""COMPUTED_VALUE"""),"Lê Trọng Khiêm")</f>
        <v>Lê Trọng Khiêm</v>
      </c>
      <c r="P58" s="93" t="str">
        <f>IFERROR(__xludf.DUMMYFUNCTION("""COMPUTED_VALUE"""),"BC 27 Nguyễn Tất Thành-Tuy Hòa-Phú Yên")</f>
        <v>BC 27 Nguyễn Tất Thành-Tuy Hòa-Phú Yên</v>
      </c>
      <c r="Q58" s="94">
        <f>IFERROR(__xludf.DUMMYFUNCTION("""COMPUTED_VALUE"""),270.0)</f>
        <v>270</v>
      </c>
      <c r="R58" s="95">
        <f>IFERROR(__xludf.DUMMYFUNCTION("""COMPUTED_VALUE"""),1.0)</f>
        <v>1</v>
      </c>
      <c r="S58" s="95">
        <f>IFERROR(__xludf.DUMMYFUNCTION("""COMPUTED_VALUE"""),0.9814814814814815)</f>
        <v>0.9814814815</v>
      </c>
      <c r="T58" s="95">
        <f>IFERROR(__xludf.DUMMYFUNCTION("""COMPUTED_VALUE"""),0.9740740740740741)</f>
        <v>0.9740740741</v>
      </c>
      <c r="U58" s="94">
        <f>IFERROR(__xludf.DUMMYFUNCTION("""COMPUTED_VALUE"""),6.0)</f>
        <v>6</v>
      </c>
      <c r="V58" s="95">
        <f>IFERROR(__xludf.DUMMYFUNCTION("""COMPUTED_VALUE"""),1.0)</f>
        <v>1</v>
      </c>
      <c r="W58" s="95">
        <f>IFERROR(__xludf.DUMMYFUNCTION("""COMPUTED_VALUE"""),1.0)</f>
        <v>1</v>
      </c>
      <c r="X58" s="95">
        <f>IFERROR(__xludf.DUMMYFUNCTION("""COMPUTED_VALUE"""),1.0)</f>
        <v>1</v>
      </c>
      <c r="Y58" s="94">
        <f>IFERROR(__xludf.DUMMYFUNCTION("""COMPUTED_VALUE"""),276.0)</f>
        <v>276</v>
      </c>
      <c r="Z58" s="95">
        <f>IFERROR(__xludf.DUMMYFUNCTION("""COMPUTED_VALUE"""),1.0)</f>
        <v>1</v>
      </c>
      <c r="AA58" s="95">
        <f>IFERROR(__xludf.DUMMYFUNCTION("""COMPUTED_VALUE"""),0.9818840579710145)</f>
        <v>0.981884058</v>
      </c>
      <c r="AB58" s="96">
        <f>IFERROR(__xludf.DUMMYFUNCTION("""COMPUTED_VALUE"""),0.9746376811594203)</f>
        <v>0.9746376812</v>
      </c>
    </row>
    <row r="59" ht="17.25" customHeight="1">
      <c r="O59" s="92" t="str">
        <f>IFERROR(__xludf.DUMMYFUNCTION("""COMPUTED_VALUE"""),"Phan Thị Mỹ Chi")</f>
        <v>Phan Thị Mỹ Chi</v>
      </c>
      <c r="P59" s="93" t="str">
        <f>IFERROR(__xludf.DUMMYFUNCTION("""COMPUTED_VALUE"""),"BC 569 Trường Chinh-Pleiku-Gia Lai")</f>
        <v>BC 569 Trường Chinh-Pleiku-Gia Lai</v>
      </c>
      <c r="Q59" s="94">
        <f>IFERROR(__xludf.DUMMYFUNCTION("""COMPUTED_VALUE"""),311.0)</f>
        <v>311</v>
      </c>
      <c r="R59" s="95">
        <f>IFERROR(__xludf.DUMMYFUNCTION("""COMPUTED_VALUE"""),1.0)</f>
        <v>1</v>
      </c>
      <c r="S59" s="95">
        <f>IFERROR(__xludf.DUMMYFUNCTION("""COMPUTED_VALUE"""),0.9871382636655949)</f>
        <v>0.9871382637</v>
      </c>
      <c r="T59" s="95">
        <f>IFERROR(__xludf.DUMMYFUNCTION("""COMPUTED_VALUE"""),0.9871382636655949)</f>
        <v>0.9871382637</v>
      </c>
      <c r="U59" s="94">
        <f>IFERROR(__xludf.DUMMYFUNCTION("""COMPUTED_VALUE"""),29.0)</f>
        <v>29</v>
      </c>
      <c r="V59" s="95">
        <f>IFERROR(__xludf.DUMMYFUNCTION("""COMPUTED_VALUE"""),1.0)</f>
        <v>1</v>
      </c>
      <c r="W59" s="95">
        <f>IFERROR(__xludf.DUMMYFUNCTION("""COMPUTED_VALUE"""),0.9310344827586207)</f>
        <v>0.9310344828</v>
      </c>
      <c r="X59" s="95">
        <f>IFERROR(__xludf.DUMMYFUNCTION("""COMPUTED_VALUE"""),0.896551724137931)</f>
        <v>0.8965517241</v>
      </c>
      <c r="Y59" s="94">
        <f>IFERROR(__xludf.DUMMYFUNCTION("""COMPUTED_VALUE"""),340.0)</f>
        <v>340</v>
      </c>
      <c r="Z59" s="95">
        <f>IFERROR(__xludf.DUMMYFUNCTION("""COMPUTED_VALUE"""),1.0)</f>
        <v>1</v>
      </c>
      <c r="AA59" s="95">
        <f>IFERROR(__xludf.DUMMYFUNCTION("""COMPUTED_VALUE"""),0.9823529411764705)</f>
        <v>0.9823529412</v>
      </c>
      <c r="AB59" s="96">
        <f>IFERROR(__xludf.DUMMYFUNCTION("""COMPUTED_VALUE"""),0.9794117647058823)</f>
        <v>0.9794117647</v>
      </c>
    </row>
    <row r="60" ht="17.25" customHeight="1">
      <c r="O60" s="92" t="str">
        <f>IFERROR(__xludf.DUMMYFUNCTION("""COMPUTED_VALUE"""),"Huỳnh Thị Mới ")</f>
        <v>Huỳnh Thị Mới </v>
      </c>
      <c r="P60" s="93" t="str">
        <f>IFERROR(__xludf.DUMMYFUNCTION("""COMPUTED_VALUE"""),"BC 274 Hùng Vương-Tuy Hòa-Phú Yên")</f>
        <v>BC 274 Hùng Vương-Tuy Hòa-Phú Yên</v>
      </c>
      <c r="Q60" s="94">
        <f>IFERROR(__xludf.DUMMYFUNCTION("""COMPUTED_VALUE"""),361.0)</f>
        <v>361</v>
      </c>
      <c r="R60" s="95">
        <f>IFERROR(__xludf.DUMMYFUNCTION("""COMPUTED_VALUE"""),1.0)</f>
        <v>1</v>
      </c>
      <c r="S60" s="95">
        <f>IFERROR(__xludf.DUMMYFUNCTION("""COMPUTED_VALUE"""),0.9861495844875346)</f>
        <v>0.9861495845</v>
      </c>
      <c r="T60" s="95">
        <f>IFERROR(__xludf.DUMMYFUNCTION("""COMPUTED_VALUE"""),0.9861495844875346)</f>
        <v>0.9861495845</v>
      </c>
      <c r="U60" s="94">
        <f>IFERROR(__xludf.DUMMYFUNCTION("""COMPUTED_VALUE"""),38.0)</f>
        <v>38</v>
      </c>
      <c r="V60" s="95">
        <f>IFERROR(__xludf.DUMMYFUNCTION("""COMPUTED_VALUE"""),1.0)</f>
        <v>1</v>
      </c>
      <c r="W60" s="95">
        <f>IFERROR(__xludf.DUMMYFUNCTION("""COMPUTED_VALUE"""),0.9473684210526315)</f>
        <v>0.9473684211</v>
      </c>
      <c r="X60" s="95">
        <f>IFERROR(__xludf.DUMMYFUNCTION("""COMPUTED_VALUE"""),0.9473684210526315)</f>
        <v>0.9473684211</v>
      </c>
      <c r="Y60" s="94">
        <f>IFERROR(__xludf.DUMMYFUNCTION("""COMPUTED_VALUE"""),399.0)</f>
        <v>399</v>
      </c>
      <c r="Z60" s="95">
        <f>IFERROR(__xludf.DUMMYFUNCTION("""COMPUTED_VALUE"""),1.0)</f>
        <v>1</v>
      </c>
      <c r="AA60" s="95">
        <f>IFERROR(__xludf.DUMMYFUNCTION("""COMPUTED_VALUE"""),0.9824561403508771)</f>
        <v>0.9824561404</v>
      </c>
      <c r="AB60" s="96">
        <f>IFERROR(__xludf.DUMMYFUNCTION("""COMPUTED_VALUE"""),0.9824561403508771)</f>
        <v>0.9824561404</v>
      </c>
    </row>
    <row r="61" ht="17.25" customHeight="1">
      <c r="O61" s="92" t="str">
        <f>IFERROR(__xludf.DUMMYFUNCTION("""COMPUTED_VALUE"""),"Lê Văn Tài")</f>
        <v>Lê Văn Tài</v>
      </c>
      <c r="P61" s="93" t="str">
        <f>IFERROR(__xludf.DUMMYFUNCTION("""COMPUTED_VALUE"""),"BC KM92 QL14-Xã Ea Drăng-Đắk Lắk")</f>
        <v>BC KM92 QL14-Xã Ea Drăng-Đắk Lắk</v>
      </c>
      <c r="Q61" s="94">
        <f>IFERROR(__xludf.DUMMYFUNCTION("""COMPUTED_VALUE"""),157.0)</f>
        <v>157</v>
      </c>
      <c r="R61" s="95">
        <f>IFERROR(__xludf.DUMMYFUNCTION("""COMPUTED_VALUE"""),1.0)</f>
        <v>1</v>
      </c>
      <c r="S61" s="95">
        <f>IFERROR(__xludf.DUMMYFUNCTION("""COMPUTED_VALUE"""),0.9872611464968153)</f>
        <v>0.9872611465</v>
      </c>
      <c r="T61" s="95">
        <f>IFERROR(__xludf.DUMMYFUNCTION("""COMPUTED_VALUE"""),0.9872611464968153)</f>
        <v>0.9872611465</v>
      </c>
      <c r="U61" s="94">
        <f>IFERROR(__xludf.DUMMYFUNCTION("""COMPUTED_VALUE"""),3.0)</f>
        <v>3</v>
      </c>
      <c r="V61" s="95">
        <f>IFERROR(__xludf.DUMMYFUNCTION("""COMPUTED_VALUE"""),1.0)</f>
        <v>1</v>
      </c>
      <c r="W61" s="95">
        <f>IFERROR(__xludf.DUMMYFUNCTION("""COMPUTED_VALUE"""),1.0)</f>
        <v>1</v>
      </c>
      <c r="X61" s="95">
        <f>IFERROR(__xludf.DUMMYFUNCTION("""COMPUTED_VALUE"""),1.0)</f>
        <v>1</v>
      </c>
      <c r="Y61" s="94">
        <f>IFERROR(__xludf.DUMMYFUNCTION("""COMPUTED_VALUE"""),160.0)</f>
        <v>160</v>
      </c>
      <c r="Z61" s="95">
        <f>IFERROR(__xludf.DUMMYFUNCTION("""COMPUTED_VALUE"""),1.0)</f>
        <v>1</v>
      </c>
      <c r="AA61" s="95">
        <f>IFERROR(__xludf.DUMMYFUNCTION("""COMPUTED_VALUE"""),0.9875)</f>
        <v>0.9875</v>
      </c>
      <c r="AB61" s="96">
        <f>IFERROR(__xludf.DUMMYFUNCTION("""COMPUTED_VALUE"""),0.9875)</f>
        <v>0.9875</v>
      </c>
    </row>
    <row r="62" ht="17.25" customHeight="1">
      <c r="O62" s="92" t="str">
        <f>IFERROR(__xludf.DUMMYFUNCTION("""COMPUTED_VALUE"""),"Nguyễn  Hoàng Anh ")</f>
        <v>Nguyễn  Hoàng Anh </v>
      </c>
      <c r="P62" s="93" t="str">
        <f>IFERROR(__xludf.DUMMYFUNCTION("""COMPUTED_VALUE"""),"BC TDP3 Thị Trấn Krông Kmart-Krông Bông-Đắk Lắk")</f>
        <v>BC TDP3 Thị Trấn Krông Kmart-Krông Bông-Đắk Lắk</v>
      </c>
      <c r="Q62" s="94">
        <f>IFERROR(__xludf.DUMMYFUNCTION("""COMPUTED_VALUE"""),168.0)</f>
        <v>168</v>
      </c>
      <c r="R62" s="95">
        <f>IFERROR(__xludf.DUMMYFUNCTION("""COMPUTED_VALUE"""),1.0)</f>
        <v>1</v>
      </c>
      <c r="S62" s="95">
        <f>IFERROR(__xludf.DUMMYFUNCTION("""COMPUTED_VALUE"""),0.9940476190476191)</f>
        <v>0.994047619</v>
      </c>
      <c r="T62" s="95">
        <f>IFERROR(__xludf.DUMMYFUNCTION("""COMPUTED_VALUE"""),0.9940476190476191)</f>
        <v>0.994047619</v>
      </c>
      <c r="U62" s="94">
        <f>IFERROR(__xludf.DUMMYFUNCTION("""COMPUTED_VALUE"""),3.0)</f>
        <v>3</v>
      </c>
      <c r="V62" s="95">
        <f>IFERROR(__xludf.DUMMYFUNCTION("""COMPUTED_VALUE"""),1.0)</f>
        <v>1</v>
      </c>
      <c r="W62" s="95">
        <f>IFERROR(__xludf.DUMMYFUNCTION("""COMPUTED_VALUE"""),0.6666666666666666)</f>
        <v>0.6666666667</v>
      </c>
      <c r="X62" s="95">
        <f>IFERROR(__xludf.DUMMYFUNCTION("""COMPUTED_VALUE"""),0.6666666666666666)</f>
        <v>0.6666666667</v>
      </c>
      <c r="Y62" s="94">
        <f>IFERROR(__xludf.DUMMYFUNCTION("""COMPUTED_VALUE"""),171.0)</f>
        <v>171</v>
      </c>
      <c r="Z62" s="95">
        <f>IFERROR(__xludf.DUMMYFUNCTION("""COMPUTED_VALUE"""),1.0)</f>
        <v>1</v>
      </c>
      <c r="AA62" s="95">
        <f>IFERROR(__xludf.DUMMYFUNCTION("""COMPUTED_VALUE"""),0.9883040935672515)</f>
        <v>0.9883040936</v>
      </c>
      <c r="AB62" s="96">
        <f>IFERROR(__xludf.DUMMYFUNCTION("""COMPUTED_VALUE"""),0.9883040935672515)</f>
        <v>0.9883040936</v>
      </c>
    </row>
    <row r="63" ht="17.25" customHeight="1">
      <c r="O63" s="92" t="str">
        <f>IFERROR(__xludf.DUMMYFUNCTION("""COMPUTED_VALUE"""),"Võ Thanh Diệu ")</f>
        <v>Võ Thanh Diệu </v>
      </c>
      <c r="P63" s="93" t="str">
        <f>IFERROR(__xludf.DUMMYFUNCTION("""COMPUTED_VALUE"""),"BC Đường 3 Tháng 2-Xã Phù Cát-Bình Định")</f>
        <v>BC Đường 3 Tháng 2-Xã Phù Cát-Bình Định</v>
      </c>
      <c r="Q63" s="94">
        <f>IFERROR(__xludf.DUMMYFUNCTION("""COMPUTED_VALUE"""),391.0)</f>
        <v>391</v>
      </c>
      <c r="R63" s="95">
        <f>IFERROR(__xludf.DUMMYFUNCTION("""COMPUTED_VALUE"""),0.9974424552429667)</f>
        <v>0.9974424552</v>
      </c>
      <c r="S63" s="95">
        <f>IFERROR(__xludf.DUMMYFUNCTION("""COMPUTED_VALUE"""),0.9948849104859335)</f>
        <v>0.9948849105</v>
      </c>
      <c r="T63" s="95">
        <f>IFERROR(__xludf.DUMMYFUNCTION("""COMPUTED_VALUE"""),0.9948849104859335)</f>
        <v>0.9948849105</v>
      </c>
      <c r="U63" s="94">
        <f>IFERROR(__xludf.DUMMYFUNCTION("""COMPUTED_VALUE"""),11.0)</f>
        <v>11</v>
      </c>
      <c r="V63" s="95">
        <f>IFERROR(__xludf.DUMMYFUNCTION("""COMPUTED_VALUE"""),1.0)</f>
        <v>1</v>
      </c>
      <c r="W63" s="95">
        <f>IFERROR(__xludf.DUMMYFUNCTION("""COMPUTED_VALUE"""),0.8181818181818182)</f>
        <v>0.8181818182</v>
      </c>
      <c r="X63" s="95">
        <f>IFERROR(__xludf.DUMMYFUNCTION("""COMPUTED_VALUE"""),0.8181818181818182)</f>
        <v>0.8181818182</v>
      </c>
      <c r="Y63" s="94">
        <f>IFERROR(__xludf.DUMMYFUNCTION("""COMPUTED_VALUE"""),402.0)</f>
        <v>402</v>
      </c>
      <c r="Z63" s="95">
        <f>IFERROR(__xludf.DUMMYFUNCTION("""COMPUTED_VALUE"""),0.9975124378109452)</f>
        <v>0.9975124378</v>
      </c>
      <c r="AA63" s="95">
        <f>IFERROR(__xludf.DUMMYFUNCTION("""COMPUTED_VALUE"""),0.9900497512437811)</f>
        <v>0.9900497512</v>
      </c>
      <c r="AB63" s="96">
        <f>IFERROR(__xludf.DUMMYFUNCTION("""COMPUTED_VALUE"""),0.9900497512437811)</f>
        <v>0.9900497512</v>
      </c>
    </row>
    <row r="64" ht="17.25" customHeight="1">
      <c r="O64" s="92" t="str">
        <f>IFERROR(__xludf.DUMMYFUNCTION("""COMPUTED_VALUE"""),"Lê Trọng Khiêm")</f>
        <v>Lê Trọng Khiêm</v>
      </c>
      <c r="P64" s="93" t="str">
        <f>IFERROR(__xludf.DUMMYFUNCTION("""COMPUTED_VALUE"""),"BC Thôn Đông Phước-Phú Hòa-Phú Yên")</f>
        <v>BC Thôn Đông Phước-Phú Hòa-Phú Yên</v>
      </c>
      <c r="Q64" s="94">
        <f>IFERROR(__xludf.DUMMYFUNCTION("""COMPUTED_VALUE"""),128.0)</f>
        <v>128</v>
      </c>
      <c r="R64" s="95">
        <f>IFERROR(__xludf.DUMMYFUNCTION("""COMPUTED_VALUE"""),1.0)</f>
        <v>1</v>
      </c>
      <c r="S64" s="95">
        <f>IFERROR(__xludf.DUMMYFUNCTION("""COMPUTED_VALUE"""),0.9921875)</f>
        <v>0.9921875</v>
      </c>
      <c r="T64" s="95">
        <f>IFERROR(__xludf.DUMMYFUNCTION("""COMPUTED_VALUE"""),0.953125)</f>
        <v>0.953125</v>
      </c>
      <c r="U64" s="94">
        <f>IFERROR(__xludf.DUMMYFUNCTION("""COMPUTED_VALUE"""),9.0)</f>
        <v>9</v>
      </c>
      <c r="V64" s="95">
        <f>IFERROR(__xludf.DUMMYFUNCTION("""COMPUTED_VALUE"""),1.0)</f>
        <v>1</v>
      </c>
      <c r="W64" s="95">
        <f>IFERROR(__xludf.DUMMYFUNCTION("""COMPUTED_VALUE"""),1.0)</f>
        <v>1</v>
      </c>
      <c r="X64" s="95">
        <f>IFERROR(__xludf.DUMMYFUNCTION("""COMPUTED_VALUE"""),1.0)</f>
        <v>1</v>
      </c>
      <c r="Y64" s="94">
        <f>IFERROR(__xludf.DUMMYFUNCTION("""COMPUTED_VALUE"""),137.0)</f>
        <v>137</v>
      </c>
      <c r="Z64" s="95">
        <f>IFERROR(__xludf.DUMMYFUNCTION("""COMPUTED_VALUE"""),1.0)</f>
        <v>1</v>
      </c>
      <c r="AA64" s="95">
        <f>IFERROR(__xludf.DUMMYFUNCTION("""COMPUTED_VALUE"""),0.9927007299270073)</f>
        <v>0.9927007299</v>
      </c>
      <c r="AB64" s="96">
        <f>IFERROR(__xludf.DUMMYFUNCTION("""COMPUTED_VALUE"""),0.9562043795620438)</f>
        <v>0.9562043796</v>
      </c>
    </row>
    <row r="65" ht="17.25" customHeight="1">
      <c r="O65" s="92" t="str">
        <f>IFERROR(__xludf.DUMMYFUNCTION("""COMPUTED_VALUE"""),"Nguyễn Đình Trung")</f>
        <v>Nguyễn Đình Trung</v>
      </c>
      <c r="P65" s="93" t="str">
        <f>IFERROR(__xludf.DUMMYFUNCTION("""COMPUTED_VALUE"""),"BC 414 Trần Hưng Đạo-Mang Yang-Gia Lai")</f>
        <v>BC 414 Trần Hưng Đạo-Mang Yang-Gia Lai</v>
      </c>
      <c r="Q65" s="94">
        <f>IFERROR(__xludf.DUMMYFUNCTION("""COMPUTED_VALUE"""),137.0)</f>
        <v>137</v>
      </c>
      <c r="R65" s="95">
        <f>IFERROR(__xludf.DUMMYFUNCTION("""COMPUTED_VALUE"""),1.0)</f>
        <v>1</v>
      </c>
      <c r="S65" s="95">
        <f>IFERROR(__xludf.DUMMYFUNCTION("""COMPUTED_VALUE"""),1.0)</f>
        <v>1</v>
      </c>
      <c r="T65" s="95">
        <f>IFERROR(__xludf.DUMMYFUNCTION("""COMPUTED_VALUE"""),1.0)</f>
        <v>1</v>
      </c>
      <c r="U65" s="94">
        <f>IFERROR(__xludf.DUMMYFUNCTION("""COMPUTED_VALUE"""),6.0)</f>
        <v>6</v>
      </c>
      <c r="V65" s="95">
        <f>IFERROR(__xludf.DUMMYFUNCTION("""COMPUTED_VALUE"""),1.0)</f>
        <v>1</v>
      </c>
      <c r="W65" s="95">
        <f>IFERROR(__xludf.DUMMYFUNCTION("""COMPUTED_VALUE"""),0.8333333333333334)</f>
        <v>0.8333333333</v>
      </c>
      <c r="X65" s="95">
        <f>IFERROR(__xludf.DUMMYFUNCTION("""COMPUTED_VALUE"""),0.8333333333333334)</f>
        <v>0.8333333333</v>
      </c>
      <c r="Y65" s="94">
        <f>IFERROR(__xludf.DUMMYFUNCTION("""COMPUTED_VALUE"""),143.0)</f>
        <v>143</v>
      </c>
      <c r="Z65" s="95">
        <f>IFERROR(__xludf.DUMMYFUNCTION("""COMPUTED_VALUE"""),1.0)</f>
        <v>1</v>
      </c>
      <c r="AA65" s="95">
        <f>IFERROR(__xludf.DUMMYFUNCTION("""COMPUTED_VALUE"""),0.993006993006993)</f>
        <v>0.993006993</v>
      </c>
      <c r="AB65" s="96">
        <f>IFERROR(__xludf.DUMMYFUNCTION("""COMPUTED_VALUE"""),0.993006993006993)</f>
        <v>0.993006993</v>
      </c>
    </row>
    <row r="66" ht="17.25" customHeight="1">
      <c r="O66" s="92" t="str">
        <f>IFERROR(__xludf.DUMMYFUNCTION("""COMPUTED_VALUE"""),"Võ Thanh Diệu ")</f>
        <v>Võ Thanh Diệu </v>
      </c>
      <c r="P66" s="93" t="str">
        <f>IFERROR(__xludf.DUMMYFUNCTION("""COMPUTED_VALUE"""),"BC 44 Quang Trung-Tây Sơn-Bình Định")</f>
        <v>BC 44 Quang Trung-Tây Sơn-Bình Định</v>
      </c>
      <c r="Q66" s="94">
        <f>IFERROR(__xludf.DUMMYFUNCTION("""COMPUTED_VALUE"""),565.0)</f>
        <v>565</v>
      </c>
      <c r="R66" s="95">
        <f>IFERROR(__xludf.DUMMYFUNCTION("""COMPUTED_VALUE"""),1.0)</f>
        <v>1</v>
      </c>
      <c r="S66" s="95">
        <f>IFERROR(__xludf.DUMMYFUNCTION("""COMPUTED_VALUE"""),0.9964601769911504)</f>
        <v>0.996460177</v>
      </c>
      <c r="T66" s="95">
        <f>IFERROR(__xludf.DUMMYFUNCTION("""COMPUTED_VALUE"""),0.9964601769911504)</f>
        <v>0.996460177</v>
      </c>
      <c r="U66" s="94">
        <f>IFERROR(__xludf.DUMMYFUNCTION("""COMPUTED_VALUE"""),8.0)</f>
        <v>8</v>
      </c>
      <c r="V66" s="95">
        <f>IFERROR(__xludf.DUMMYFUNCTION("""COMPUTED_VALUE"""),1.0)</f>
        <v>1</v>
      </c>
      <c r="W66" s="95">
        <f>IFERROR(__xludf.DUMMYFUNCTION("""COMPUTED_VALUE"""),0.75)</f>
        <v>0.75</v>
      </c>
      <c r="X66" s="95">
        <f>IFERROR(__xludf.DUMMYFUNCTION("""COMPUTED_VALUE"""),0.75)</f>
        <v>0.75</v>
      </c>
      <c r="Y66" s="94">
        <f>IFERROR(__xludf.DUMMYFUNCTION("""COMPUTED_VALUE"""),573.0)</f>
        <v>573</v>
      </c>
      <c r="Z66" s="95">
        <f>IFERROR(__xludf.DUMMYFUNCTION("""COMPUTED_VALUE"""),1.0)</f>
        <v>1</v>
      </c>
      <c r="AA66" s="95">
        <f>IFERROR(__xludf.DUMMYFUNCTION("""COMPUTED_VALUE"""),0.9930191972076788)</f>
        <v>0.9930191972</v>
      </c>
      <c r="AB66" s="95">
        <f>IFERROR(__xludf.DUMMYFUNCTION("""COMPUTED_VALUE"""),0.9930191972076788)</f>
        <v>0.9930191972</v>
      </c>
    </row>
    <row r="67" ht="17.25" customHeight="1">
      <c r="O67" s="92" t="str">
        <f>IFERROR(__xludf.DUMMYFUNCTION("""COMPUTED_VALUE"""),"Nguyễn Công Luận")</f>
        <v>Nguyễn Công Luận</v>
      </c>
      <c r="P67" s="93" t="str">
        <f>IFERROR(__xludf.DUMMYFUNCTION("""COMPUTED_VALUE"""),"BC 274 Hùng Vương-Chư Pưh-Gia Lai")</f>
        <v>BC 274 Hùng Vương-Chư Pưh-Gia Lai</v>
      </c>
      <c r="Q67" s="94">
        <f>IFERROR(__xludf.DUMMYFUNCTION("""COMPUTED_VALUE"""),464.0)</f>
        <v>464</v>
      </c>
      <c r="R67" s="95">
        <f>IFERROR(__xludf.DUMMYFUNCTION("""COMPUTED_VALUE"""),1.0)</f>
        <v>1</v>
      </c>
      <c r="S67" s="95">
        <f>IFERROR(__xludf.DUMMYFUNCTION("""COMPUTED_VALUE"""),0.9978448275862069)</f>
        <v>0.9978448276</v>
      </c>
      <c r="T67" s="95">
        <f>IFERROR(__xludf.DUMMYFUNCTION("""COMPUTED_VALUE"""),0.9978448275862069)</f>
        <v>0.9978448276</v>
      </c>
      <c r="U67" s="94">
        <f>IFERROR(__xludf.DUMMYFUNCTION("""COMPUTED_VALUE"""),34.0)</f>
        <v>34</v>
      </c>
      <c r="V67" s="95">
        <f>IFERROR(__xludf.DUMMYFUNCTION("""COMPUTED_VALUE"""),1.0)</f>
        <v>1</v>
      </c>
      <c r="W67" s="95">
        <f>IFERROR(__xludf.DUMMYFUNCTION("""COMPUTED_VALUE"""),1.0)</f>
        <v>1</v>
      </c>
      <c r="X67" s="95">
        <f>IFERROR(__xludf.DUMMYFUNCTION("""COMPUTED_VALUE"""),1.0)</f>
        <v>1</v>
      </c>
      <c r="Y67" s="94">
        <f>IFERROR(__xludf.DUMMYFUNCTION("""COMPUTED_VALUE"""),498.0)</f>
        <v>498</v>
      </c>
      <c r="Z67" s="95">
        <f>IFERROR(__xludf.DUMMYFUNCTION("""COMPUTED_VALUE"""),1.0)</f>
        <v>1</v>
      </c>
      <c r="AA67" s="95">
        <f>IFERROR(__xludf.DUMMYFUNCTION("""COMPUTED_VALUE"""),0.9979919678714859)</f>
        <v>0.9979919679</v>
      </c>
      <c r="AB67" s="95">
        <f>IFERROR(__xludf.DUMMYFUNCTION("""COMPUTED_VALUE"""),0.9979919678714859)</f>
        <v>0.9979919679</v>
      </c>
    </row>
    <row r="68">
      <c r="O68" s="93" t="str">
        <f>IFERROR(__xludf.DUMMYFUNCTION("""COMPUTED_VALUE"""),"Nguyễn  Hoàng Anh ")</f>
        <v>Nguyễn  Hoàng Anh </v>
      </c>
      <c r="P68" s="93" t="str">
        <f>IFERROR(__xludf.DUMMYFUNCTION("""COMPUTED_VALUE"""),"BC Ngã Ba Đắk Liêng-Huyện Lắk-Đắk Lắk")</f>
        <v>BC Ngã Ba Đắk Liêng-Huyện Lắk-Đắk Lắk</v>
      </c>
      <c r="Q68" s="94">
        <f>IFERROR(__xludf.DUMMYFUNCTION("""COMPUTED_VALUE"""),16.0)</f>
        <v>16</v>
      </c>
      <c r="R68" s="95">
        <f>IFERROR(__xludf.DUMMYFUNCTION("""COMPUTED_VALUE"""),1.0)</f>
        <v>1</v>
      </c>
      <c r="S68" s="95">
        <f>IFERROR(__xludf.DUMMYFUNCTION("""COMPUTED_VALUE"""),1.0)</f>
        <v>1</v>
      </c>
      <c r="T68" s="95">
        <f>IFERROR(__xludf.DUMMYFUNCTION("""COMPUTED_VALUE"""),1.0)</f>
        <v>1</v>
      </c>
      <c r="U68" s="94">
        <f>IFERROR(__xludf.DUMMYFUNCTION("""COMPUTED_VALUE"""),3.0)</f>
        <v>3</v>
      </c>
      <c r="V68" s="95">
        <f>IFERROR(__xludf.DUMMYFUNCTION("""COMPUTED_VALUE"""),1.0)</f>
        <v>1</v>
      </c>
      <c r="W68" s="95">
        <f>IFERROR(__xludf.DUMMYFUNCTION("""COMPUTED_VALUE"""),1.0)</f>
        <v>1</v>
      </c>
      <c r="X68" s="95">
        <f>IFERROR(__xludf.DUMMYFUNCTION("""COMPUTED_VALUE"""),1.0)</f>
        <v>1</v>
      </c>
      <c r="Y68" s="94">
        <f>IFERROR(__xludf.DUMMYFUNCTION("""COMPUTED_VALUE"""),19.0)</f>
        <v>19</v>
      </c>
      <c r="Z68" s="95">
        <f>IFERROR(__xludf.DUMMYFUNCTION("""COMPUTED_VALUE"""),1.0)</f>
        <v>1</v>
      </c>
      <c r="AA68" s="95">
        <f>IFERROR(__xludf.DUMMYFUNCTION("""COMPUTED_VALUE"""),1.0)</f>
        <v>1</v>
      </c>
      <c r="AB68" s="95">
        <f>IFERROR(__xludf.DUMMYFUNCTION("""COMPUTED_VALUE"""),1.0)</f>
        <v>1</v>
      </c>
    </row>
    <row r="69" ht="17.25" customHeight="1">
      <c r="O69" s="120"/>
      <c r="P69" s="120" t="str">
        <f>IFERROR(__xludf.DUMMYFUNCTION("""COMPUTED_VALUE"""),"Grand Total")</f>
        <v>Grand Total</v>
      </c>
      <c r="Q69" s="120">
        <f>IFERROR(__xludf.DUMMYFUNCTION("""COMPUTED_VALUE"""),15689.0)</f>
        <v>15689</v>
      </c>
      <c r="R69" s="121">
        <f>IFERROR(__xludf.DUMMYFUNCTION("""COMPUTED_VALUE"""),0.996621836955829)</f>
        <v>0.996621837</v>
      </c>
      <c r="S69" s="121">
        <f>IFERROR(__xludf.DUMMYFUNCTION("""COMPUTED_VALUE"""),0.9337115176238129)</f>
        <v>0.9337115176</v>
      </c>
      <c r="T69" s="121">
        <f>IFERROR(__xludf.DUMMYFUNCTION("""COMPUTED_VALUE"""),0.9182229587609153)</f>
        <v>0.9182229588</v>
      </c>
      <c r="U69" s="120">
        <f>IFERROR(__xludf.DUMMYFUNCTION("""COMPUTED_VALUE"""),1238.0)</f>
        <v>1238</v>
      </c>
      <c r="V69" s="121">
        <f>IFERROR(__xludf.DUMMYFUNCTION("""COMPUTED_VALUE"""),0.9975767366720517)</f>
        <v>0.9975767367</v>
      </c>
      <c r="W69" s="121">
        <f>IFERROR(__xludf.DUMMYFUNCTION("""COMPUTED_VALUE"""),0.8497576736672051)</f>
        <v>0.8497576737</v>
      </c>
      <c r="X69" s="121">
        <f>IFERROR(__xludf.DUMMYFUNCTION("""COMPUTED_VALUE"""),0.8109854604200323)</f>
        <v>0.8109854604</v>
      </c>
      <c r="Y69" s="120">
        <f>IFERROR(__xludf.DUMMYFUNCTION("""COMPUTED_VALUE"""),16927.0)</f>
        <v>16927</v>
      </c>
      <c r="Z69" s="121">
        <f>IFERROR(__xludf.DUMMYFUNCTION("""COMPUTED_VALUE"""),0.9966916760205589)</f>
        <v>0.996691676</v>
      </c>
      <c r="AA69" s="121">
        <f>IFERROR(__xludf.DUMMYFUNCTION("""COMPUTED_VALUE"""),0.9275713357358067)</f>
        <v>0.9275713357</v>
      </c>
      <c r="AB69" s="122">
        <f>IFERROR(__xludf.DUMMYFUNCTION("""COMPUTED_VALUE"""),0.9103798664854965)</f>
        <v>0.9103798665</v>
      </c>
    </row>
    <row r="70"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</row>
    <row r="71" ht="17.25" customHeight="1">
      <c r="O71" s="50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</row>
    <row r="72" ht="17.25" customHeight="1"/>
    <row r="73" ht="17.25" customHeight="1">
      <c r="O73" s="67" t="s">
        <v>25</v>
      </c>
      <c r="Q73" s="123"/>
      <c r="R73" s="124"/>
      <c r="S73" s="124"/>
      <c r="T73" s="123"/>
      <c r="U73" s="124"/>
      <c r="V73" s="124"/>
      <c r="W73" s="123"/>
      <c r="X73" s="124"/>
      <c r="Y73" s="124"/>
      <c r="Z73" s="123"/>
      <c r="AA73" s="124"/>
      <c r="AB73" s="124"/>
    </row>
    <row r="74" ht="17.25" customHeight="1">
      <c r="O74" s="72" t="s">
        <v>15</v>
      </c>
      <c r="P74" s="72" t="s">
        <v>16</v>
      </c>
      <c r="Q74" s="73" t="s">
        <v>17</v>
      </c>
      <c r="R74" s="74"/>
      <c r="S74" s="74"/>
      <c r="T74" s="75"/>
      <c r="U74" s="73" t="s">
        <v>18</v>
      </c>
      <c r="V74" s="74"/>
      <c r="W74" s="74"/>
      <c r="X74" s="75"/>
      <c r="Y74" s="76" t="s">
        <v>19</v>
      </c>
      <c r="Z74" s="75"/>
      <c r="AA74" s="77">
        <f>today()-1</f>
        <v>46162</v>
      </c>
      <c r="AB74" s="75"/>
    </row>
    <row r="75" ht="17.25" customHeight="1">
      <c r="O75" s="84"/>
      <c r="P75" s="84"/>
      <c r="Q75" s="85" t="s">
        <v>20</v>
      </c>
      <c r="R75" s="85" t="s">
        <v>21</v>
      </c>
      <c r="S75" s="85" t="s">
        <v>22</v>
      </c>
      <c r="T75" s="85" t="s">
        <v>23</v>
      </c>
      <c r="U75" s="85" t="s">
        <v>20</v>
      </c>
      <c r="V75" s="85" t="s">
        <v>21</v>
      </c>
      <c r="W75" s="85" t="s">
        <v>22</v>
      </c>
      <c r="X75" s="85" t="s">
        <v>23</v>
      </c>
      <c r="Y75" s="86" t="s">
        <v>20</v>
      </c>
      <c r="Z75" s="86" t="s">
        <v>21</v>
      </c>
      <c r="AA75" s="86" t="s">
        <v>22</v>
      </c>
      <c r="AB75" s="125" t="s">
        <v>23</v>
      </c>
    </row>
    <row r="76" ht="17.25" customHeight="1">
      <c r="O76" s="92" t="str">
        <f>IFERROR(__xludf.DUMMYFUNCTION("IMPORTRANGE(""https://docs.google.com/spreadsheets/d/1487b2qDJjFxuit1ljyyJ220-vW46d0ImSvFQle7Fw-k/edit?gid=960550967#gid=960550967"",""LTC TTS!B158:O225"")"),"Ngô  Thị Bích Trâm ")</f>
        <v>Ngô  Thị Bích Trâm </v>
      </c>
      <c r="P76" s="93" t="str">
        <f>IFERROR(__xludf.DUMMYFUNCTION("""COMPUTED_VALUE"""),"BC 236A Nguyễn Huệ-Đak Đoa-Gia Lai")</f>
        <v>BC 236A Nguyễn Huệ-Đak Đoa-Gia Lai</v>
      </c>
      <c r="Q76" s="94"/>
      <c r="R76" s="94"/>
      <c r="S76" s="94"/>
      <c r="T76" s="94"/>
      <c r="U76" s="94">
        <f>IFERROR(__xludf.DUMMYFUNCTION("""COMPUTED_VALUE"""),1.0)</f>
        <v>1</v>
      </c>
      <c r="V76" s="95">
        <f>IFERROR(__xludf.DUMMYFUNCTION("""COMPUTED_VALUE"""),1.0)</f>
        <v>1</v>
      </c>
      <c r="W76" s="95">
        <f>IFERROR(__xludf.DUMMYFUNCTION("""COMPUTED_VALUE"""),0.0)</f>
        <v>0</v>
      </c>
      <c r="X76" s="95">
        <f>IFERROR(__xludf.DUMMYFUNCTION("""COMPUTED_VALUE"""),0.0)</f>
        <v>0</v>
      </c>
      <c r="Y76" s="94">
        <f>IFERROR(__xludf.DUMMYFUNCTION("""COMPUTED_VALUE"""),1.0)</f>
        <v>1</v>
      </c>
      <c r="Z76" s="95">
        <f>IFERROR(__xludf.DUMMYFUNCTION("""COMPUTED_VALUE"""),1.0)</f>
        <v>1</v>
      </c>
      <c r="AA76" s="95">
        <f>IFERROR(__xludf.DUMMYFUNCTION("""COMPUTED_VALUE"""),0.0)</f>
        <v>0</v>
      </c>
      <c r="AB76" s="95">
        <f>IFERROR(__xludf.DUMMYFUNCTION("""COMPUTED_VALUE"""),0.0)</f>
        <v>0</v>
      </c>
    </row>
    <row r="77" ht="17.25" customHeight="1">
      <c r="O77" s="92" t="str">
        <f>IFERROR(__xludf.DUMMYFUNCTION("""COMPUTED_VALUE"""),"Nguyễn Thị Bảo Nhi")</f>
        <v>Nguyễn Thị Bảo Nhi</v>
      </c>
      <c r="P77" s="93" t="str">
        <f>IFERROR(__xludf.DUMMYFUNCTION("""COMPUTED_VALUE"""),"BC Km 30 Tân Hòa-Buôn Đôn-Đắk Lắk")</f>
        <v>BC Km 30 Tân Hòa-Buôn Đôn-Đắk Lắk</v>
      </c>
      <c r="Q77" s="94">
        <f>IFERROR(__xludf.DUMMYFUNCTION("""COMPUTED_VALUE"""),1.0)</f>
        <v>1</v>
      </c>
      <c r="R77" s="95">
        <f>IFERROR(__xludf.DUMMYFUNCTION("""COMPUTED_VALUE"""),1.0)</f>
        <v>1</v>
      </c>
      <c r="S77" s="95">
        <f>IFERROR(__xludf.DUMMYFUNCTION("""COMPUTED_VALUE"""),0.0)</f>
        <v>0</v>
      </c>
      <c r="T77" s="95">
        <f>IFERROR(__xludf.DUMMYFUNCTION("""COMPUTED_VALUE"""),0.0)</f>
        <v>0</v>
      </c>
      <c r="U77" s="94"/>
      <c r="V77" s="94"/>
      <c r="W77" s="94"/>
      <c r="X77" s="94"/>
      <c r="Y77" s="94">
        <f>IFERROR(__xludf.DUMMYFUNCTION("""COMPUTED_VALUE"""),1.0)</f>
        <v>1</v>
      </c>
      <c r="Z77" s="95">
        <f>IFERROR(__xludf.DUMMYFUNCTION("""COMPUTED_VALUE"""),1.0)</f>
        <v>1</v>
      </c>
      <c r="AA77" s="95">
        <f>IFERROR(__xludf.DUMMYFUNCTION("""COMPUTED_VALUE"""),0.0)</f>
        <v>0</v>
      </c>
      <c r="AB77" s="95">
        <f>IFERROR(__xludf.DUMMYFUNCTION("""COMPUTED_VALUE"""),0.0)</f>
        <v>0</v>
      </c>
    </row>
    <row r="78" ht="17.25" customHeight="1">
      <c r="O78" s="92" t="str">
        <f>IFERROR(__xludf.DUMMYFUNCTION("""COMPUTED_VALUE"""),"Võ Thanh Diệu ")</f>
        <v>Võ Thanh Diệu </v>
      </c>
      <c r="P78" s="93" t="str">
        <f>IFERROR(__xludf.DUMMYFUNCTION("""COMPUTED_VALUE"""),"BC Thôn Chánh Hóa-Xã Cát Tiến-Bình Định")</f>
        <v>BC Thôn Chánh Hóa-Xã Cát Tiến-Bình Định</v>
      </c>
      <c r="Q78" s="94">
        <f>IFERROR(__xludf.DUMMYFUNCTION("""COMPUTED_VALUE"""),1.0)</f>
        <v>1</v>
      </c>
      <c r="R78" s="95">
        <f>IFERROR(__xludf.DUMMYFUNCTION("""COMPUTED_VALUE"""),1.0)</f>
        <v>1</v>
      </c>
      <c r="S78" s="95">
        <f>IFERROR(__xludf.DUMMYFUNCTION("""COMPUTED_VALUE"""),0.0)</f>
        <v>0</v>
      </c>
      <c r="T78" s="95">
        <f>IFERROR(__xludf.DUMMYFUNCTION("""COMPUTED_VALUE"""),0.0)</f>
        <v>0</v>
      </c>
      <c r="U78" s="94"/>
      <c r="V78" s="94"/>
      <c r="W78" s="94"/>
      <c r="X78" s="94"/>
      <c r="Y78" s="94">
        <f>IFERROR(__xludf.DUMMYFUNCTION("""COMPUTED_VALUE"""),1.0)</f>
        <v>1</v>
      </c>
      <c r="Z78" s="95">
        <f>IFERROR(__xludf.DUMMYFUNCTION("""COMPUTED_VALUE"""),1.0)</f>
        <v>1</v>
      </c>
      <c r="AA78" s="95">
        <f>IFERROR(__xludf.DUMMYFUNCTION("""COMPUTED_VALUE"""),0.0)</f>
        <v>0</v>
      </c>
      <c r="AB78" s="95">
        <f>IFERROR(__xludf.DUMMYFUNCTION("""COMPUTED_VALUE"""),0.0)</f>
        <v>0</v>
      </c>
    </row>
    <row r="79" ht="17.25" customHeight="1">
      <c r="O79" s="92" t="str">
        <f>IFERROR(__xludf.DUMMYFUNCTION("""COMPUTED_VALUE"""),"Lê Văn Tài")</f>
        <v>Lê Văn Tài</v>
      </c>
      <c r="P79" s="93" t="str">
        <f>IFERROR(__xludf.DUMMYFUNCTION("""COMPUTED_VALUE"""),"BC Phạm Văn Đồng-Pơng Đrang-Krông Búk-Đắk Lắk")</f>
        <v>BC Phạm Văn Đồng-Pơng Đrang-Krông Búk-Đắk Lắk</v>
      </c>
      <c r="Q79" s="94">
        <f>IFERROR(__xludf.DUMMYFUNCTION("""COMPUTED_VALUE"""),2.0)</f>
        <v>2</v>
      </c>
      <c r="R79" s="95">
        <f>IFERROR(__xludf.DUMMYFUNCTION("""COMPUTED_VALUE"""),1.0)</f>
        <v>1</v>
      </c>
      <c r="S79" s="95">
        <f>IFERROR(__xludf.DUMMYFUNCTION("""COMPUTED_VALUE"""),1.0)</f>
        <v>1</v>
      </c>
      <c r="T79" s="95">
        <f>IFERROR(__xludf.DUMMYFUNCTION("""COMPUTED_VALUE"""),1.0)</f>
        <v>1</v>
      </c>
      <c r="U79" s="94">
        <f>IFERROR(__xludf.DUMMYFUNCTION("""COMPUTED_VALUE"""),4.0)</f>
        <v>4</v>
      </c>
      <c r="V79" s="95">
        <f>IFERROR(__xludf.DUMMYFUNCTION("""COMPUTED_VALUE"""),1.0)</f>
        <v>1</v>
      </c>
      <c r="W79" s="95">
        <f>IFERROR(__xludf.DUMMYFUNCTION("""COMPUTED_VALUE"""),0.0)</f>
        <v>0</v>
      </c>
      <c r="X79" s="95">
        <f>IFERROR(__xludf.DUMMYFUNCTION("""COMPUTED_VALUE"""),0.0)</f>
        <v>0</v>
      </c>
      <c r="Y79" s="94">
        <f>IFERROR(__xludf.DUMMYFUNCTION("""COMPUTED_VALUE"""),6.0)</f>
        <v>6</v>
      </c>
      <c r="Z79" s="95">
        <f>IFERROR(__xludf.DUMMYFUNCTION("""COMPUTED_VALUE"""),1.0)</f>
        <v>1</v>
      </c>
      <c r="AA79" s="95">
        <f>IFERROR(__xludf.DUMMYFUNCTION("""COMPUTED_VALUE"""),0.3333333333333333)</f>
        <v>0.3333333333</v>
      </c>
      <c r="AB79" s="95">
        <f>IFERROR(__xludf.DUMMYFUNCTION("""COMPUTED_VALUE"""),0.3333333333333333)</f>
        <v>0.3333333333</v>
      </c>
    </row>
    <row r="80" ht="17.25" customHeight="1">
      <c r="O80" s="92" t="str">
        <f>IFERROR(__xludf.DUMMYFUNCTION("""COMPUTED_VALUE"""),"Nguyễn Đình Trung")</f>
        <v>Nguyễn Đình Trung</v>
      </c>
      <c r="P80" s="93" t="str">
        <f>IFERROR(__xludf.DUMMYFUNCTION("""COMPUTED_VALUE"""),"BC 15 Hoàng Văn Thụ-An Khê-Gia Lai")</f>
        <v>BC 15 Hoàng Văn Thụ-An Khê-Gia Lai</v>
      </c>
      <c r="Q80" s="94">
        <f>IFERROR(__xludf.DUMMYFUNCTION("""COMPUTED_VALUE"""),31.0)</f>
        <v>31</v>
      </c>
      <c r="R80" s="95">
        <f>IFERROR(__xludf.DUMMYFUNCTION("""COMPUTED_VALUE"""),1.0)</f>
        <v>1</v>
      </c>
      <c r="S80" s="95">
        <f>IFERROR(__xludf.DUMMYFUNCTION("""COMPUTED_VALUE"""),0.4838709677419355)</f>
        <v>0.4838709677</v>
      </c>
      <c r="T80" s="95">
        <f>IFERROR(__xludf.DUMMYFUNCTION("""COMPUTED_VALUE"""),0.4838709677419355)</f>
        <v>0.4838709677</v>
      </c>
      <c r="U80" s="94"/>
      <c r="V80" s="94"/>
      <c r="W80" s="94"/>
      <c r="X80" s="94"/>
      <c r="Y80" s="94">
        <f>IFERROR(__xludf.DUMMYFUNCTION("""COMPUTED_VALUE"""),31.0)</f>
        <v>31</v>
      </c>
      <c r="Z80" s="95">
        <f>IFERROR(__xludf.DUMMYFUNCTION("""COMPUTED_VALUE"""),1.0)</f>
        <v>1</v>
      </c>
      <c r="AA80" s="95">
        <f>IFERROR(__xludf.DUMMYFUNCTION("""COMPUTED_VALUE"""),0.4838709677419355)</f>
        <v>0.4838709677</v>
      </c>
      <c r="AB80" s="95">
        <f>IFERROR(__xludf.DUMMYFUNCTION("""COMPUTED_VALUE"""),0.4838709677419355)</f>
        <v>0.4838709677</v>
      </c>
    </row>
    <row r="81" ht="17.25" customHeight="1">
      <c r="O81" s="92" t="str">
        <f>IFERROR(__xludf.DUMMYFUNCTION("""COMPUTED_VALUE"""),"Lê Trọng Khiêm")</f>
        <v>Lê Trọng Khiêm</v>
      </c>
      <c r="P81" s="93" t="str">
        <f>IFERROR(__xludf.DUMMYFUNCTION("""COMPUTED_VALUE"""),"BC Đường Tỉnh 643-Xã Tuy An Nam-Phú Yên")</f>
        <v>BC Đường Tỉnh 643-Xã Tuy An Nam-Phú Yên</v>
      </c>
      <c r="Q81" s="94">
        <f>IFERROR(__xludf.DUMMYFUNCTION("""COMPUTED_VALUE"""),6.0)</f>
        <v>6</v>
      </c>
      <c r="R81" s="95">
        <f>IFERROR(__xludf.DUMMYFUNCTION("""COMPUTED_VALUE"""),1.0)</f>
        <v>1</v>
      </c>
      <c r="S81" s="95">
        <f>IFERROR(__xludf.DUMMYFUNCTION("""COMPUTED_VALUE"""),0.5)</f>
        <v>0.5</v>
      </c>
      <c r="T81" s="95">
        <f>IFERROR(__xludf.DUMMYFUNCTION("""COMPUTED_VALUE"""),0.5)</f>
        <v>0.5</v>
      </c>
      <c r="U81" s="94"/>
      <c r="V81" s="94"/>
      <c r="W81" s="94"/>
      <c r="X81" s="94"/>
      <c r="Y81" s="94">
        <f>IFERROR(__xludf.DUMMYFUNCTION("""COMPUTED_VALUE"""),6.0)</f>
        <v>6</v>
      </c>
      <c r="Z81" s="95">
        <f>IFERROR(__xludf.DUMMYFUNCTION("""COMPUTED_VALUE"""),1.0)</f>
        <v>1</v>
      </c>
      <c r="AA81" s="95">
        <f>IFERROR(__xludf.DUMMYFUNCTION("""COMPUTED_VALUE"""),0.5)</f>
        <v>0.5</v>
      </c>
      <c r="AB81" s="95">
        <f>IFERROR(__xludf.DUMMYFUNCTION("""COMPUTED_VALUE"""),0.5)</f>
        <v>0.5</v>
      </c>
    </row>
    <row r="82" ht="17.25" customHeight="1">
      <c r="O82" s="92" t="str">
        <f>IFERROR(__xludf.DUMMYFUNCTION("""COMPUTED_VALUE"""),"Nguyễn Công Luận")</f>
        <v>Nguyễn Công Luận</v>
      </c>
      <c r="P82" s="93" t="str">
        <f>IFERROR(__xludf.DUMMYFUNCTION("""COMPUTED_VALUE"""),"BC 274 Hùng Vương-Chư Pưh-Gia Lai")</f>
        <v>BC 274 Hùng Vương-Chư Pưh-Gia Lai</v>
      </c>
      <c r="Q82" s="94">
        <f>IFERROR(__xludf.DUMMYFUNCTION("""COMPUTED_VALUE"""),1.0)</f>
        <v>1</v>
      </c>
      <c r="R82" s="95">
        <f>IFERROR(__xludf.DUMMYFUNCTION("""COMPUTED_VALUE"""),1.0)</f>
        <v>1</v>
      </c>
      <c r="S82" s="95">
        <f>IFERROR(__xludf.DUMMYFUNCTION("""COMPUTED_VALUE"""),0.0)</f>
        <v>0</v>
      </c>
      <c r="T82" s="95">
        <f>IFERROR(__xludf.DUMMYFUNCTION("""COMPUTED_VALUE"""),0.0)</f>
        <v>0</v>
      </c>
      <c r="U82" s="94">
        <f>IFERROR(__xludf.DUMMYFUNCTION("""COMPUTED_VALUE"""),3.0)</f>
        <v>3</v>
      </c>
      <c r="V82" s="95">
        <f>IFERROR(__xludf.DUMMYFUNCTION("""COMPUTED_VALUE"""),1.0)</f>
        <v>1</v>
      </c>
      <c r="W82" s="95">
        <f>IFERROR(__xludf.DUMMYFUNCTION("""COMPUTED_VALUE"""),1.0)</f>
        <v>1</v>
      </c>
      <c r="X82" s="95">
        <f>IFERROR(__xludf.DUMMYFUNCTION("""COMPUTED_VALUE"""),1.0)</f>
        <v>1</v>
      </c>
      <c r="Y82" s="94">
        <f>IFERROR(__xludf.DUMMYFUNCTION("""COMPUTED_VALUE"""),4.0)</f>
        <v>4</v>
      </c>
      <c r="Z82" s="95">
        <f>IFERROR(__xludf.DUMMYFUNCTION("""COMPUTED_VALUE"""),1.0)</f>
        <v>1</v>
      </c>
      <c r="AA82" s="95">
        <f>IFERROR(__xludf.DUMMYFUNCTION("""COMPUTED_VALUE"""),0.75)</f>
        <v>0.75</v>
      </c>
      <c r="AB82" s="95">
        <f>IFERROR(__xludf.DUMMYFUNCTION("""COMPUTED_VALUE"""),0.75)</f>
        <v>0.75</v>
      </c>
    </row>
    <row r="83" ht="17.25" customHeight="1">
      <c r="O83" s="92" t="str">
        <f>IFERROR(__xludf.DUMMYFUNCTION("""COMPUTED_VALUE"""),"Nguyễn Đình Trung")</f>
        <v>Nguyễn Đình Trung</v>
      </c>
      <c r="P83" s="93" t="str">
        <f>IFERROR(__xludf.DUMMYFUNCTION("""COMPUTED_VALUE"""),"BC 327A Cách Mạng Tháng 8-Pleiku-Gia Lai")</f>
        <v>BC 327A Cách Mạng Tháng 8-Pleiku-Gia Lai</v>
      </c>
      <c r="Q83" s="94">
        <f>IFERROR(__xludf.DUMMYFUNCTION("""COMPUTED_VALUE"""),27.0)</f>
        <v>27</v>
      </c>
      <c r="R83" s="95">
        <f>IFERROR(__xludf.DUMMYFUNCTION("""COMPUTED_VALUE"""),1.0)</f>
        <v>1</v>
      </c>
      <c r="S83" s="95">
        <f>IFERROR(__xludf.DUMMYFUNCTION("""COMPUTED_VALUE"""),0.8148148148148148)</f>
        <v>0.8148148148</v>
      </c>
      <c r="T83" s="95">
        <f>IFERROR(__xludf.DUMMYFUNCTION("""COMPUTED_VALUE"""),0.8148148148148148)</f>
        <v>0.8148148148</v>
      </c>
      <c r="U83" s="94"/>
      <c r="V83" s="94"/>
      <c r="W83" s="94"/>
      <c r="X83" s="94"/>
      <c r="Y83" s="94">
        <f>IFERROR(__xludf.DUMMYFUNCTION("""COMPUTED_VALUE"""),27.0)</f>
        <v>27</v>
      </c>
      <c r="Z83" s="95">
        <f>IFERROR(__xludf.DUMMYFUNCTION("""COMPUTED_VALUE"""),1.0)</f>
        <v>1</v>
      </c>
      <c r="AA83" s="95">
        <f>IFERROR(__xludf.DUMMYFUNCTION("""COMPUTED_VALUE"""),0.8148148148148148)</f>
        <v>0.8148148148</v>
      </c>
      <c r="AB83" s="95">
        <f>IFERROR(__xludf.DUMMYFUNCTION("""COMPUTED_VALUE"""),0.8148148148148148)</f>
        <v>0.8148148148</v>
      </c>
    </row>
    <row r="84" ht="17.25" customHeight="1">
      <c r="O84" s="92" t="str">
        <f>IFERROR(__xludf.DUMMYFUNCTION("""COMPUTED_VALUE"""),"Nguyễn Văn Sáng")</f>
        <v>Nguyễn Văn Sáng</v>
      </c>
      <c r="P84" s="93" t="str">
        <f>IFERROR(__xludf.DUMMYFUNCTION("""COMPUTED_VALUE"""),"BC 99 Nguyễn Khuyến-Buôn Ma Thuột-Đắk Lắk")</f>
        <v>BC 99 Nguyễn Khuyến-Buôn Ma Thuột-Đắk Lắk</v>
      </c>
      <c r="Q84" s="94">
        <f>IFERROR(__xludf.DUMMYFUNCTION("""COMPUTED_VALUE"""),6.0)</f>
        <v>6</v>
      </c>
      <c r="R84" s="95">
        <f>IFERROR(__xludf.DUMMYFUNCTION("""COMPUTED_VALUE"""),1.0)</f>
        <v>1</v>
      </c>
      <c r="S84" s="95">
        <f>IFERROR(__xludf.DUMMYFUNCTION("""COMPUTED_VALUE"""),0.8333333333333334)</f>
        <v>0.8333333333</v>
      </c>
      <c r="T84" s="95">
        <f>IFERROR(__xludf.DUMMYFUNCTION("""COMPUTED_VALUE"""),0.8333333333333334)</f>
        <v>0.8333333333</v>
      </c>
      <c r="U84" s="94"/>
      <c r="V84" s="94"/>
      <c r="W84" s="94"/>
      <c r="X84" s="94"/>
      <c r="Y84" s="94">
        <f>IFERROR(__xludf.DUMMYFUNCTION("""COMPUTED_VALUE"""),6.0)</f>
        <v>6</v>
      </c>
      <c r="Z84" s="95">
        <f>IFERROR(__xludf.DUMMYFUNCTION("""COMPUTED_VALUE"""),1.0)</f>
        <v>1</v>
      </c>
      <c r="AA84" s="95">
        <f>IFERROR(__xludf.DUMMYFUNCTION("""COMPUTED_VALUE"""),0.8333333333333334)</f>
        <v>0.8333333333</v>
      </c>
      <c r="AB84" s="95">
        <f>IFERROR(__xludf.DUMMYFUNCTION("""COMPUTED_VALUE"""),0.8333333333333334)</f>
        <v>0.8333333333</v>
      </c>
    </row>
    <row r="85" ht="17.25" customHeight="1">
      <c r="O85" s="92" t="str">
        <f>IFERROR(__xludf.DUMMYFUNCTION("""COMPUTED_VALUE"""),"Phan Thanh Thức")</f>
        <v>Phan Thanh Thức</v>
      </c>
      <c r="P85" s="93" t="str">
        <f>IFERROR(__xludf.DUMMYFUNCTION("""COMPUTED_VALUE"""),"BC 565 Trần Phú-Tuy Phước-Bình Định")</f>
        <v>BC 565 Trần Phú-Tuy Phước-Bình Định</v>
      </c>
      <c r="Q85" s="94">
        <f>IFERROR(__xludf.DUMMYFUNCTION("""COMPUTED_VALUE"""),28.0)</f>
        <v>28</v>
      </c>
      <c r="R85" s="95">
        <f>IFERROR(__xludf.DUMMYFUNCTION("""COMPUTED_VALUE"""),1.0)</f>
        <v>1</v>
      </c>
      <c r="S85" s="95">
        <f>IFERROR(__xludf.DUMMYFUNCTION("""COMPUTED_VALUE"""),0.8928571428571429)</f>
        <v>0.8928571429</v>
      </c>
      <c r="T85" s="95">
        <f>IFERROR(__xludf.DUMMYFUNCTION("""COMPUTED_VALUE"""),0.8928571428571429)</f>
        <v>0.8928571429</v>
      </c>
      <c r="U85" s="94">
        <f>IFERROR(__xludf.DUMMYFUNCTION("""COMPUTED_VALUE"""),5.0)</f>
        <v>5</v>
      </c>
      <c r="V85" s="95">
        <f>IFERROR(__xludf.DUMMYFUNCTION("""COMPUTED_VALUE"""),1.0)</f>
        <v>1</v>
      </c>
      <c r="W85" s="95">
        <f>IFERROR(__xludf.DUMMYFUNCTION("""COMPUTED_VALUE"""),1.0)</f>
        <v>1</v>
      </c>
      <c r="X85" s="95">
        <f>IFERROR(__xludf.DUMMYFUNCTION("""COMPUTED_VALUE"""),1.0)</f>
        <v>1</v>
      </c>
      <c r="Y85" s="94">
        <f>IFERROR(__xludf.DUMMYFUNCTION("""COMPUTED_VALUE"""),33.0)</f>
        <v>33</v>
      </c>
      <c r="Z85" s="95">
        <f>IFERROR(__xludf.DUMMYFUNCTION("""COMPUTED_VALUE"""),1.0)</f>
        <v>1</v>
      </c>
      <c r="AA85" s="95">
        <f>IFERROR(__xludf.DUMMYFUNCTION("""COMPUTED_VALUE"""),0.9090909090909091)</f>
        <v>0.9090909091</v>
      </c>
      <c r="AB85" s="95">
        <f>IFERROR(__xludf.DUMMYFUNCTION("""COMPUTED_VALUE"""),0.9090909090909091)</f>
        <v>0.9090909091</v>
      </c>
    </row>
    <row r="86" ht="17.25" customHeight="1">
      <c r="O86" s="92" t="str">
        <f>IFERROR(__xludf.DUMMYFUNCTION("""COMPUTED_VALUE"""),"Nguyễn Đình Trung")</f>
        <v>Nguyễn Đình Trung</v>
      </c>
      <c r="P86" s="93" t="str">
        <f>IFERROR(__xludf.DUMMYFUNCTION("""COMPUTED_VALUE"""),"BC 127B Lê Văn Tám-Thị Trấn Kbang-Huyện Kbang-Gia Lai")</f>
        <v>BC 127B Lê Văn Tám-Thị Trấn Kbang-Huyện Kbang-Gia Lai</v>
      </c>
      <c r="Q86" s="94">
        <f>IFERROR(__xludf.DUMMYFUNCTION("""COMPUTED_VALUE"""),9.0)</f>
        <v>9</v>
      </c>
      <c r="R86" s="95">
        <f>IFERROR(__xludf.DUMMYFUNCTION("""COMPUTED_VALUE"""),1.0)</f>
        <v>1</v>
      </c>
      <c r="S86" s="95">
        <f>IFERROR(__xludf.DUMMYFUNCTION("""COMPUTED_VALUE"""),0.8888888888888888)</f>
        <v>0.8888888889</v>
      </c>
      <c r="T86" s="95">
        <f>IFERROR(__xludf.DUMMYFUNCTION("""COMPUTED_VALUE"""),0.8888888888888888)</f>
        <v>0.8888888889</v>
      </c>
      <c r="U86" s="94">
        <f>IFERROR(__xludf.DUMMYFUNCTION("""COMPUTED_VALUE"""),3.0)</f>
        <v>3</v>
      </c>
      <c r="V86" s="95">
        <f>IFERROR(__xludf.DUMMYFUNCTION("""COMPUTED_VALUE"""),1.0)</f>
        <v>1</v>
      </c>
      <c r="W86" s="95">
        <f>IFERROR(__xludf.DUMMYFUNCTION("""COMPUTED_VALUE"""),1.0)</f>
        <v>1</v>
      </c>
      <c r="X86" s="95">
        <f>IFERROR(__xludf.DUMMYFUNCTION("""COMPUTED_VALUE"""),1.0)</f>
        <v>1</v>
      </c>
      <c r="Y86" s="94">
        <f>IFERROR(__xludf.DUMMYFUNCTION("""COMPUTED_VALUE"""),12.0)</f>
        <v>12</v>
      </c>
      <c r="Z86" s="95">
        <f>IFERROR(__xludf.DUMMYFUNCTION("""COMPUTED_VALUE"""),1.0)</f>
        <v>1</v>
      </c>
      <c r="AA86" s="95">
        <f>IFERROR(__xludf.DUMMYFUNCTION("""COMPUTED_VALUE"""),0.9166666666666666)</f>
        <v>0.9166666667</v>
      </c>
      <c r="AB86" s="95">
        <f>IFERROR(__xludf.DUMMYFUNCTION("""COMPUTED_VALUE"""),0.9166666666666666)</f>
        <v>0.9166666667</v>
      </c>
    </row>
    <row r="87" ht="17.25" customHeight="1">
      <c r="O87" s="92" t="str">
        <f>IFERROR(__xludf.DUMMYFUNCTION("""COMPUTED_VALUE"""),"Phan Thanh Thức")</f>
        <v>Phan Thanh Thức</v>
      </c>
      <c r="P87" s="93" t="str">
        <f>IFERROR(__xludf.DUMMYFUNCTION("""COMPUTED_VALUE"""),"BC Khu Vực Kim Châu-An Nhơn-Bình Định")</f>
        <v>BC Khu Vực Kim Châu-An Nhơn-Bình Định</v>
      </c>
      <c r="Q87" s="94">
        <f>IFERROR(__xludf.DUMMYFUNCTION("""COMPUTED_VALUE"""),103.0)</f>
        <v>103</v>
      </c>
      <c r="R87" s="95">
        <f>IFERROR(__xludf.DUMMYFUNCTION("""COMPUTED_VALUE"""),1.0)</f>
        <v>1</v>
      </c>
      <c r="S87" s="95">
        <f>IFERROR(__xludf.DUMMYFUNCTION("""COMPUTED_VALUE"""),0.9320388349514563)</f>
        <v>0.932038835</v>
      </c>
      <c r="T87" s="95">
        <f>IFERROR(__xludf.DUMMYFUNCTION("""COMPUTED_VALUE"""),0.9029126213592233)</f>
        <v>0.9029126214</v>
      </c>
      <c r="U87" s="94">
        <f>IFERROR(__xludf.DUMMYFUNCTION("""COMPUTED_VALUE"""),3.0)</f>
        <v>3</v>
      </c>
      <c r="V87" s="95">
        <f>IFERROR(__xludf.DUMMYFUNCTION("""COMPUTED_VALUE"""),1.0)</f>
        <v>1</v>
      </c>
      <c r="W87" s="95">
        <f>IFERROR(__xludf.DUMMYFUNCTION("""COMPUTED_VALUE"""),1.0)</f>
        <v>1</v>
      </c>
      <c r="X87" s="95">
        <f>IFERROR(__xludf.DUMMYFUNCTION("""COMPUTED_VALUE"""),1.0)</f>
        <v>1</v>
      </c>
      <c r="Y87" s="94">
        <f>IFERROR(__xludf.DUMMYFUNCTION("""COMPUTED_VALUE"""),106.0)</f>
        <v>106</v>
      </c>
      <c r="Z87" s="95">
        <f>IFERROR(__xludf.DUMMYFUNCTION("""COMPUTED_VALUE"""),1.0)</f>
        <v>1</v>
      </c>
      <c r="AA87" s="95">
        <f>IFERROR(__xludf.DUMMYFUNCTION("""COMPUTED_VALUE"""),0.9339622641509434)</f>
        <v>0.9339622642</v>
      </c>
      <c r="AB87" s="95">
        <f>IFERROR(__xludf.DUMMYFUNCTION("""COMPUTED_VALUE"""),0.9056603773584906)</f>
        <v>0.9056603774</v>
      </c>
    </row>
    <row r="88" ht="17.25" customHeight="1">
      <c r="O88" s="92" t="str">
        <f>IFERROR(__xludf.DUMMYFUNCTION("""COMPUTED_VALUE"""),"Nguyễn Văn Sáng")</f>
        <v>Nguyễn Văn Sáng</v>
      </c>
      <c r="P88" s="93" t="str">
        <f>IFERROR(__xludf.DUMMYFUNCTION("""COMPUTED_VALUE"""),"BC 03 Trần Hưng Đạo-Krông Pắc-Đắk Lắk")</f>
        <v>BC 03 Trần Hưng Đạo-Krông Pắc-Đắk Lắk</v>
      </c>
      <c r="Q88" s="94">
        <f>IFERROR(__xludf.DUMMYFUNCTION("""COMPUTED_VALUE"""),95.0)</f>
        <v>95</v>
      </c>
      <c r="R88" s="95">
        <f>IFERROR(__xludf.DUMMYFUNCTION("""COMPUTED_VALUE"""),1.0)</f>
        <v>1</v>
      </c>
      <c r="S88" s="95">
        <f>IFERROR(__xludf.DUMMYFUNCTION("""COMPUTED_VALUE"""),0.9368421052631579)</f>
        <v>0.9368421053</v>
      </c>
      <c r="T88" s="95">
        <f>IFERROR(__xludf.DUMMYFUNCTION("""COMPUTED_VALUE"""),0.9368421052631579)</f>
        <v>0.9368421053</v>
      </c>
      <c r="U88" s="94">
        <f>IFERROR(__xludf.DUMMYFUNCTION("""COMPUTED_VALUE"""),4.0)</f>
        <v>4</v>
      </c>
      <c r="V88" s="95">
        <f>IFERROR(__xludf.DUMMYFUNCTION("""COMPUTED_VALUE"""),1.0)</f>
        <v>1</v>
      </c>
      <c r="W88" s="95">
        <f>IFERROR(__xludf.DUMMYFUNCTION("""COMPUTED_VALUE"""),1.0)</f>
        <v>1</v>
      </c>
      <c r="X88" s="95">
        <f>IFERROR(__xludf.DUMMYFUNCTION("""COMPUTED_VALUE"""),1.0)</f>
        <v>1</v>
      </c>
      <c r="Y88" s="94">
        <f>IFERROR(__xludf.DUMMYFUNCTION("""COMPUTED_VALUE"""),99.0)</f>
        <v>99</v>
      </c>
      <c r="Z88" s="95">
        <f>IFERROR(__xludf.DUMMYFUNCTION("""COMPUTED_VALUE"""),1.0)</f>
        <v>1</v>
      </c>
      <c r="AA88" s="95">
        <f>IFERROR(__xludf.DUMMYFUNCTION("""COMPUTED_VALUE"""),0.9393939393939394)</f>
        <v>0.9393939394</v>
      </c>
      <c r="AB88" s="95">
        <f>IFERROR(__xludf.DUMMYFUNCTION("""COMPUTED_VALUE"""),0.9393939393939394)</f>
        <v>0.9393939394</v>
      </c>
    </row>
    <row r="89" ht="17.25" customHeight="1">
      <c r="O89" s="92" t="str">
        <f>IFERROR(__xludf.DUMMYFUNCTION("""COMPUTED_VALUE"""),"Nguyễn Công Luận")</f>
        <v>Nguyễn Công Luận</v>
      </c>
      <c r="P89" s="93" t="str">
        <f>IFERROR(__xludf.DUMMYFUNCTION("""COMPUTED_VALUE"""),"BC 39 Nguyễn Huệ-Ayun Pa-Gia Lai")</f>
        <v>BC 39 Nguyễn Huệ-Ayun Pa-Gia Lai</v>
      </c>
      <c r="Q89" s="94">
        <f>IFERROR(__xludf.DUMMYFUNCTION("""COMPUTED_VALUE"""),17.0)</f>
        <v>17</v>
      </c>
      <c r="R89" s="95">
        <f>IFERROR(__xludf.DUMMYFUNCTION("""COMPUTED_VALUE"""),1.0)</f>
        <v>1</v>
      </c>
      <c r="S89" s="95">
        <f>IFERROR(__xludf.DUMMYFUNCTION("""COMPUTED_VALUE"""),1.0)</f>
        <v>1</v>
      </c>
      <c r="T89" s="95">
        <f>IFERROR(__xludf.DUMMYFUNCTION("""COMPUTED_VALUE"""),0.0)</f>
        <v>0</v>
      </c>
      <c r="U89" s="94">
        <f>IFERROR(__xludf.DUMMYFUNCTION("""COMPUTED_VALUE"""),8.0)</f>
        <v>8</v>
      </c>
      <c r="V89" s="95">
        <f>IFERROR(__xludf.DUMMYFUNCTION("""COMPUTED_VALUE"""),1.0)</f>
        <v>1</v>
      </c>
      <c r="W89" s="95">
        <f>IFERROR(__xludf.DUMMYFUNCTION("""COMPUTED_VALUE"""),0.875)</f>
        <v>0.875</v>
      </c>
      <c r="X89" s="95">
        <f>IFERROR(__xludf.DUMMYFUNCTION("""COMPUTED_VALUE"""),0.5)</f>
        <v>0.5</v>
      </c>
      <c r="Y89" s="94">
        <f>IFERROR(__xludf.DUMMYFUNCTION("""COMPUTED_VALUE"""),25.0)</f>
        <v>25</v>
      </c>
      <c r="Z89" s="95">
        <f>IFERROR(__xludf.DUMMYFUNCTION("""COMPUTED_VALUE"""),1.0)</f>
        <v>1</v>
      </c>
      <c r="AA89" s="95">
        <f>IFERROR(__xludf.DUMMYFUNCTION("""COMPUTED_VALUE"""),0.96)</f>
        <v>0.96</v>
      </c>
      <c r="AB89" s="95">
        <f>IFERROR(__xludf.DUMMYFUNCTION("""COMPUTED_VALUE"""),0.16)</f>
        <v>0.16</v>
      </c>
    </row>
    <row r="90" ht="17.25" customHeight="1">
      <c r="O90" s="92" t="str">
        <f>IFERROR(__xludf.DUMMYFUNCTION("""COMPUTED_VALUE"""),"Nguyễn Thị Bảo Nhi")</f>
        <v>Nguyễn Thị Bảo Nhi</v>
      </c>
      <c r="P90" s="93" t="str">
        <f>IFERROR(__xludf.DUMMYFUNCTION("""COMPUTED_VALUE"""),"BC 09 Quốc Lộ 14-Hoà Phú-Đắk Lắk")</f>
        <v>BC 09 Quốc Lộ 14-Hoà Phú-Đắk Lắk</v>
      </c>
      <c r="Q90" s="94">
        <f>IFERROR(__xludf.DUMMYFUNCTION("""COMPUTED_VALUE"""),330.0)</f>
        <v>330</v>
      </c>
      <c r="R90" s="95">
        <f>IFERROR(__xludf.DUMMYFUNCTION("""COMPUTED_VALUE"""),1.0)</f>
        <v>1</v>
      </c>
      <c r="S90" s="95">
        <f>IFERROR(__xludf.DUMMYFUNCTION("""COMPUTED_VALUE"""),0.9757575757575757)</f>
        <v>0.9757575758</v>
      </c>
      <c r="T90" s="95">
        <f>IFERROR(__xludf.DUMMYFUNCTION("""COMPUTED_VALUE"""),0.9757575757575757)</f>
        <v>0.9757575758</v>
      </c>
      <c r="U90" s="94">
        <f>IFERROR(__xludf.DUMMYFUNCTION("""COMPUTED_VALUE"""),39.0)</f>
        <v>39</v>
      </c>
      <c r="V90" s="95">
        <f>IFERROR(__xludf.DUMMYFUNCTION("""COMPUTED_VALUE"""),1.0)</f>
        <v>1</v>
      </c>
      <c r="W90" s="95">
        <f>IFERROR(__xludf.DUMMYFUNCTION("""COMPUTED_VALUE"""),1.0)</f>
        <v>1</v>
      </c>
      <c r="X90" s="95">
        <f>IFERROR(__xludf.DUMMYFUNCTION("""COMPUTED_VALUE"""),1.0)</f>
        <v>1</v>
      </c>
      <c r="Y90" s="94">
        <f>IFERROR(__xludf.DUMMYFUNCTION("""COMPUTED_VALUE"""),369.0)</f>
        <v>369</v>
      </c>
      <c r="Z90" s="95">
        <f>IFERROR(__xludf.DUMMYFUNCTION("""COMPUTED_VALUE"""),1.0)</f>
        <v>1</v>
      </c>
      <c r="AA90" s="95">
        <f>IFERROR(__xludf.DUMMYFUNCTION("""COMPUTED_VALUE"""),0.978319783197832)</f>
        <v>0.9783197832</v>
      </c>
      <c r="AB90" s="95">
        <f>IFERROR(__xludf.DUMMYFUNCTION("""COMPUTED_VALUE"""),0.978319783197832)</f>
        <v>0.9783197832</v>
      </c>
    </row>
    <row r="91" ht="17.25" customHeight="1">
      <c r="O91" s="92" t="str">
        <f>IFERROR(__xludf.DUMMYFUNCTION("""COMPUTED_VALUE"""),"Huỳnh Thị Mới ")</f>
        <v>Huỳnh Thị Mới </v>
      </c>
      <c r="P91" s="93" t="str">
        <f>IFERROR(__xludf.DUMMYFUNCTION("""COMPUTED_VALUE"""),"BC KP4 Hòa Vinh- Đông Hòa- Phú Yên")</f>
        <v>BC KP4 Hòa Vinh- Đông Hòa- Phú Yên</v>
      </c>
      <c r="Q91" s="94">
        <f>IFERROR(__xludf.DUMMYFUNCTION("""COMPUTED_VALUE"""),161.0)</f>
        <v>161</v>
      </c>
      <c r="R91" s="95">
        <f>IFERROR(__xludf.DUMMYFUNCTION("""COMPUTED_VALUE"""),1.0)</f>
        <v>1</v>
      </c>
      <c r="S91" s="95">
        <f>IFERROR(__xludf.DUMMYFUNCTION("""COMPUTED_VALUE"""),0.9813664596273292)</f>
        <v>0.9813664596</v>
      </c>
      <c r="T91" s="95">
        <f>IFERROR(__xludf.DUMMYFUNCTION("""COMPUTED_VALUE"""),0.9813664596273292)</f>
        <v>0.9813664596</v>
      </c>
      <c r="U91" s="94">
        <f>IFERROR(__xludf.DUMMYFUNCTION("""COMPUTED_VALUE"""),4.0)</f>
        <v>4</v>
      </c>
      <c r="V91" s="95">
        <f>IFERROR(__xludf.DUMMYFUNCTION("""COMPUTED_VALUE"""),1.0)</f>
        <v>1</v>
      </c>
      <c r="W91" s="95">
        <f>IFERROR(__xludf.DUMMYFUNCTION("""COMPUTED_VALUE"""),1.0)</f>
        <v>1</v>
      </c>
      <c r="X91" s="95">
        <f>IFERROR(__xludf.DUMMYFUNCTION("""COMPUTED_VALUE"""),1.0)</f>
        <v>1</v>
      </c>
      <c r="Y91" s="94">
        <f>IFERROR(__xludf.DUMMYFUNCTION("""COMPUTED_VALUE"""),165.0)</f>
        <v>165</v>
      </c>
      <c r="Z91" s="95">
        <f>IFERROR(__xludf.DUMMYFUNCTION("""COMPUTED_VALUE"""),1.0)</f>
        <v>1</v>
      </c>
      <c r="AA91" s="95">
        <f>IFERROR(__xludf.DUMMYFUNCTION("""COMPUTED_VALUE"""),0.9818181818181818)</f>
        <v>0.9818181818</v>
      </c>
      <c r="AB91" s="95">
        <f>IFERROR(__xludf.DUMMYFUNCTION("""COMPUTED_VALUE"""),0.9818181818181818)</f>
        <v>0.9818181818</v>
      </c>
    </row>
    <row r="92">
      <c r="O92" s="48" t="str">
        <f>IFERROR(__xludf.DUMMYFUNCTION("""COMPUTED_VALUE"""),"Võ Thanh Diệu ")</f>
        <v>Võ Thanh Diệu </v>
      </c>
      <c r="P92" s="48" t="str">
        <f>IFERROR(__xludf.DUMMYFUNCTION("""COMPUTED_VALUE"""),"BC 44 Quang Trung-Tây Sơn-Bình Định")</f>
        <v>BC 44 Quang Trung-Tây Sơn-Bình Định</v>
      </c>
      <c r="Q92" s="48">
        <f>IFERROR(__xludf.DUMMYFUNCTION("""COMPUTED_VALUE"""),154.0)</f>
        <v>154</v>
      </c>
      <c r="R92" s="126">
        <f>IFERROR(__xludf.DUMMYFUNCTION("""COMPUTED_VALUE"""),1.0)</f>
        <v>1</v>
      </c>
      <c r="S92" s="126">
        <f>IFERROR(__xludf.DUMMYFUNCTION("""COMPUTED_VALUE"""),0.987012987012987)</f>
        <v>0.987012987</v>
      </c>
      <c r="T92" s="126">
        <f>IFERROR(__xludf.DUMMYFUNCTION("""COMPUTED_VALUE"""),0.987012987012987)</f>
        <v>0.987012987</v>
      </c>
      <c r="U92" s="48"/>
      <c r="V92" s="48"/>
      <c r="W92" s="48"/>
      <c r="X92" s="48"/>
      <c r="Y92" s="48">
        <f>IFERROR(__xludf.DUMMYFUNCTION("""COMPUTED_VALUE"""),154.0)</f>
        <v>154</v>
      </c>
      <c r="Z92" s="126">
        <f>IFERROR(__xludf.DUMMYFUNCTION("""COMPUTED_VALUE"""),1.0)</f>
        <v>1</v>
      </c>
      <c r="AA92" s="126">
        <f>IFERROR(__xludf.DUMMYFUNCTION("""COMPUTED_VALUE"""),0.987012987012987)</f>
        <v>0.987012987</v>
      </c>
      <c r="AB92" s="126">
        <f>IFERROR(__xludf.DUMMYFUNCTION("""COMPUTED_VALUE"""),0.987012987012987)</f>
        <v>0.987012987</v>
      </c>
    </row>
    <row r="93" ht="17.25" customHeight="1">
      <c r="O93" s="92" t="str">
        <f>IFERROR(__xludf.DUMMYFUNCTION("""COMPUTED_VALUE"""),"Nguyễn Văn Sáng")</f>
        <v>Nguyễn Văn Sáng</v>
      </c>
      <c r="P93" s="93" t="str">
        <f>IFERROR(__xludf.DUMMYFUNCTION("""COMPUTED_VALUE"""),"BC 132 Hoàng Hoa Thám-Buôn Ma Thuột-Đắk Lắk")</f>
        <v>BC 132 Hoàng Hoa Thám-Buôn Ma Thuột-Đắk Lắk</v>
      </c>
      <c r="Q93" s="94">
        <f>IFERROR(__xludf.DUMMYFUNCTION("""COMPUTED_VALUE"""),149.0)</f>
        <v>149</v>
      </c>
      <c r="R93" s="95">
        <f>IFERROR(__xludf.DUMMYFUNCTION("""COMPUTED_VALUE"""),1.0)</f>
        <v>1</v>
      </c>
      <c r="S93" s="95">
        <f>IFERROR(__xludf.DUMMYFUNCTION("""COMPUTED_VALUE"""),0.9932885906040269)</f>
        <v>0.9932885906</v>
      </c>
      <c r="T93" s="95">
        <f>IFERROR(__xludf.DUMMYFUNCTION("""COMPUTED_VALUE"""),0.9932885906040269)</f>
        <v>0.9932885906</v>
      </c>
      <c r="U93" s="94">
        <f>IFERROR(__xludf.DUMMYFUNCTION("""COMPUTED_VALUE"""),3.0)</f>
        <v>3</v>
      </c>
      <c r="V93" s="95">
        <f>IFERROR(__xludf.DUMMYFUNCTION("""COMPUTED_VALUE"""),1.0)</f>
        <v>1</v>
      </c>
      <c r="W93" s="95">
        <f>IFERROR(__xludf.DUMMYFUNCTION("""COMPUTED_VALUE"""),1.0)</f>
        <v>1</v>
      </c>
      <c r="X93" s="95">
        <f>IFERROR(__xludf.DUMMYFUNCTION("""COMPUTED_VALUE"""),1.0)</f>
        <v>1</v>
      </c>
      <c r="Y93" s="94">
        <f>IFERROR(__xludf.DUMMYFUNCTION("""COMPUTED_VALUE"""),152.0)</f>
        <v>152</v>
      </c>
      <c r="Z93" s="95">
        <f>IFERROR(__xludf.DUMMYFUNCTION("""COMPUTED_VALUE"""),1.0)</f>
        <v>1</v>
      </c>
      <c r="AA93" s="95">
        <f>IFERROR(__xludf.DUMMYFUNCTION("""COMPUTED_VALUE"""),0.993421052631579)</f>
        <v>0.9934210526</v>
      </c>
      <c r="AB93" s="95">
        <f>IFERROR(__xludf.DUMMYFUNCTION("""COMPUTED_VALUE"""),0.993421052631579)</f>
        <v>0.9934210526</v>
      </c>
    </row>
    <row r="94" ht="17.25" customHeight="1">
      <c r="O94" s="92" t="str">
        <f>IFERROR(__xludf.DUMMYFUNCTION("""COMPUTED_VALUE"""),"Nguyễn  Hoàng Anh ")</f>
        <v>Nguyễn  Hoàng Anh </v>
      </c>
      <c r="P94" s="93" t="str">
        <f>IFERROR(__xludf.DUMMYFUNCTION("""COMPUTED_VALUE"""),"BC 271 Nguyễn Văn Cừ-Tân Lập-Đắk Lắk")</f>
        <v>BC 271 Nguyễn Văn Cừ-Tân Lập-Đắk Lắk</v>
      </c>
      <c r="Q94" s="94">
        <f>IFERROR(__xludf.DUMMYFUNCTION("""COMPUTED_VALUE"""),188.0)</f>
        <v>188</v>
      </c>
      <c r="R94" s="95">
        <f>IFERROR(__xludf.DUMMYFUNCTION("""COMPUTED_VALUE"""),1.0)</f>
        <v>1</v>
      </c>
      <c r="S94" s="95">
        <f>IFERROR(__xludf.DUMMYFUNCTION("""COMPUTED_VALUE"""),0.9946808510638298)</f>
        <v>0.9946808511</v>
      </c>
      <c r="T94" s="95">
        <f>IFERROR(__xludf.DUMMYFUNCTION("""COMPUTED_VALUE"""),0.9946808510638298)</f>
        <v>0.9946808511</v>
      </c>
      <c r="U94" s="94">
        <f>IFERROR(__xludf.DUMMYFUNCTION("""COMPUTED_VALUE"""),2.0)</f>
        <v>2</v>
      </c>
      <c r="V94" s="95">
        <f>IFERROR(__xludf.DUMMYFUNCTION("""COMPUTED_VALUE"""),1.0)</f>
        <v>1</v>
      </c>
      <c r="W94" s="95">
        <f>IFERROR(__xludf.DUMMYFUNCTION("""COMPUTED_VALUE"""),1.0)</f>
        <v>1</v>
      </c>
      <c r="X94" s="95">
        <f>IFERROR(__xludf.DUMMYFUNCTION("""COMPUTED_VALUE"""),1.0)</f>
        <v>1</v>
      </c>
      <c r="Y94" s="94">
        <f>IFERROR(__xludf.DUMMYFUNCTION("""COMPUTED_VALUE"""),190.0)</f>
        <v>190</v>
      </c>
      <c r="Z94" s="95">
        <f>IFERROR(__xludf.DUMMYFUNCTION("""COMPUTED_VALUE"""),1.0)</f>
        <v>1</v>
      </c>
      <c r="AA94" s="95">
        <f>IFERROR(__xludf.DUMMYFUNCTION("""COMPUTED_VALUE"""),0.9947368421052631)</f>
        <v>0.9947368421</v>
      </c>
      <c r="AB94" s="95">
        <f>IFERROR(__xludf.DUMMYFUNCTION("""COMPUTED_VALUE"""),0.9947368421052631)</f>
        <v>0.9947368421</v>
      </c>
    </row>
    <row r="95" ht="17.25" customHeight="1">
      <c r="O95" s="92" t="str">
        <f>IFERROR(__xludf.DUMMYFUNCTION("""COMPUTED_VALUE"""),"Phan Thị Mỹ Chi")</f>
        <v>Phan Thị Mỹ Chi</v>
      </c>
      <c r="P95" s="93" t="str">
        <f>IFERROR(__xludf.DUMMYFUNCTION("""COMPUTED_VALUE"""),"BC 73 Lê Lợi-Chư Pah-Gia Lai")</f>
        <v>BC 73 Lê Lợi-Chư Pah-Gia Lai</v>
      </c>
      <c r="Q95" s="94">
        <f>IFERROR(__xludf.DUMMYFUNCTION("""COMPUTED_VALUE"""),230.0)</f>
        <v>230</v>
      </c>
      <c r="R95" s="95">
        <f>IFERROR(__xludf.DUMMYFUNCTION("""COMPUTED_VALUE"""),1.0)</f>
        <v>1</v>
      </c>
      <c r="S95" s="95">
        <f>IFERROR(__xludf.DUMMYFUNCTION("""COMPUTED_VALUE"""),0.9956521739130435)</f>
        <v>0.9956521739</v>
      </c>
      <c r="T95" s="95">
        <f>IFERROR(__xludf.DUMMYFUNCTION("""COMPUTED_VALUE"""),0.9956521739130435)</f>
        <v>0.9956521739</v>
      </c>
      <c r="U95" s="94"/>
      <c r="V95" s="94"/>
      <c r="W95" s="94"/>
      <c r="X95" s="94"/>
      <c r="Y95" s="94">
        <f>IFERROR(__xludf.DUMMYFUNCTION("""COMPUTED_VALUE"""),230.0)</f>
        <v>230</v>
      </c>
      <c r="Z95" s="95">
        <f>IFERROR(__xludf.DUMMYFUNCTION("""COMPUTED_VALUE"""),1.0)</f>
        <v>1</v>
      </c>
      <c r="AA95" s="95">
        <f>IFERROR(__xludf.DUMMYFUNCTION("""COMPUTED_VALUE"""),0.9956521739130435)</f>
        <v>0.9956521739</v>
      </c>
      <c r="AB95" s="95">
        <f>IFERROR(__xludf.DUMMYFUNCTION("""COMPUTED_VALUE"""),0.9956521739130435)</f>
        <v>0.9956521739</v>
      </c>
    </row>
    <row r="96" ht="17.25" customHeight="1">
      <c r="O96" s="92" t="str">
        <f>IFERROR(__xludf.DUMMYFUNCTION("""COMPUTED_VALUE"""),"Nguyễn  Ngọc Hà")</f>
        <v>Nguyễn  Ngọc Hà</v>
      </c>
      <c r="P96" s="93" t="str">
        <f>IFERROR(__xludf.DUMMYFUNCTION("""COMPUTED_VALUE"""),"BC 01 An Bình-Ea KNốp-Ea Kar-Đắk Lắk")</f>
        <v>BC 01 An Bình-Ea KNốp-Ea Kar-Đắk Lắk</v>
      </c>
      <c r="Q96" s="94">
        <f>IFERROR(__xludf.DUMMYFUNCTION("""COMPUTED_VALUE"""),30.0)</f>
        <v>30</v>
      </c>
      <c r="R96" s="95">
        <f>IFERROR(__xludf.DUMMYFUNCTION("""COMPUTED_VALUE"""),1.0)</f>
        <v>1</v>
      </c>
      <c r="S96" s="95">
        <f>IFERROR(__xludf.DUMMYFUNCTION("""COMPUTED_VALUE"""),1.0)</f>
        <v>1</v>
      </c>
      <c r="T96" s="95">
        <f>IFERROR(__xludf.DUMMYFUNCTION("""COMPUTED_VALUE"""),1.0)</f>
        <v>1</v>
      </c>
      <c r="U96" s="94"/>
      <c r="V96" s="94"/>
      <c r="W96" s="94"/>
      <c r="X96" s="94"/>
      <c r="Y96" s="94">
        <f>IFERROR(__xludf.DUMMYFUNCTION("""COMPUTED_VALUE"""),30.0)</f>
        <v>30</v>
      </c>
      <c r="Z96" s="95">
        <f>IFERROR(__xludf.DUMMYFUNCTION("""COMPUTED_VALUE"""),1.0)</f>
        <v>1</v>
      </c>
      <c r="AA96" s="95">
        <f>IFERROR(__xludf.DUMMYFUNCTION("""COMPUTED_VALUE"""),1.0)</f>
        <v>1</v>
      </c>
      <c r="AB96" s="95">
        <f>IFERROR(__xludf.DUMMYFUNCTION("""COMPUTED_VALUE"""),1.0)</f>
        <v>1</v>
      </c>
    </row>
    <row r="97" ht="17.25" customHeight="1">
      <c r="O97" s="92" t="str">
        <f>IFERROR(__xludf.DUMMYFUNCTION("""COMPUTED_VALUE"""),"Nguyễn  Ngọc Hà")</f>
        <v>Nguyễn  Ngọc Hà</v>
      </c>
      <c r="P97" s="93" t="str">
        <f>IFERROR(__xludf.DUMMYFUNCTION("""COMPUTED_VALUE"""),"BC 125 Lý Chính Thắng-Buôn Ma Thuột-Đắk Lắk")</f>
        <v>BC 125 Lý Chính Thắng-Buôn Ma Thuột-Đắk Lắk</v>
      </c>
      <c r="Q97" s="94">
        <f>IFERROR(__xludf.DUMMYFUNCTION("""COMPUTED_VALUE"""),33.0)</f>
        <v>33</v>
      </c>
      <c r="R97" s="95">
        <f>IFERROR(__xludf.DUMMYFUNCTION("""COMPUTED_VALUE"""),1.0)</f>
        <v>1</v>
      </c>
      <c r="S97" s="95">
        <f>IFERROR(__xludf.DUMMYFUNCTION("""COMPUTED_VALUE"""),1.0)</f>
        <v>1</v>
      </c>
      <c r="T97" s="95">
        <f>IFERROR(__xludf.DUMMYFUNCTION("""COMPUTED_VALUE"""),0.8787878787878788)</f>
        <v>0.8787878788</v>
      </c>
      <c r="U97" s="94">
        <f>IFERROR(__xludf.DUMMYFUNCTION("""COMPUTED_VALUE"""),14.0)</f>
        <v>14</v>
      </c>
      <c r="V97" s="95">
        <f>IFERROR(__xludf.DUMMYFUNCTION("""COMPUTED_VALUE"""),1.0)</f>
        <v>1</v>
      </c>
      <c r="W97" s="95">
        <f>IFERROR(__xludf.DUMMYFUNCTION("""COMPUTED_VALUE"""),1.0)</f>
        <v>1</v>
      </c>
      <c r="X97" s="95">
        <f>IFERROR(__xludf.DUMMYFUNCTION("""COMPUTED_VALUE"""),1.0)</f>
        <v>1</v>
      </c>
      <c r="Y97" s="94">
        <f>IFERROR(__xludf.DUMMYFUNCTION("""COMPUTED_VALUE"""),47.0)</f>
        <v>47</v>
      </c>
      <c r="Z97" s="95">
        <f>IFERROR(__xludf.DUMMYFUNCTION("""COMPUTED_VALUE"""),1.0)</f>
        <v>1</v>
      </c>
      <c r="AA97" s="95">
        <f>IFERROR(__xludf.DUMMYFUNCTION("""COMPUTED_VALUE"""),1.0)</f>
        <v>1</v>
      </c>
      <c r="AB97" s="95">
        <f>IFERROR(__xludf.DUMMYFUNCTION("""COMPUTED_VALUE"""),0.9148936170212766)</f>
        <v>0.914893617</v>
      </c>
    </row>
    <row r="98" ht="17.25" customHeight="1">
      <c r="O98" s="92" t="str">
        <f>IFERROR(__xludf.DUMMYFUNCTION("""COMPUTED_VALUE"""),"Nguyễn Công Luận")</f>
        <v>Nguyễn Công Luận</v>
      </c>
      <c r="P98" s="93" t="str">
        <f>IFERROR(__xludf.DUMMYFUNCTION("""COMPUTED_VALUE"""),"BC 138 Hùng Vương-Phú Thiện-Gia Lai")</f>
        <v>BC 138 Hùng Vương-Phú Thiện-Gia Lai</v>
      </c>
      <c r="Q98" s="94">
        <f>IFERROR(__xludf.DUMMYFUNCTION("""COMPUTED_VALUE"""),36.0)</f>
        <v>36</v>
      </c>
      <c r="R98" s="95">
        <f>IFERROR(__xludf.DUMMYFUNCTION("""COMPUTED_VALUE"""),1.0)</f>
        <v>1</v>
      </c>
      <c r="S98" s="95">
        <f>IFERROR(__xludf.DUMMYFUNCTION("""COMPUTED_VALUE"""),1.0)</f>
        <v>1</v>
      </c>
      <c r="T98" s="95">
        <f>IFERROR(__xludf.DUMMYFUNCTION("""COMPUTED_VALUE"""),0.4722222222222222)</f>
        <v>0.4722222222</v>
      </c>
      <c r="U98" s="94">
        <f>IFERROR(__xludf.DUMMYFUNCTION("""COMPUTED_VALUE"""),7.0)</f>
        <v>7</v>
      </c>
      <c r="V98" s="95">
        <f>IFERROR(__xludf.DUMMYFUNCTION("""COMPUTED_VALUE"""),1.0)</f>
        <v>1</v>
      </c>
      <c r="W98" s="95">
        <f>IFERROR(__xludf.DUMMYFUNCTION("""COMPUTED_VALUE"""),1.0)</f>
        <v>1</v>
      </c>
      <c r="X98" s="95">
        <f>IFERROR(__xludf.DUMMYFUNCTION("""COMPUTED_VALUE"""),1.0)</f>
        <v>1</v>
      </c>
      <c r="Y98" s="94">
        <f>IFERROR(__xludf.DUMMYFUNCTION("""COMPUTED_VALUE"""),43.0)</f>
        <v>43</v>
      </c>
      <c r="Z98" s="95">
        <f>IFERROR(__xludf.DUMMYFUNCTION("""COMPUTED_VALUE"""),1.0)</f>
        <v>1</v>
      </c>
      <c r="AA98" s="95">
        <f>IFERROR(__xludf.DUMMYFUNCTION("""COMPUTED_VALUE"""),1.0)</f>
        <v>1</v>
      </c>
      <c r="AB98" s="95">
        <f>IFERROR(__xludf.DUMMYFUNCTION("""COMPUTED_VALUE"""),0.5581395348837209)</f>
        <v>0.5581395349</v>
      </c>
    </row>
    <row r="99" ht="17.25" customHeight="1">
      <c r="O99" s="92" t="str">
        <f>IFERROR(__xludf.DUMMYFUNCTION("""COMPUTED_VALUE"""),"Phan Thị Mỹ Chi")</f>
        <v>Phan Thị Mỹ Chi</v>
      </c>
      <c r="P99" s="93" t="str">
        <f>IFERROR(__xludf.DUMMYFUNCTION("""COMPUTED_VALUE"""),"BC 153 Hùng Vương-Ia Grai-Gia Lai")</f>
        <v>BC 153 Hùng Vương-Ia Grai-Gia Lai</v>
      </c>
      <c r="Q99" s="94">
        <f>IFERROR(__xludf.DUMMYFUNCTION("""COMPUTED_VALUE"""),1.0)</f>
        <v>1</v>
      </c>
      <c r="R99" s="95">
        <f>IFERROR(__xludf.DUMMYFUNCTION("""COMPUTED_VALUE"""),1.0)</f>
        <v>1</v>
      </c>
      <c r="S99" s="95">
        <f>IFERROR(__xludf.DUMMYFUNCTION("""COMPUTED_VALUE"""),1.0)</f>
        <v>1</v>
      </c>
      <c r="T99" s="95">
        <f>IFERROR(__xludf.DUMMYFUNCTION("""COMPUTED_VALUE"""),1.0)</f>
        <v>1</v>
      </c>
      <c r="U99" s="94"/>
      <c r="V99" s="94"/>
      <c r="W99" s="94"/>
      <c r="X99" s="94"/>
      <c r="Y99" s="94">
        <f>IFERROR(__xludf.DUMMYFUNCTION("""COMPUTED_VALUE"""),1.0)</f>
        <v>1</v>
      </c>
      <c r="Z99" s="95">
        <f>IFERROR(__xludf.DUMMYFUNCTION("""COMPUTED_VALUE"""),1.0)</f>
        <v>1</v>
      </c>
      <c r="AA99" s="95">
        <f>IFERROR(__xludf.DUMMYFUNCTION("""COMPUTED_VALUE"""),1.0)</f>
        <v>1</v>
      </c>
      <c r="AB99" s="95">
        <f>IFERROR(__xludf.DUMMYFUNCTION("""COMPUTED_VALUE"""),1.0)</f>
        <v>1</v>
      </c>
    </row>
    <row r="100" ht="17.25" customHeight="1">
      <c r="O100" s="92" t="str">
        <f>IFERROR(__xludf.DUMMYFUNCTION("""COMPUTED_VALUE"""),"Ngô  Thị Bích Trâm ")</f>
        <v>Ngô  Thị Bích Trâm </v>
      </c>
      <c r="P100" s="93" t="str">
        <f>IFERROR(__xludf.DUMMYFUNCTION("""COMPUTED_VALUE"""),"BC 172 Hùng Vương-Chư Prông-Gia Lai")</f>
        <v>BC 172 Hùng Vương-Chư Prông-Gia Lai</v>
      </c>
      <c r="Q100" s="94">
        <f>IFERROR(__xludf.DUMMYFUNCTION("""COMPUTED_VALUE"""),5.0)</f>
        <v>5</v>
      </c>
      <c r="R100" s="95">
        <f>IFERROR(__xludf.DUMMYFUNCTION("""COMPUTED_VALUE"""),1.0)</f>
        <v>1</v>
      </c>
      <c r="S100" s="95">
        <f>IFERROR(__xludf.DUMMYFUNCTION("""COMPUTED_VALUE"""),1.0)</f>
        <v>1</v>
      </c>
      <c r="T100" s="95">
        <f>IFERROR(__xludf.DUMMYFUNCTION("""COMPUTED_VALUE"""),0.0)</f>
        <v>0</v>
      </c>
      <c r="U100" s="94"/>
      <c r="V100" s="94"/>
      <c r="W100" s="94"/>
      <c r="X100" s="94"/>
      <c r="Y100" s="94">
        <f>IFERROR(__xludf.DUMMYFUNCTION("""COMPUTED_VALUE"""),5.0)</f>
        <v>5</v>
      </c>
      <c r="Z100" s="95">
        <f>IFERROR(__xludf.DUMMYFUNCTION("""COMPUTED_VALUE"""),1.0)</f>
        <v>1</v>
      </c>
      <c r="AA100" s="95">
        <f>IFERROR(__xludf.DUMMYFUNCTION("""COMPUTED_VALUE"""),1.0)</f>
        <v>1</v>
      </c>
      <c r="AB100" s="95">
        <f>IFERROR(__xludf.DUMMYFUNCTION("""COMPUTED_VALUE"""),0.0)</f>
        <v>0</v>
      </c>
    </row>
    <row r="101" ht="17.25" customHeight="1">
      <c r="O101" s="92" t="str">
        <f>IFERROR(__xludf.DUMMYFUNCTION("""COMPUTED_VALUE"""),"Mai Đức Hoàng Long")</f>
        <v>Mai Đức Hoàng Long</v>
      </c>
      <c r="P101" s="93" t="str">
        <f>IFERROR(__xludf.DUMMYFUNCTION("""COMPUTED_VALUE"""),"BC 204 Trần Hưng Đạo-Buôn Hồ-Đắk Lắk")</f>
        <v>BC 204 Trần Hưng Đạo-Buôn Hồ-Đắk Lắk</v>
      </c>
      <c r="Q101" s="94">
        <f>IFERROR(__xludf.DUMMYFUNCTION("""COMPUTED_VALUE"""),82.0)</f>
        <v>82</v>
      </c>
      <c r="R101" s="95">
        <f>IFERROR(__xludf.DUMMYFUNCTION("""COMPUTED_VALUE"""),1.0)</f>
        <v>1</v>
      </c>
      <c r="S101" s="95">
        <f>IFERROR(__xludf.DUMMYFUNCTION("""COMPUTED_VALUE"""),1.0)</f>
        <v>1</v>
      </c>
      <c r="T101" s="95">
        <f>IFERROR(__xludf.DUMMYFUNCTION("""COMPUTED_VALUE"""),1.0)</f>
        <v>1</v>
      </c>
      <c r="U101" s="94"/>
      <c r="V101" s="94"/>
      <c r="W101" s="94"/>
      <c r="X101" s="94"/>
      <c r="Y101" s="94">
        <f>IFERROR(__xludf.DUMMYFUNCTION("""COMPUTED_VALUE"""),82.0)</f>
        <v>82</v>
      </c>
      <c r="Z101" s="95">
        <f>IFERROR(__xludf.DUMMYFUNCTION("""COMPUTED_VALUE"""),1.0)</f>
        <v>1</v>
      </c>
      <c r="AA101" s="95">
        <f>IFERROR(__xludf.DUMMYFUNCTION("""COMPUTED_VALUE"""),1.0)</f>
        <v>1</v>
      </c>
      <c r="AB101" s="95">
        <f>IFERROR(__xludf.DUMMYFUNCTION("""COMPUTED_VALUE"""),1.0)</f>
        <v>1</v>
      </c>
    </row>
    <row r="102" ht="17.25" customHeight="1">
      <c r="O102" s="92" t="str">
        <f>IFERROR(__xludf.DUMMYFUNCTION("""COMPUTED_VALUE"""),"Trần Nhật Thương")</f>
        <v>Trần Nhật Thương</v>
      </c>
      <c r="P102" s="93" t="str">
        <f>IFERROR(__xludf.DUMMYFUNCTION("""COMPUTED_VALUE"""),"BC 21 Tây Sơn-Xã Phù Mỹ-Bình Định")</f>
        <v>BC 21 Tây Sơn-Xã Phù Mỹ-Bình Định</v>
      </c>
      <c r="Q102" s="94">
        <f>IFERROR(__xludf.DUMMYFUNCTION("""COMPUTED_VALUE"""),137.0)</f>
        <v>137</v>
      </c>
      <c r="R102" s="95">
        <f>IFERROR(__xludf.DUMMYFUNCTION("""COMPUTED_VALUE"""),1.0)</f>
        <v>1</v>
      </c>
      <c r="S102" s="95">
        <f>IFERROR(__xludf.DUMMYFUNCTION("""COMPUTED_VALUE"""),1.0)</f>
        <v>1</v>
      </c>
      <c r="T102" s="95">
        <f>IFERROR(__xludf.DUMMYFUNCTION("""COMPUTED_VALUE"""),1.0)</f>
        <v>1</v>
      </c>
      <c r="U102" s="94"/>
      <c r="V102" s="94"/>
      <c r="W102" s="94"/>
      <c r="X102" s="94"/>
      <c r="Y102" s="94">
        <f>IFERROR(__xludf.DUMMYFUNCTION("""COMPUTED_VALUE"""),137.0)</f>
        <v>137</v>
      </c>
      <c r="Z102" s="95">
        <f>IFERROR(__xludf.DUMMYFUNCTION("""COMPUTED_VALUE"""),1.0)</f>
        <v>1</v>
      </c>
      <c r="AA102" s="95">
        <f>IFERROR(__xludf.DUMMYFUNCTION("""COMPUTED_VALUE"""),1.0)</f>
        <v>1</v>
      </c>
      <c r="AB102" s="95">
        <f>IFERROR(__xludf.DUMMYFUNCTION("""COMPUTED_VALUE"""),1.0)</f>
        <v>1</v>
      </c>
    </row>
    <row r="103" ht="17.25" customHeight="1">
      <c r="O103" s="92" t="str">
        <f>IFERROR(__xludf.DUMMYFUNCTION("""COMPUTED_VALUE"""),"Nguyễn Thị Bảo Nhi")</f>
        <v>Nguyễn Thị Bảo Nhi</v>
      </c>
      <c r="P103" s="93" t="str">
        <f>IFERROR(__xludf.DUMMYFUNCTION("""COMPUTED_VALUE"""),"BC 245 Hùng Vương-Ea Súp-Đắk Lắk")</f>
        <v>BC 245 Hùng Vương-Ea Súp-Đắk Lắk</v>
      </c>
      <c r="Q103" s="94">
        <f>IFERROR(__xludf.DUMMYFUNCTION("""COMPUTED_VALUE"""),11.0)</f>
        <v>11</v>
      </c>
      <c r="R103" s="95">
        <f>IFERROR(__xludf.DUMMYFUNCTION("""COMPUTED_VALUE"""),1.0)</f>
        <v>1</v>
      </c>
      <c r="S103" s="95">
        <f>IFERROR(__xludf.DUMMYFUNCTION("""COMPUTED_VALUE"""),1.0)</f>
        <v>1</v>
      </c>
      <c r="T103" s="95">
        <f>IFERROR(__xludf.DUMMYFUNCTION("""COMPUTED_VALUE"""),0.7272727272727273)</f>
        <v>0.7272727273</v>
      </c>
      <c r="U103" s="94"/>
      <c r="V103" s="94"/>
      <c r="W103" s="94"/>
      <c r="X103" s="94"/>
      <c r="Y103" s="94">
        <f>IFERROR(__xludf.DUMMYFUNCTION("""COMPUTED_VALUE"""),11.0)</f>
        <v>11</v>
      </c>
      <c r="Z103" s="95">
        <f>IFERROR(__xludf.DUMMYFUNCTION("""COMPUTED_VALUE"""),1.0)</f>
        <v>1</v>
      </c>
      <c r="AA103" s="95">
        <f>IFERROR(__xludf.DUMMYFUNCTION("""COMPUTED_VALUE"""),1.0)</f>
        <v>1</v>
      </c>
      <c r="AB103" s="95">
        <f>IFERROR(__xludf.DUMMYFUNCTION("""COMPUTED_VALUE"""),0.7272727272727273)</f>
        <v>0.7272727273</v>
      </c>
    </row>
    <row r="104" ht="17.25" customHeight="1">
      <c r="O104" s="92" t="str">
        <f>IFERROR(__xludf.DUMMYFUNCTION("""COMPUTED_VALUE"""),"Phan Thanh Thức")</f>
        <v>Phan Thanh Thức</v>
      </c>
      <c r="P104" s="93" t="str">
        <f>IFERROR(__xludf.DUMMYFUNCTION("""COMPUTED_VALUE"""),"BC 263 Đống Đa-Quy Nhơn-Bình Định")</f>
        <v>BC 263 Đống Đa-Quy Nhơn-Bình Định</v>
      </c>
      <c r="Q104" s="94">
        <f>IFERROR(__xludf.DUMMYFUNCTION("""COMPUTED_VALUE"""),72.0)</f>
        <v>72</v>
      </c>
      <c r="R104" s="95">
        <f>IFERROR(__xludf.DUMMYFUNCTION("""COMPUTED_VALUE"""),1.0)</f>
        <v>1</v>
      </c>
      <c r="S104" s="95">
        <f>IFERROR(__xludf.DUMMYFUNCTION("""COMPUTED_VALUE"""),1.0)</f>
        <v>1</v>
      </c>
      <c r="T104" s="95">
        <f>IFERROR(__xludf.DUMMYFUNCTION("""COMPUTED_VALUE"""),1.0)</f>
        <v>1</v>
      </c>
      <c r="U104" s="94"/>
      <c r="V104" s="94"/>
      <c r="W104" s="94"/>
      <c r="X104" s="94"/>
      <c r="Y104" s="94">
        <f>IFERROR(__xludf.DUMMYFUNCTION("""COMPUTED_VALUE"""),72.0)</f>
        <v>72</v>
      </c>
      <c r="Z104" s="95">
        <f>IFERROR(__xludf.DUMMYFUNCTION("""COMPUTED_VALUE"""),1.0)</f>
        <v>1</v>
      </c>
      <c r="AA104" s="95">
        <f>IFERROR(__xludf.DUMMYFUNCTION("""COMPUTED_VALUE"""),1.0)</f>
        <v>1</v>
      </c>
      <c r="AB104" s="95">
        <f>IFERROR(__xludf.DUMMYFUNCTION("""COMPUTED_VALUE"""),1.0)</f>
        <v>1</v>
      </c>
    </row>
    <row r="105" ht="17.25" customHeight="1">
      <c r="A105" s="50"/>
      <c r="O105" s="92" t="str">
        <f>IFERROR(__xludf.DUMMYFUNCTION("""COMPUTED_VALUE"""),"Võ Thanh Diệu ")</f>
        <v>Võ Thanh Diệu </v>
      </c>
      <c r="P105" s="93" t="str">
        <f>IFERROR(__xludf.DUMMYFUNCTION("""COMPUTED_VALUE"""),"BC 269 Tây Sơn-Quy Nhơn-Bình Định")</f>
        <v>BC 269 Tây Sơn-Quy Nhơn-Bình Định</v>
      </c>
      <c r="Q105" s="94">
        <f>IFERROR(__xludf.DUMMYFUNCTION("""COMPUTED_VALUE"""),5.0)</f>
        <v>5</v>
      </c>
      <c r="R105" s="95">
        <f>IFERROR(__xludf.DUMMYFUNCTION("""COMPUTED_VALUE"""),1.0)</f>
        <v>1</v>
      </c>
      <c r="S105" s="95">
        <f>IFERROR(__xludf.DUMMYFUNCTION("""COMPUTED_VALUE"""),1.0)</f>
        <v>1</v>
      </c>
      <c r="T105" s="95">
        <f>IFERROR(__xludf.DUMMYFUNCTION("""COMPUTED_VALUE"""),1.0)</f>
        <v>1</v>
      </c>
      <c r="U105" s="94"/>
      <c r="V105" s="94"/>
      <c r="W105" s="94"/>
      <c r="X105" s="94"/>
      <c r="Y105" s="94">
        <f>IFERROR(__xludf.DUMMYFUNCTION("""COMPUTED_VALUE"""),5.0)</f>
        <v>5</v>
      </c>
      <c r="Z105" s="95">
        <f>IFERROR(__xludf.DUMMYFUNCTION("""COMPUTED_VALUE"""),1.0)</f>
        <v>1</v>
      </c>
      <c r="AA105" s="95">
        <f>IFERROR(__xludf.DUMMYFUNCTION("""COMPUTED_VALUE"""),1.0)</f>
        <v>1</v>
      </c>
      <c r="AB105" s="95">
        <f>IFERROR(__xludf.DUMMYFUNCTION("""COMPUTED_VALUE"""),1.0)</f>
        <v>1</v>
      </c>
    </row>
    <row r="106" ht="17.25" customHeight="1">
      <c r="A106" s="50"/>
      <c r="O106" s="92" t="str">
        <f>IFERROR(__xludf.DUMMYFUNCTION("""COMPUTED_VALUE"""),"Huỳnh Thị Mới ")</f>
        <v>Huỳnh Thị Mới </v>
      </c>
      <c r="P106" s="93" t="str">
        <f>IFERROR(__xludf.DUMMYFUNCTION("""COMPUTED_VALUE"""),"BC 274 Hùng Vương-Tuy Hòa-Phú Yên")</f>
        <v>BC 274 Hùng Vương-Tuy Hòa-Phú Yên</v>
      </c>
      <c r="Q106" s="94">
        <f>IFERROR(__xludf.DUMMYFUNCTION("""COMPUTED_VALUE"""),18.0)</f>
        <v>18</v>
      </c>
      <c r="R106" s="95">
        <f>IFERROR(__xludf.DUMMYFUNCTION("""COMPUTED_VALUE"""),1.0)</f>
        <v>1</v>
      </c>
      <c r="S106" s="95">
        <f>IFERROR(__xludf.DUMMYFUNCTION("""COMPUTED_VALUE"""),1.0)</f>
        <v>1</v>
      </c>
      <c r="T106" s="95">
        <f>IFERROR(__xludf.DUMMYFUNCTION("""COMPUTED_VALUE"""),1.0)</f>
        <v>1</v>
      </c>
      <c r="U106" s="94">
        <f>IFERROR(__xludf.DUMMYFUNCTION("""COMPUTED_VALUE"""),1.0)</f>
        <v>1</v>
      </c>
      <c r="V106" s="95">
        <f>IFERROR(__xludf.DUMMYFUNCTION("""COMPUTED_VALUE"""),1.0)</f>
        <v>1</v>
      </c>
      <c r="W106" s="95">
        <f>IFERROR(__xludf.DUMMYFUNCTION("""COMPUTED_VALUE"""),1.0)</f>
        <v>1</v>
      </c>
      <c r="X106" s="95">
        <f>IFERROR(__xludf.DUMMYFUNCTION("""COMPUTED_VALUE"""),1.0)</f>
        <v>1</v>
      </c>
      <c r="Y106" s="94">
        <f>IFERROR(__xludf.DUMMYFUNCTION("""COMPUTED_VALUE"""),19.0)</f>
        <v>19</v>
      </c>
      <c r="Z106" s="95">
        <f>IFERROR(__xludf.DUMMYFUNCTION("""COMPUTED_VALUE"""),1.0)</f>
        <v>1</v>
      </c>
      <c r="AA106" s="95">
        <f>IFERROR(__xludf.DUMMYFUNCTION("""COMPUTED_VALUE"""),1.0)</f>
        <v>1</v>
      </c>
      <c r="AB106" s="95">
        <f>IFERROR(__xludf.DUMMYFUNCTION("""COMPUTED_VALUE"""),1.0)</f>
        <v>1</v>
      </c>
    </row>
    <row r="107" ht="17.25" customHeight="1">
      <c r="A107" s="50"/>
      <c r="O107" s="92" t="str">
        <f>IFERROR(__xludf.DUMMYFUNCTION("""COMPUTED_VALUE"""),"Lê Văn Tài")</f>
        <v>Lê Văn Tài</v>
      </c>
      <c r="P107" s="93" t="str">
        <f>IFERROR(__xludf.DUMMYFUNCTION("""COMPUTED_VALUE"""),"BC 297 Hùng Vương-CưMgar-Đắk Lắk")</f>
        <v>BC 297 Hùng Vương-CưMgar-Đắk Lắk</v>
      </c>
      <c r="Q107" s="94">
        <f>IFERROR(__xludf.DUMMYFUNCTION("""COMPUTED_VALUE"""),5.0)</f>
        <v>5</v>
      </c>
      <c r="R107" s="95">
        <f>IFERROR(__xludf.DUMMYFUNCTION("""COMPUTED_VALUE"""),1.0)</f>
        <v>1</v>
      </c>
      <c r="S107" s="95">
        <f>IFERROR(__xludf.DUMMYFUNCTION("""COMPUTED_VALUE"""),1.0)</f>
        <v>1</v>
      </c>
      <c r="T107" s="95">
        <f>IFERROR(__xludf.DUMMYFUNCTION("""COMPUTED_VALUE"""),1.0)</f>
        <v>1</v>
      </c>
      <c r="U107" s="94"/>
      <c r="V107" s="94"/>
      <c r="W107" s="94"/>
      <c r="X107" s="94"/>
      <c r="Y107" s="94">
        <f>IFERROR(__xludf.DUMMYFUNCTION("""COMPUTED_VALUE"""),5.0)</f>
        <v>5</v>
      </c>
      <c r="Z107" s="95">
        <f>IFERROR(__xludf.DUMMYFUNCTION("""COMPUTED_VALUE"""),1.0)</f>
        <v>1</v>
      </c>
      <c r="AA107" s="95">
        <f>IFERROR(__xludf.DUMMYFUNCTION("""COMPUTED_VALUE"""),1.0)</f>
        <v>1</v>
      </c>
      <c r="AB107" s="95">
        <f>IFERROR(__xludf.DUMMYFUNCTION("""COMPUTED_VALUE"""),1.0)</f>
        <v>1</v>
      </c>
    </row>
    <row r="108" ht="17.25" customHeight="1">
      <c r="A108" s="50"/>
      <c r="O108" s="92" t="str">
        <f>IFERROR(__xludf.DUMMYFUNCTION("""COMPUTED_VALUE"""),"Nguyễn Văn Sáng")</f>
        <v>Nguyễn Văn Sáng</v>
      </c>
      <c r="P108" s="93" t="str">
        <f>IFERROR(__xludf.DUMMYFUNCTION("""COMPUTED_VALUE"""),"BC 34 Quang Trung-Eakar-Đắk Lắk")</f>
        <v>BC 34 Quang Trung-Eakar-Đắk Lắk</v>
      </c>
      <c r="Q108" s="94">
        <f>IFERROR(__xludf.DUMMYFUNCTION("""COMPUTED_VALUE"""),123.0)</f>
        <v>123</v>
      </c>
      <c r="R108" s="95">
        <f>IFERROR(__xludf.DUMMYFUNCTION("""COMPUTED_VALUE"""),1.0)</f>
        <v>1</v>
      </c>
      <c r="S108" s="95">
        <f>IFERROR(__xludf.DUMMYFUNCTION("""COMPUTED_VALUE"""),1.0)</f>
        <v>1</v>
      </c>
      <c r="T108" s="95">
        <f>IFERROR(__xludf.DUMMYFUNCTION("""COMPUTED_VALUE"""),1.0)</f>
        <v>1</v>
      </c>
      <c r="U108" s="94">
        <f>IFERROR(__xludf.DUMMYFUNCTION("""COMPUTED_VALUE"""),5.0)</f>
        <v>5</v>
      </c>
      <c r="V108" s="95">
        <f>IFERROR(__xludf.DUMMYFUNCTION("""COMPUTED_VALUE"""),1.0)</f>
        <v>1</v>
      </c>
      <c r="W108" s="95">
        <f>IFERROR(__xludf.DUMMYFUNCTION("""COMPUTED_VALUE"""),1.0)</f>
        <v>1</v>
      </c>
      <c r="X108" s="95">
        <f>IFERROR(__xludf.DUMMYFUNCTION("""COMPUTED_VALUE"""),1.0)</f>
        <v>1</v>
      </c>
      <c r="Y108" s="94">
        <f>IFERROR(__xludf.DUMMYFUNCTION("""COMPUTED_VALUE"""),128.0)</f>
        <v>128</v>
      </c>
      <c r="Z108" s="95">
        <f>IFERROR(__xludf.DUMMYFUNCTION("""COMPUTED_VALUE"""),1.0)</f>
        <v>1</v>
      </c>
      <c r="AA108" s="95">
        <f>IFERROR(__xludf.DUMMYFUNCTION("""COMPUTED_VALUE"""),1.0)</f>
        <v>1</v>
      </c>
      <c r="AB108" s="95">
        <f>IFERROR(__xludf.DUMMYFUNCTION("""COMPUTED_VALUE"""),1.0)</f>
        <v>1</v>
      </c>
    </row>
    <row r="109" ht="17.25" customHeight="1">
      <c r="A109" s="50"/>
      <c r="O109" s="92" t="str">
        <f>IFERROR(__xludf.DUMMYFUNCTION("""COMPUTED_VALUE"""),"Ngô  Thị Bích Trâm ")</f>
        <v>Ngô  Thị Bích Trâm </v>
      </c>
      <c r="P109" s="93" t="str">
        <f>IFERROR(__xludf.DUMMYFUNCTION("""COMPUTED_VALUE"""),"BC 499 Phạm Văn Đồng-Pleiku-Gia Lai")</f>
        <v>BC 499 Phạm Văn Đồng-Pleiku-Gia Lai</v>
      </c>
      <c r="Q109" s="94">
        <f>IFERROR(__xludf.DUMMYFUNCTION("""COMPUTED_VALUE"""),16.0)</f>
        <v>16</v>
      </c>
      <c r="R109" s="95">
        <f>IFERROR(__xludf.DUMMYFUNCTION("""COMPUTED_VALUE"""),1.0)</f>
        <v>1</v>
      </c>
      <c r="S109" s="95">
        <f>IFERROR(__xludf.DUMMYFUNCTION("""COMPUTED_VALUE"""),1.0)</f>
        <v>1</v>
      </c>
      <c r="T109" s="95">
        <f>IFERROR(__xludf.DUMMYFUNCTION("""COMPUTED_VALUE"""),0.8125)</f>
        <v>0.8125</v>
      </c>
      <c r="U109" s="94">
        <f>IFERROR(__xludf.DUMMYFUNCTION("""COMPUTED_VALUE"""),5.0)</f>
        <v>5</v>
      </c>
      <c r="V109" s="95">
        <f>IFERROR(__xludf.DUMMYFUNCTION("""COMPUTED_VALUE"""),1.0)</f>
        <v>1</v>
      </c>
      <c r="W109" s="95">
        <f>IFERROR(__xludf.DUMMYFUNCTION("""COMPUTED_VALUE"""),1.0)</f>
        <v>1</v>
      </c>
      <c r="X109" s="95">
        <f>IFERROR(__xludf.DUMMYFUNCTION("""COMPUTED_VALUE"""),0.6)</f>
        <v>0.6</v>
      </c>
      <c r="Y109" s="94">
        <f>IFERROR(__xludf.DUMMYFUNCTION("""COMPUTED_VALUE"""),21.0)</f>
        <v>21</v>
      </c>
      <c r="Z109" s="95">
        <f>IFERROR(__xludf.DUMMYFUNCTION("""COMPUTED_VALUE"""),1.0)</f>
        <v>1</v>
      </c>
      <c r="AA109" s="95">
        <f>IFERROR(__xludf.DUMMYFUNCTION("""COMPUTED_VALUE"""),1.0)</f>
        <v>1</v>
      </c>
      <c r="AB109" s="95">
        <f>IFERROR(__xludf.DUMMYFUNCTION("""COMPUTED_VALUE"""),0.7619047619047619)</f>
        <v>0.7619047619</v>
      </c>
    </row>
    <row r="110" ht="17.25" customHeight="1">
      <c r="A110" s="50"/>
      <c r="O110" s="92" t="str">
        <f>IFERROR(__xludf.DUMMYFUNCTION("""COMPUTED_VALUE"""),"Nguyễn Công Luận")</f>
        <v>Nguyễn Công Luận</v>
      </c>
      <c r="P110" s="93" t="str">
        <f>IFERROR(__xludf.DUMMYFUNCTION("""COMPUTED_VALUE"""),"BC 56 Đường 17 Tháng 3-Chư Sê-Gia Lai")</f>
        <v>BC 56 Đường 17 Tháng 3-Chư Sê-Gia Lai</v>
      </c>
      <c r="Q110" s="94">
        <f>IFERROR(__xludf.DUMMYFUNCTION("""COMPUTED_VALUE"""),5.0)</f>
        <v>5</v>
      </c>
      <c r="R110" s="95">
        <f>IFERROR(__xludf.DUMMYFUNCTION("""COMPUTED_VALUE"""),1.0)</f>
        <v>1</v>
      </c>
      <c r="S110" s="95">
        <f>IFERROR(__xludf.DUMMYFUNCTION("""COMPUTED_VALUE"""),1.0)</f>
        <v>1</v>
      </c>
      <c r="T110" s="95">
        <f>IFERROR(__xludf.DUMMYFUNCTION("""COMPUTED_VALUE"""),1.0)</f>
        <v>1</v>
      </c>
      <c r="U110" s="94"/>
      <c r="V110" s="94"/>
      <c r="W110" s="94"/>
      <c r="X110" s="94"/>
      <c r="Y110" s="94">
        <f>IFERROR(__xludf.DUMMYFUNCTION("""COMPUTED_VALUE"""),5.0)</f>
        <v>5</v>
      </c>
      <c r="Z110" s="95">
        <f>IFERROR(__xludf.DUMMYFUNCTION("""COMPUTED_VALUE"""),1.0)</f>
        <v>1</v>
      </c>
      <c r="AA110" s="95">
        <f>IFERROR(__xludf.DUMMYFUNCTION("""COMPUTED_VALUE"""),1.0)</f>
        <v>1</v>
      </c>
      <c r="AB110" s="95">
        <f>IFERROR(__xludf.DUMMYFUNCTION("""COMPUTED_VALUE"""),1.0)</f>
        <v>1</v>
      </c>
    </row>
    <row r="111" ht="17.25" customHeight="1">
      <c r="A111" s="50"/>
      <c r="O111" s="92" t="str">
        <f>IFERROR(__xludf.DUMMYFUNCTION("""COMPUTED_VALUE"""),"Phan Thị Mỹ Chi")</f>
        <v>Phan Thị Mỹ Chi</v>
      </c>
      <c r="P111" s="93" t="str">
        <f>IFERROR(__xludf.DUMMYFUNCTION("""COMPUTED_VALUE"""),"BC 569 Trường Chinh-Pleiku-Gia Lai")</f>
        <v>BC 569 Trường Chinh-Pleiku-Gia Lai</v>
      </c>
      <c r="Q111" s="94">
        <f>IFERROR(__xludf.DUMMYFUNCTION("""COMPUTED_VALUE"""),48.0)</f>
        <v>48</v>
      </c>
      <c r="R111" s="95">
        <f>IFERROR(__xludf.DUMMYFUNCTION("""COMPUTED_VALUE"""),1.0)</f>
        <v>1</v>
      </c>
      <c r="S111" s="95">
        <f>IFERROR(__xludf.DUMMYFUNCTION("""COMPUTED_VALUE"""),1.0)</f>
        <v>1</v>
      </c>
      <c r="T111" s="95">
        <f>IFERROR(__xludf.DUMMYFUNCTION("""COMPUTED_VALUE"""),1.0)</f>
        <v>1</v>
      </c>
      <c r="U111" s="94">
        <f>IFERROR(__xludf.DUMMYFUNCTION("""COMPUTED_VALUE"""),3.0)</f>
        <v>3</v>
      </c>
      <c r="V111" s="95">
        <f>IFERROR(__xludf.DUMMYFUNCTION("""COMPUTED_VALUE"""),1.0)</f>
        <v>1</v>
      </c>
      <c r="W111" s="95">
        <f>IFERROR(__xludf.DUMMYFUNCTION("""COMPUTED_VALUE"""),1.0)</f>
        <v>1</v>
      </c>
      <c r="X111" s="95">
        <f>IFERROR(__xludf.DUMMYFUNCTION("""COMPUTED_VALUE"""),1.0)</f>
        <v>1</v>
      </c>
      <c r="Y111" s="94">
        <f>IFERROR(__xludf.DUMMYFUNCTION("""COMPUTED_VALUE"""),51.0)</f>
        <v>51</v>
      </c>
      <c r="Z111" s="95">
        <f>IFERROR(__xludf.DUMMYFUNCTION("""COMPUTED_VALUE"""),1.0)</f>
        <v>1</v>
      </c>
      <c r="AA111" s="95">
        <f>IFERROR(__xludf.DUMMYFUNCTION("""COMPUTED_VALUE"""),1.0)</f>
        <v>1</v>
      </c>
      <c r="AB111" s="95">
        <f>IFERROR(__xludf.DUMMYFUNCTION("""COMPUTED_VALUE"""),1.0)</f>
        <v>1</v>
      </c>
    </row>
    <row r="112" ht="17.25" customHeight="1">
      <c r="A112" s="50"/>
      <c r="O112" s="92" t="str">
        <f>IFERROR(__xludf.DUMMYFUNCTION("""COMPUTED_VALUE"""),"Mai Đức Hoàng Long")</f>
        <v>Mai Đức Hoàng Long</v>
      </c>
      <c r="P112" s="93" t="str">
        <f>IFERROR(__xludf.DUMMYFUNCTION("""COMPUTED_VALUE"""),"BC 64 Hùng Vương-Thị Trấn Krông Năng-Đắk Lắk")</f>
        <v>BC 64 Hùng Vương-Thị Trấn Krông Năng-Đắk Lắk</v>
      </c>
      <c r="Q112" s="94">
        <f>IFERROR(__xludf.DUMMYFUNCTION("""COMPUTED_VALUE"""),51.0)</f>
        <v>51</v>
      </c>
      <c r="R112" s="95">
        <f>IFERROR(__xludf.DUMMYFUNCTION("""COMPUTED_VALUE"""),1.0)</f>
        <v>1</v>
      </c>
      <c r="S112" s="95">
        <f>IFERROR(__xludf.DUMMYFUNCTION("""COMPUTED_VALUE"""),1.0)</f>
        <v>1</v>
      </c>
      <c r="T112" s="95">
        <f>IFERROR(__xludf.DUMMYFUNCTION("""COMPUTED_VALUE"""),1.0)</f>
        <v>1</v>
      </c>
      <c r="U112" s="94">
        <f>IFERROR(__xludf.DUMMYFUNCTION("""COMPUTED_VALUE"""),1.0)</f>
        <v>1</v>
      </c>
      <c r="V112" s="95">
        <f>IFERROR(__xludf.DUMMYFUNCTION("""COMPUTED_VALUE"""),1.0)</f>
        <v>1</v>
      </c>
      <c r="W112" s="95">
        <f>IFERROR(__xludf.DUMMYFUNCTION("""COMPUTED_VALUE"""),1.0)</f>
        <v>1</v>
      </c>
      <c r="X112" s="95">
        <f>IFERROR(__xludf.DUMMYFUNCTION("""COMPUTED_VALUE"""),1.0)</f>
        <v>1</v>
      </c>
      <c r="Y112" s="94">
        <f>IFERROR(__xludf.DUMMYFUNCTION("""COMPUTED_VALUE"""),52.0)</f>
        <v>52</v>
      </c>
      <c r="Z112" s="95">
        <f>IFERROR(__xludf.DUMMYFUNCTION("""COMPUTED_VALUE"""),1.0)</f>
        <v>1</v>
      </c>
      <c r="AA112" s="95">
        <f>IFERROR(__xludf.DUMMYFUNCTION("""COMPUTED_VALUE"""),1.0)</f>
        <v>1</v>
      </c>
      <c r="AB112" s="95">
        <f>IFERROR(__xludf.DUMMYFUNCTION("""COMPUTED_VALUE"""),1.0)</f>
        <v>1</v>
      </c>
    </row>
    <row r="113" ht="17.25" customHeight="1">
      <c r="A113" s="50"/>
      <c r="O113" s="92" t="str">
        <f>IFERROR(__xludf.DUMMYFUNCTION("""COMPUTED_VALUE"""),"Nguyễn Thị Bảo Nhi")</f>
        <v>Nguyễn Thị Bảo Nhi</v>
      </c>
      <c r="P113" s="93" t="str">
        <f>IFERROR(__xludf.DUMMYFUNCTION("""COMPUTED_VALUE"""),"BC 70 Đường 30/4-Ea Tam-Buôn Ma Thuột-Đắk Lắk ")</f>
        <v>BC 70 Đường 30/4-Ea Tam-Buôn Ma Thuột-Đắk Lắk </v>
      </c>
      <c r="Q113" s="94">
        <f>IFERROR(__xludf.DUMMYFUNCTION("""COMPUTED_VALUE"""),9.0)</f>
        <v>9</v>
      </c>
      <c r="R113" s="95">
        <f>IFERROR(__xludf.DUMMYFUNCTION("""COMPUTED_VALUE"""),1.0)</f>
        <v>1</v>
      </c>
      <c r="S113" s="95">
        <f>IFERROR(__xludf.DUMMYFUNCTION("""COMPUTED_VALUE"""),1.0)</f>
        <v>1</v>
      </c>
      <c r="T113" s="95">
        <f>IFERROR(__xludf.DUMMYFUNCTION("""COMPUTED_VALUE"""),1.0)</f>
        <v>1</v>
      </c>
      <c r="U113" s="94">
        <f>IFERROR(__xludf.DUMMYFUNCTION("""COMPUTED_VALUE"""),1.0)</f>
        <v>1</v>
      </c>
      <c r="V113" s="95">
        <f>IFERROR(__xludf.DUMMYFUNCTION("""COMPUTED_VALUE"""),1.0)</f>
        <v>1</v>
      </c>
      <c r="W113" s="95">
        <f>IFERROR(__xludf.DUMMYFUNCTION("""COMPUTED_VALUE"""),1.0)</f>
        <v>1</v>
      </c>
      <c r="X113" s="95">
        <f>IFERROR(__xludf.DUMMYFUNCTION("""COMPUTED_VALUE"""),1.0)</f>
        <v>1</v>
      </c>
      <c r="Y113" s="94">
        <f>IFERROR(__xludf.DUMMYFUNCTION("""COMPUTED_VALUE"""),10.0)</f>
        <v>10</v>
      </c>
      <c r="Z113" s="95">
        <f>IFERROR(__xludf.DUMMYFUNCTION("""COMPUTED_VALUE"""),1.0)</f>
        <v>1</v>
      </c>
      <c r="AA113" s="95">
        <f>IFERROR(__xludf.DUMMYFUNCTION("""COMPUTED_VALUE"""),1.0)</f>
        <v>1</v>
      </c>
      <c r="AB113" s="95">
        <f>IFERROR(__xludf.DUMMYFUNCTION("""COMPUTED_VALUE"""),1.0)</f>
        <v>1</v>
      </c>
    </row>
    <row r="114" ht="17.25" customHeight="1">
      <c r="A114" s="50"/>
      <c r="O114" s="92" t="str">
        <f>IFERROR(__xludf.DUMMYFUNCTION("""COMPUTED_VALUE"""),"Lê Trọng Khiêm")</f>
        <v>Lê Trọng Khiêm</v>
      </c>
      <c r="P114" s="93" t="str">
        <f>IFERROR(__xludf.DUMMYFUNCTION("""COMPUTED_VALUE"""),"BC 71 Quốc Lộ 1A-Xã Tuy An Bắc-Phú Yên")</f>
        <v>BC 71 Quốc Lộ 1A-Xã Tuy An Bắc-Phú Yên</v>
      </c>
      <c r="Q114" s="94">
        <f>IFERROR(__xludf.DUMMYFUNCTION("""COMPUTED_VALUE"""),2.0)</f>
        <v>2</v>
      </c>
      <c r="R114" s="95">
        <f>IFERROR(__xludf.DUMMYFUNCTION("""COMPUTED_VALUE"""),1.0)</f>
        <v>1</v>
      </c>
      <c r="S114" s="95">
        <f>IFERROR(__xludf.DUMMYFUNCTION("""COMPUTED_VALUE"""),1.0)</f>
        <v>1</v>
      </c>
      <c r="T114" s="95">
        <f>IFERROR(__xludf.DUMMYFUNCTION("""COMPUTED_VALUE"""),1.0)</f>
        <v>1</v>
      </c>
      <c r="U114" s="94"/>
      <c r="V114" s="94"/>
      <c r="W114" s="94"/>
      <c r="X114" s="94"/>
      <c r="Y114" s="94">
        <f>IFERROR(__xludf.DUMMYFUNCTION("""COMPUTED_VALUE"""),2.0)</f>
        <v>2</v>
      </c>
      <c r="Z114" s="95">
        <f>IFERROR(__xludf.DUMMYFUNCTION("""COMPUTED_VALUE"""),1.0)</f>
        <v>1</v>
      </c>
      <c r="AA114" s="95">
        <f>IFERROR(__xludf.DUMMYFUNCTION("""COMPUTED_VALUE"""),1.0)</f>
        <v>1</v>
      </c>
      <c r="AB114" s="95">
        <f>IFERROR(__xludf.DUMMYFUNCTION("""COMPUTED_VALUE"""),1.0)</f>
        <v>1</v>
      </c>
    </row>
    <row r="115" ht="17.25" customHeight="1">
      <c r="A115" s="50"/>
      <c r="O115" s="92" t="str">
        <f>IFERROR(__xludf.DUMMYFUNCTION("""COMPUTED_VALUE"""),"Phan Thanh Thức")</f>
        <v>Phan Thanh Thức</v>
      </c>
      <c r="P115" s="93" t="str">
        <f>IFERROR(__xludf.DUMMYFUNCTION("""COMPUTED_VALUE"""),"BC 767 Hùng Vương-Quy Nhơn-Bình Định")</f>
        <v>BC 767 Hùng Vương-Quy Nhơn-Bình Định</v>
      </c>
      <c r="Q115" s="94">
        <f>IFERROR(__xludf.DUMMYFUNCTION("""COMPUTED_VALUE"""),49.0)</f>
        <v>49</v>
      </c>
      <c r="R115" s="95">
        <f>IFERROR(__xludf.DUMMYFUNCTION("""COMPUTED_VALUE"""),1.0)</f>
        <v>1</v>
      </c>
      <c r="S115" s="95">
        <f>IFERROR(__xludf.DUMMYFUNCTION("""COMPUTED_VALUE"""),1.0)</f>
        <v>1</v>
      </c>
      <c r="T115" s="95">
        <f>IFERROR(__xludf.DUMMYFUNCTION("""COMPUTED_VALUE"""),1.0)</f>
        <v>1</v>
      </c>
      <c r="U115" s="94"/>
      <c r="V115" s="94"/>
      <c r="W115" s="94"/>
      <c r="X115" s="94"/>
      <c r="Y115" s="94">
        <f>IFERROR(__xludf.DUMMYFUNCTION("""COMPUTED_VALUE"""),49.0)</f>
        <v>49</v>
      </c>
      <c r="Z115" s="95">
        <f>IFERROR(__xludf.DUMMYFUNCTION("""COMPUTED_VALUE"""),1.0)</f>
        <v>1</v>
      </c>
      <c r="AA115" s="95">
        <f>IFERROR(__xludf.DUMMYFUNCTION("""COMPUTED_VALUE"""),1.0)</f>
        <v>1</v>
      </c>
      <c r="AB115" s="95">
        <f>IFERROR(__xludf.DUMMYFUNCTION("""COMPUTED_VALUE"""),1.0)</f>
        <v>1</v>
      </c>
    </row>
    <row r="116" ht="17.25" customHeight="1">
      <c r="A116" s="50"/>
      <c r="O116" s="92" t="str">
        <f>IFERROR(__xludf.DUMMYFUNCTION("""COMPUTED_VALUE"""),"Trần Nhật Thương")</f>
        <v>Trần Nhật Thương</v>
      </c>
      <c r="P116" s="93" t="str">
        <f>IFERROR(__xludf.DUMMYFUNCTION("""COMPUTED_VALUE"""),"BC 838 Quang Trung-Phường Hoài Nhơn Tây-Bình Định")</f>
        <v>BC 838 Quang Trung-Phường Hoài Nhơn Tây-Bình Định</v>
      </c>
      <c r="Q116" s="94">
        <f>IFERROR(__xludf.DUMMYFUNCTION("""COMPUTED_VALUE"""),35.0)</f>
        <v>35</v>
      </c>
      <c r="R116" s="95">
        <f>IFERROR(__xludf.DUMMYFUNCTION("""COMPUTED_VALUE"""),1.0)</f>
        <v>1</v>
      </c>
      <c r="S116" s="95">
        <f>IFERROR(__xludf.DUMMYFUNCTION("""COMPUTED_VALUE"""),1.0)</f>
        <v>1</v>
      </c>
      <c r="T116" s="95">
        <f>IFERROR(__xludf.DUMMYFUNCTION("""COMPUTED_VALUE"""),1.0)</f>
        <v>1</v>
      </c>
      <c r="U116" s="94"/>
      <c r="V116" s="94"/>
      <c r="W116" s="94"/>
      <c r="X116" s="94"/>
      <c r="Y116" s="94">
        <f>IFERROR(__xludf.DUMMYFUNCTION("""COMPUTED_VALUE"""),35.0)</f>
        <v>35</v>
      </c>
      <c r="Z116" s="95">
        <f>IFERROR(__xludf.DUMMYFUNCTION("""COMPUTED_VALUE"""),1.0)</f>
        <v>1</v>
      </c>
      <c r="AA116" s="95">
        <f>IFERROR(__xludf.DUMMYFUNCTION("""COMPUTED_VALUE"""),1.0)</f>
        <v>1</v>
      </c>
      <c r="AB116" s="95">
        <f>IFERROR(__xludf.DUMMYFUNCTION("""COMPUTED_VALUE"""),1.0)</f>
        <v>1</v>
      </c>
    </row>
    <row r="117" ht="17.25" customHeight="1">
      <c r="A117" s="50"/>
      <c r="O117" s="92" t="str">
        <f>IFERROR(__xludf.DUMMYFUNCTION("""COMPUTED_VALUE"""),"Lê Văn Tài")</f>
        <v>Lê Văn Tài</v>
      </c>
      <c r="P117" s="93" t="str">
        <f>IFERROR(__xludf.DUMMYFUNCTION("""COMPUTED_VALUE"""),"BC 941 Giải Phóng-Ea Đrăng-Ea H'Leo-Đắk Lắk")</f>
        <v>BC 941 Giải Phóng-Ea Đrăng-Ea H'Leo-Đắk Lắk</v>
      </c>
      <c r="Q117" s="94">
        <f>IFERROR(__xludf.DUMMYFUNCTION("""COMPUTED_VALUE"""),30.0)</f>
        <v>30</v>
      </c>
      <c r="R117" s="95">
        <f>IFERROR(__xludf.DUMMYFUNCTION("""COMPUTED_VALUE"""),1.0)</f>
        <v>1</v>
      </c>
      <c r="S117" s="95">
        <f>IFERROR(__xludf.DUMMYFUNCTION("""COMPUTED_VALUE"""),1.0)</f>
        <v>1</v>
      </c>
      <c r="T117" s="95">
        <f>IFERROR(__xludf.DUMMYFUNCTION("""COMPUTED_VALUE"""),1.0)</f>
        <v>1</v>
      </c>
      <c r="U117" s="94">
        <f>IFERROR(__xludf.DUMMYFUNCTION("""COMPUTED_VALUE"""),1.0)</f>
        <v>1</v>
      </c>
      <c r="V117" s="95">
        <f>IFERROR(__xludf.DUMMYFUNCTION("""COMPUTED_VALUE"""),1.0)</f>
        <v>1</v>
      </c>
      <c r="W117" s="95">
        <f>IFERROR(__xludf.DUMMYFUNCTION("""COMPUTED_VALUE"""),1.0)</f>
        <v>1</v>
      </c>
      <c r="X117" s="95">
        <f>IFERROR(__xludf.DUMMYFUNCTION("""COMPUTED_VALUE"""),1.0)</f>
        <v>1</v>
      </c>
      <c r="Y117" s="94">
        <f>IFERROR(__xludf.DUMMYFUNCTION("""COMPUTED_VALUE"""),31.0)</f>
        <v>31</v>
      </c>
      <c r="Z117" s="95">
        <f>IFERROR(__xludf.DUMMYFUNCTION("""COMPUTED_VALUE"""),1.0)</f>
        <v>1</v>
      </c>
      <c r="AA117" s="95">
        <f>IFERROR(__xludf.DUMMYFUNCTION("""COMPUTED_VALUE"""),1.0)</f>
        <v>1</v>
      </c>
      <c r="AB117" s="95">
        <f>IFERROR(__xludf.DUMMYFUNCTION("""COMPUTED_VALUE"""),1.0)</f>
        <v>1</v>
      </c>
    </row>
    <row r="118" ht="17.25" customHeight="1">
      <c r="A118" s="50"/>
      <c r="O118" s="92" t="str">
        <f>IFERROR(__xludf.DUMMYFUNCTION("""COMPUTED_VALUE"""),"Lê Trọng Khiêm")</f>
        <v>Lê Trọng Khiêm</v>
      </c>
      <c r="P118" s="93" t="str">
        <f>IFERROR(__xludf.DUMMYFUNCTION("""COMPUTED_VALUE"""),"BC DT644-Sông Cầu-Phú Yên")</f>
        <v>BC DT644-Sông Cầu-Phú Yên</v>
      </c>
      <c r="Q118" s="94">
        <f>IFERROR(__xludf.DUMMYFUNCTION("""COMPUTED_VALUE"""),26.0)</f>
        <v>26</v>
      </c>
      <c r="R118" s="95">
        <f>IFERROR(__xludf.DUMMYFUNCTION("""COMPUTED_VALUE"""),1.0)</f>
        <v>1</v>
      </c>
      <c r="S118" s="95">
        <f>IFERROR(__xludf.DUMMYFUNCTION("""COMPUTED_VALUE"""),1.0)</f>
        <v>1</v>
      </c>
      <c r="T118" s="95">
        <f>IFERROR(__xludf.DUMMYFUNCTION("""COMPUTED_VALUE"""),1.0)</f>
        <v>1</v>
      </c>
      <c r="U118" s="94"/>
      <c r="V118" s="94"/>
      <c r="W118" s="94"/>
      <c r="X118" s="94"/>
      <c r="Y118" s="94">
        <f>IFERROR(__xludf.DUMMYFUNCTION("""COMPUTED_VALUE"""),26.0)</f>
        <v>26</v>
      </c>
      <c r="Z118" s="95">
        <f>IFERROR(__xludf.DUMMYFUNCTION("""COMPUTED_VALUE"""),1.0)</f>
        <v>1</v>
      </c>
      <c r="AA118" s="95">
        <f>IFERROR(__xludf.DUMMYFUNCTION("""COMPUTED_VALUE"""),1.0)</f>
        <v>1</v>
      </c>
      <c r="AB118" s="95">
        <f>IFERROR(__xludf.DUMMYFUNCTION("""COMPUTED_VALUE"""),1.0)</f>
        <v>1</v>
      </c>
    </row>
    <row r="119" ht="17.25" customHeight="1">
      <c r="A119" s="50"/>
      <c r="O119" s="92" t="str">
        <f>IFERROR(__xludf.DUMMYFUNCTION("""COMPUTED_VALUE"""),"Võ Thanh Diệu ")</f>
        <v>Võ Thanh Diệu </v>
      </c>
      <c r="P119" s="93" t="str">
        <f>IFERROR(__xludf.DUMMYFUNCTION("""COMPUTED_VALUE"""),"BC Đường 3 Tháng 2-Xã Phù Cát-Bình Định")</f>
        <v>BC Đường 3 Tháng 2-Xã Phù Cát-Bình Định</v>
      </c>
      <c r="Q119" s="94">
        <f>IFERROR(__xludf.DUMMYFUNCTION("""COMPUTED_VALUE"""),167.0)</f>
        <v>167</v>
      </c>
      <c r="R119" s="95">
        <f>IFERROR(__xludf.DUMMYFUNCTION("""COMPUTED_VALUE"""),1.0)</f>
        <v>1</v>
      </c>
      <c r="S119" s="95">
        <f>IFERROR(__xludf.DUMMYFUNCTION("""COMPUTED_VALUE"""),1.0)</f>
        <v>1</v>
      </c>
      <c r="T119" s="95">
        <f>IFERROR(__xludf.DUMMYFUNCTION("""COMPUTED_VALUE"""),1.0)</f>
        <v>1</v>
      </c>
      <c r="U119" s="94">
        <f>IFERROR(__xludf.DUMMYFUNCTION("""COMPUTED_VALUE"""),2.0)</f>
        <v>2</v>
      </c>
      <c r="V119" s="95">
        <f>IFERROR(__xludf.DUMMYFUNCTION("""COMPUTED_VALUE"""),1.0)</f>
        <v>1</v>
      </c>
      <c r="W119" s="95">
        <f>IFERROR(__xludf.DUMMYFUNCTION("""COMPUTED_VALUE"""),1.0)</f>
        <v>1</v>
      </c>
      <c r="X119" s="95">
        <f>IFERROR(__xludf.DUMMYFUNCTION("""COMPUTED_VALUE"""),1.0)</f>
        <v>1</v>
      </c>
      <c r="Y119" s="94">
        <f>IFERROR(__xludf.DUMMYFUNCTION("""COMPUTED_VALUE"""),169.0)</f>
        <v>169</v>
      </c>
      <c r="Z119" s="95">
        <f>IFERROR(__xludf.DUMMYFUNCTION("""COMPUTED_VALUE"""),1.0)</f>
        <v>1</v>
      </c>
      <c r="AA119" s="95">
        <f>IFERROR(__xludf.DUMMYFUNCTION("""COMPUTED_VALUE"""),1.0)</f>
        <v>1</v>
      </c>
      <c r="AB119" s="95">
        <f>IFERROR(__xludf.DUMMYFUNCTION("""COMPUTED_VALUE"""),1.0)</f>
        <v>1</v>
      </c>
    </row>
    <row r="120" ht="17.25" customHeight="1">
      <c r="A120" s="50"/>
      <c r="O120" s="92" t="str">
        <f>IFERROR(__xludf.DUMMYFUNCTION("""COMPUTED_VALUE"""),"Nguyễn Văn Sáng")</f>
        <v>Nguyễn Văn Sáng</v>
      </c>
      <c r="P120" s="93" t="str">
        <f>IFERROR(__xludf.DUMMYFUNCTION("""COMPUTED_VALUE"""),"BC Ea Phê-Krông Pắk-Đắk Lắk")</f>
        <v>BC Ea Phê-Krông Pắk-Đắk Lắk</v>
      </c>
      <c r="Q120" s="94">
        <f>IFERROR(__xludf.DUMMYFUNCTION("""COMPUTED_VALUE"""),2.0)</f>
        <v>2</v>
      </c>
      <c r="R120" s="95">
        <f>IFERROR(__xludf.DUMMYFUNCTION("""COMPUTED_VALUE"""),1.0)</f>
        <v>1</v>
      </c>
      <c r="S120" s="95">
        <f>IFERROR(__xludf.DUMMYFUNCTION("""COMPUTED_VALUE"""),1.0)</f>
        <v>1</v>
      </c>
      <c r="T120" s="95">
        <f>IFERROR(__xludf.DUMMYFUNCTION("""COMPUTED_VALUE"""),1.0)</f>
        <v>1</v>
      </c>
      <c r="U120" s="94"/>
      <c r="V120" s="94"/>
      <c r="W120" s="94"/>
      <c r="X120" s="94"/>
      <c r="Y120" s="94">
        <f>IFERROR(__xludf.DUMMYFUNCTION("""COMPUTED_VALUE"""),2.0)</f>
        <v>2</v>
      </c>
      <c r="Z120" s="95">
        <f>IFERROR(__xludf.DUMMYFUNCTION("""COMPUTED_VALUE"""),1.0)</f>
        <v>1</v>
      </c>
      <c r="AA120" s="95">
        <f>IFERROR(__xludf.DUMMYFUNCTION("""COMPUTED_VALUE"""),1.0)</f>
        <v>1</v>
      </c>
      <c r="AB120" s="95">
        <f>IFERROR(__xludf.DUMMYFUNCTION("""COMPUTED_VALUE"""),1.0)</f>
        <v>1</v>
      </c>
    </row>
    <row r="121" ht="17.25" customHeight="1">
      <c r="A121" s="50"/>
      <c r="O121" s="92" t="str">
        <f>IFERROR(__xludf.DUMMYFUNCTION("""COMPUTED_VALUE"""),"Trần Nhật Thương")</f>
        <v>Trần Nhật Thương</v>
      </c>
      <c r="P121" s="93" t="str">
        <f>IFERROR(__xludf.DUMMYFUNCTION("""COMPUTED_VALUE"""),"BC Hoài Nhơn-Bình Định")</f>
        <v>BC Hoài Nhơn-Bình Định</v>
      </c>
      <c r="Q121" s="94">
        <f>IFERROR(__xludf.DUMMYFUNCTION("""COMPUTED_VALUE"""),52.0)</f>
        <v>52</v>
      </c>
      <c r="R121" s="95">
        <f>IFERROR(__xludf.DUMMYFUNCTION("""COMPUTED_VALUE"""),1.0)</f>
        <v>1</v>
      </c>
      <c r="S121" s="95">
        <f>IFERROR(__xludf.DUMMYFUNCTION("""COMPUTED_VALUE"""),1.0)</f>
        <v>1</v>
      </c>
      <c r="T121" s="95">
        <f>IFERROR(__xludf.DUMMYFUNCTION("""COMPUTED_VALUE"""),1.0)</f>
        <v>1</v>
      </c>
      <c r="U121" s="94"/>
      <c r="V121" s="94"/>
      <c r="W121" s="94"/>
      <c r="X121" s="94"/>
      <c r="Y121" s="94">
        <f>IFERROR(__xludf.DUMMYFUNCTION("""COMPUTED_VALUE"""),52.0)</f>
        <v>52</v>
      </c>
      <c r="Z121" s="95">
        <f>IFERROR(__xludf.DUMMYFUNCTION("""COMPUTED_VALUE"""),1.0)</f>
        <v>1</v>
      </c>
      <c r="AA121" s="95">
        <f>IFERROR(__xludf.DUMMYFUNCTION("""COMPUTED_VALUE"""),1.0)</f>
        <v>1</v>
      </c>
      <c r="AB121" s="95">
        <f>IFERROR(__xludf.DUMMYFUNCTION("""COMPUTED_VALUE"""),1.0)</f>
        <v>1</v>
      </c>
    </row>
    <row r="122" ht="17.25" customHeight="1">
      <c r="A122" s="50"/>
      <c r="O122" s="92" t="str">
        <f>IFERROR(__xludf.DUMMYFUNCTION("""COMPUTED_VALUE"""),"Nguyễn  Hoàng Anh ")</f>
        <v>Nguyễn  Hoàng Anh </v>
      </c>
      <c r="P122" s="93" t="str">
        <f>IFERROR(__xludf.DUMMYFUNCTION("""COMPUTED_VALUE"""),"BC Km18-Cư Kuin-Đắk Lắk")</f>
        <v>BC Km18-Cư Kuin-Đắk Lắk</v>
      </c>
      <c r="Q122" s="94">
        <f>IFERROR(__xludf.DUMMYFUNCTION("""COMPUTED_VALUE"""),4.0)</f>
        <v>4</v>
      </c>
      <c r="R122" s="95">
        <f>IFERROR(__xludf.DUMMYFUNCTION("""COMPUTED_VALUE"""),1.0)</f>
        <v>1</v>
      </c>
      <c r="S122" s="95">
        <f>IFERROR(__xludf.DUMMYFUNCTION("""COMPUTED_VALUE"""),1.0)</f>
        <v>1</v>
      </c>
      <c r="T122" s="95">
        <f>IFERROR(__xludf.DUMMYFUNCTION("""COMPUTED_VALUE"""),1.0)</f>
        <v>1</v>
      </c>
      <c r="U122" s="94">
        <f>IFERROR(__xludf.DUMMYFUNCTION("""COMPUTED_VALUE"""),3.0)</f>
        <v>3</v>
      </c>
      <c r="V122" s="95">
        <f>IFERROR(__xludf.DUMMYFUNCTION("""COMPUTED_VALUE"""),1.0)</f>
        <v>1</v>
      </c>
      <c r="W122" s="95">
        <f>IFERROR(__xludf.DUMMYFUNCTION("""COMPUTED_VALUE"""),1.0)</f>
        <v>1</v>
      </c>
      <c r="X122" s="95">
        <f>IFERROR(__xludf.DUMMYFUNCTION("""COMPUTED_VALUE"""),1.0)</f>
        <v>1</v>
      </c>
      <c r="Y122" s="94">
        <f>IFERROR(__xludf.DUMMYFUNCTION("""COMPUTED_VALUE"""),7.0)</f>
        <v>7</v>
      </c>
      <c r="Z122" s="95">
        <f>IFERROR(__xludf.DUMMYFUNCTION("""COMPUTED_VALUE"""),1.0)</f>
        <v>1</v>
      </c>
      <c r="AA122" s="95">
        <f>IFERROR(__xludf.DUMMYFUNCTION("""COMPUTED_VALUE"""),1.0)</f>
        <v>1</v>
      </c>
      <c r="AB122" s="95">
        <f>IFERROR(__xludf.DUMMYFUNCTION("""COMPUTED_VALUE"""),1.0)</f>
        <v>1</v>
      </c>
    </row>
    <row r="123" ht="17.25" customHeight="1">
      <c r="A123" s="50"/>
      <c r="O123" s="92" t="str">
        <f>IFERROR(__xludf.DUMMYFUNCTION("""COMPUTED_VALUE"""),"Lê Văn Tài")</f>
        <v>Lê Văn Tài</v>
      </c>
      <c r="P123" s="93" t="str">
        <f>IFERROR(__xludf.DUMMYFUNCTION("""COMPUTED_VALUE"""),"BC KM92 QL14-Xã Ea Drăng-Đắk Lắk")</f>
        <v>BC KM92 QL14-Xã Ea Drăng-Đắk Lắk</v>
      </c>
      <c r="Q123" s="94">
        <f>IFERROR(__xludf.DUMMYFUNCTION("""COMPUTED_VALUE"""),7.0)</f>
        <v>7</v>
      </c>
      <c r="R123" s="95">
        <f>IFERROR(__xludf.DUMMYFUNCTION("""COMPUTED_VALUE"""),1.0)</f>
        <v>1</v>
      </c>
      <c r="S123" s="95">
        <f>IFERROR(__xludf.DUMMYFUNCTION("""COMPUTED_VALUE"""),1.0)</f>
        <v>1</v>
      </c>
      <c r="T123" s="95">
        <f>IFERROR(__xludf.DUMMYFUNCTION("""COMPUTED_VALUE"""),1.0)</f>
        <v>1</v>
      </c>
      <c r="U123" s="94"/>
      <c r="V123" s="94"/>
      <c r="W123" s="94"/>
      <c r="X123" s="94"/>
      <c r="Y123" s="94">
        <f>IFERROR(__xludf.DUMMYFUNCTION("""COMPUTED_VALUE"""),7.0)</f>
        <v>7</v>
      </c>
      <c r="Z123" s="95">
        <f>IFERROR(__xludf.DUMMYFUNCTION("""COMPUTED_VALUE"""),1.0)</f>
        <v>1</v>
      </c>
      <c r="AA123" s="95">
        <f>IFERROR(__xludf.DUMMYFUNCTION("""COMPUTED_VALUE"""),1.0)</f>
        <v>1</v>
      </c>
      <c r="AB123" s="95">
        <f>IFERROR(__xludf.DUMMYFUNCTION("""COMPUTED_VALUE"""),1.0)</f>
        <v>1</v>
      </c>
    </row>
    <row r="124" ht="17.25" customHeight="1">
      <c r="A124" s="50"/>
      <c r="O124" s="92" t="str">
        <f>IFERROR(__xludf.DUMMYFUNCTION("""COMPUTED_VALUE"""),"Huỳnh Thị Mới ")</f>
        <v>Huỳnh Thị Mới </v>
      </c>
      <c r="P124" s="93" t="str">
        <f>IFERROR(__xludf.DUMMYFUNCTION("""COMPUTED_VALUE"""),"BC KP3 TT Hai Riềng-Sông Hinh-Phú Yên")</f>
        <v>BC KP3 TT Hai Riềng-Sông Hinh-Phú Yên</v>
      </c>
      <c r="Q124" s="94">
        <f>IFERROR(__xludf.DUMMYFUNCTION("""COMPUTED_VALUE"""),27.0)</f>
        <v>27</v>
      </c>
      <c r="R124" s="95">
        <f>IFERROR(__xludf.DUMMYFUNCTION("""COMPUTED_VALUE"""),1.0)</f>
        <v>1</v>
      </c>
      <c r="S124" s="95">
        <f>IFERROR(__xludf.DUMMYFUNCTION("""COMPUTED_VALUE"""),1.0)</f>
        <v>1</v>
      </c>
      <c r="T124" s="95">
        <f>IFERROR(__xludf.DUMMYFUNCTION("""COMPUTED_VALUE"""),0.9629629629629629)</f>
        <v>0.962962963</v>
      </c>
      <c r="U124" s="94"/>
      <c r="V124" s="94"/>
      <c r="W124" s="94"/>
      <c r="X124" s="94"/>
      <c r="Y124" s="94">
        <f>IFERROR(__xludf.DUMMYFUNCTION("""COMPUTED_VALUE"""),27.0)</f>
        <v>27</v>
      </c>
      <c r="Z124" s="95">
        <f>IFERROR(__xludf.DUMMYFUNCTION("""COMPUTED_VALUE"""),1.0)</f>
        <v>1</v>
      </c>
      <c r="AA124" s="95">
        <f>IFERROR(__xludf.DUMMYFUNCTION("""COMPUTED_VALUE"""),1.0)</f>
        <v>1</v>
      </c>
      <c r="AB124" s="95">
        <f>IFERROR(__xludf.DUMMYFUNCTION("""COMPUTED_VALUE"""),0.9629629629629629)</f>
        <v>0.962962963</v>
      </c>
    </row>
    <row r="125" ht="17.25" customHeight="1">
      <c r="A125" s="50"/>
      <c r="O125" s="92" t="str">
        <f>IFERROR(__xludf.DUMMYFUNCTION("""COMPUTED_VALUE"""),"Nguyễn  Hoàng Anh ")</f>
        <v>Nguyễn  Hoàng Anh </v>
      </c>
      <c r="P125" s="93" t="str">
        <f>IFERROR(__xludf.DUMMYFUNCTION("""COMPUTED_VALUE"""),"BC Ngã Ba Đắk Liêng-Huyện Lắk-Đắk Lắk")</f>
        <v>BC Ngã Ba Đắk Liêng-Huyện Lắk-Đắk Lắk</v>
      </c>
      <c r="Q125" s="94">
        <f>IFERROR(__xludf.DUMMYFUNCTION("""COMPUTED_VALUE"""),6.0)</f>
        <v>6</v>
      </c>
      <c r="R125" s="95">
        <f>IFERROR(__xludf.DUMMYFUNCTION("""COMPUTED_VALUE"""),1.0)</f>
        <v>1</v>
      </c>
      <c r="S125" s="95">
        <f>IFERROR(__xludf.DUMMYFUNCTION("""COMPUTED_VALUE"""),1.0)</f>
        <v>1</v>
      </c>
      <c r="T125" s="95">
        <f>IFERROR(__xludf.DUMMYFUNCTION("""COMPUTED_VALUE"""),1.0)</f>
        <v>1</v>
      </c>
      <c r="U125" s="94"/>
      <c r="V125" s="94"/>
      <c r="W125" s="94"/>
      <c r="X125" s="94"/>
      <c r="Y125" s="94">
        <f>IFERROR(__xludf.DUMMYFUNCTION("""COMPUTED_VALUE"""),6.0)</f>
        <v>6</v>
      </c>
      <c r="Z125" s="95">
        <f>IFERROR(__xludf.DUMMYFUNCTION("""COMPUTED_VALUE"""),1.0)</f>
        <v>1</v>
      </c>
      <c r="AA125" s="95">
        <f>IFERROR(__xludf.DUMMYFUNCTION("""COMPUTED_VALUE"""),1.0)</f>
        <v>1</v>
      </c>
      <c r="AB125" s="95">
        <f>IFERROR(__xludf.DUMMYFUNCTION("""COMPUTED_VALUE"""),1.0)</f>
        <v>1</v>
      </c>
    </row>
    <row r="126">
      <c r="O126" s="127" t="str">
        <f>IFERROR(__xludf.DUMMYFUNCTION("""COMPUTED_VALUE"""),"Trần Nhật Thương")</f>
        <v>Trần Nhật Thương</v>
      </c>
      <c r="P126" s="127" t="str">
        <f>IFERROR(__xludf.DUMMYFUNCTION("""COMPUTED_VALUE"""),"BC Số 35 Phạm Văn Đồng-Tăng Bạt Hổ-Hoài Ân-Bình Định")</f>
        <v>BC Số 35 Phạm Văn Đồng-Tăng Bạt Hổ-Hoài Ân-Bình Định</v>
      </c>
      <c r="Q126" s="94">
        <f>IFERROR(__xludf.DUMMYFUNCTION("""COMPUTED_VALUE"""),25.0)</f>
        <v>25</v>
      </c>
      <c r="R126" s="95">
        <f>IFERROR(__xludf.DUMMYFUNCTION("""COMPUTED_VALUE"""),1.0)</f>
        <v>1</v>
      </c>
      <c r="S126" s="95">
        <f>IFERROR(__xludf.DUMMYFUNCTION("""COMPUTED_VALUE"""),1.0)</f>
        <v>1</v>
      </c>
      <c r="T126" s="95">
        <f>IFERROR(__xludf.DUMMYFUNCTION("""COMPUTED_VALUE"""),1.0)</f>
        <v>1</v>
      </c>
      <c r="U126" s="94">
        <f>IFERROR(__xludf.DUMMYFUNCTION("""COMPUTED_VALUE"""),2.0)</f>
        <v>2</v>
      </c>
      <c r="V126" s="95">
        <f>IFERROR(__xludf.DUMMYFUNCTION("""COMPUTED_VALUE"""),1.0)</f>
        <v>1</v>
      </c>
      <c r="W126" s="95">
        <f>IFERROR(__xludf.DUMMYFUNCTION("""COMPUTED_VALUE"""),1.0)</f>
        <v>1</v>
      </c>
      <c r="X126" s="95">
        <f>IFERROR(__xludf.DUMMYFUNCTION("""COMPUTED_VALUE"""),1.0)</f>
        <v>1</v>
      </c>
      <c r="Y126" s="94">
        <f>IFERROR(__xludf.DUMMYFUNCTION("""COMPUTED_VALUE"""),27.0)</f>
        <v>27</v>
      </c>
      <c r="Z126" s="95">
        <f>IFERROR(__xludf.DUMMYFUNCTION("""COMPUTED_VALUE"""),1.0)</f>
        <v>1</v>
      </c>
      <c r="AA126" s="95">
        <f>IFERROR(__xludf.DUMMYFUNCTION("""COMPUTED_VALUE"""),1.0)</f>
        <v>1</v>
      </c>
      <c r="AB126" s="95">
        <f>IFERROR(__xludf.DUMMYFUNCTION("""COMPUTED_VALUE"""),1.0)</f>
        <v>1</v>
      </c>
    </row>
    <row r="127">
      <c r="O127" s="127" t="str">
        <f>IFERROR(__xludf.DUMMYFUNCTION("""COMPUTED_VALUE"""),"Nguyễn Thị Bảo Nhi")</f>
        <v>Nguyễn Thị Bảo Nhi</v>
      </c>
      <c r="P127" s="127" t="str">
        <f>IFERROR(__xludf.DUMMYFUNCTION("""COMPUTED_VALUE"""),"BC Thị Trấn Buôn Trấp-Krông A Na-Đắk Lắk")</f>
        <v>BC Thị Trấn Buôn Trấp-Krông A Na-Đắk Lắk</v>
      </c>
      <c r="Q127" s="94">
        <f>IFERROR(__xludf.DUMMYFUNCTION("""COMPUTED_VALUE"""),20.0)</f>
        <v>20</v>
      </c>
      <c r="R127" s="95">
        <f>IFERROR(__xludf.DUMMYFUNCTION("""COMPUTED_VALUE"""),1.0)</f>
        <v>1</v>
      </c>
      <c r="S127" s="95">
        <f>IFERROR(__xludf.DUMMYFUNCTION("""COMPUTED_VALUE"""),1.0)</f>
        <v>1</v>
      </c>
      <c r="T127" s="95">
        <f>IFERROR(__xludf.DUMMYFUNCTION("""COMPUTED_VALUE"""),1.0)</f>
        <v>1</v>
      </c>
      <c r="U127" s="94"/>
      <c r="V127" s="94"/>
      <c r="W127" s="94"/>
      <c r="X127" s="94"/>
      <c r="Y127" s="94">
        <f>IFERROR(__xludf.DUMMYFUNCTION("""COMPUTED_VALUE"""),20.0)</f>
        <v>20</v>
      </c>
      <c r="Z127" s="95">
        <f>IFERROR(__xludf.DUMMYFUNCTION("""COMPUTED_VALUE"""),1.0)</f>
        <v>1</v>
      </c>
      <c r="AA127" s="95">
        <f>IFERROR(__xludf.DUMMYFUNCTION("""COMPUTED_VALUE"""),1.0)</f>
        <v>1</v>
      </c>
      <c r="AB127" s="95">
        <f>IFERROR(__xludf.DUMMYFUNCTION("""COMPUTED_VALUE"""),1.0)</f>
        <v>1</v>
      </c>
    </row>
    <row r="128">
      <c r="O128" s="127" t="str">
        <f>IFERROR(__xludf.DUMMYFUNCTION("""COMPUTED_VALUE"""),"Huỳnh Thị Mới ")</f>
        <v>Huỳnh Thị Mới </v>
      </c>
      <c r="P128" s="93" t="str">
        <f>IFERROR(__xludf.DUMMYFUNCTION("""COMPUTED_VALUE"""),"BC Thị Trấn Phú Thứ-Tây Hoà-Phú Yên")</f>
        <v>BC Thị Trấn Phú Thứ-Tây Hoà-Phú Yên</v>
      </c>
      <c r="Q128" s="94">
        <f>IFERROR(__xludf.DUMMYFUNCTION("""COMPUTED_VALUE"""),2.0)</f>
        <v>2</v>
      </c>
      <c r="R128" s="95">
        <f>IFERROR(__xludf.DUMMYFUNCTION("""COMPUTED_VALUE"""),1.0)</f>
        <v>1</v>
      </c>
      <c r="S128" s="95">
        <f>IFERROR(__xludf.DUMMYFUNCTION("""COMPUTED_VALUE"""),1.0)</f>
        <v>1</v>
      </c>
      <c r="T128" s="95">
        <f>IFERROR(__xludf.DUMMYFUNCTION("""COMPUTED_VALUE"""),1.0)</f>
        <v>1</v>
      </c>
      <c r="U128" s="94">
        <f>IFERROR(__xludf.DUMMYFUNCTION("""COMPUTED_VALUE"""),2.0)</f>
        <v>2</v>
      </c>
      <c r="V128" s="95">
        <f>IFERROR(__xludf.DUMMYFUNCTION("""COMPUTED_VALUE"""),1.0)</f>
        <v>1</v>
      </c>
      <c r="W128" s="95">
        <f>IFERROR(__xludf.DUMMYFUNCTION("""COMPUTED_VALUE"""),1.0)</f>
        <v>1</v>
      </c>
      <c r="X128" s="95">
        <f>IFERROR(__xludf.DUMMYFUNCTION("""COMPUTED_VALUE"""),1.0)</f>
        <v>1</v>
      </c>
      <c r="Y128" s="94">
        <f>IFERROR(__xludf.DUMMYFUNCTION("""COMPUTED_VALUE"""),4.0)</f>
        <v>4</v>
      </c>
      <c r="Z128" s="95">
        <f>IFERROR(__xludf.DUMMYFUNCTION("""COMPUTED_VALUE"""),1.0)</f>
        <v>1</v>
      </c>
      <c r="AA128" s="95">
        <f>IFERROR(__xludf.DUMMYFUNCTION("""COMPUTED_VALUE"""),1.0)</f>
        <v>1</v>
      </c>
      <c r="AB128" s="95">
        <f>IFERROR(__xludf.DUMMYFUNCTION("""COMPUTED_VALUE"""),1.0)</f>
        <v>1</v>
      </c>
    </row>
    <row r="129">
      <c r="O129" s="127" t="str">
        <f>IFERROR(__xludf.DUMMYFUNCTION("""COMPUTED_VALUE"""),"Lê Trọng Khiêm")</f>
        <v>Lê Trọng Khiêm</v>
      </c>
      <c r="P129" s="127" t="str">
        <f>IFERROR(__xludf.DUMMYFUNCTION("""COMPUTED_VALUE"""),"BC Thôn Đông Phước-Phú Hòa-Phú Yên")</f>
        <v>BC Thôn Đông Phước-Phú Hòa-Phú Yên</v>
      </c>
      <c r="Q129" s="128">
        <f>IFERROR(__xludf.DUMMYFUNCTION("""COMPUTED_VALUE"""),43.0)</f>
        <v>43</v>
      </c>
      <c r="R129" s="129">
        <f>IFERROR(__xludf.DUMMYFUNCTION("""COMPUTED_VALUE"""),1.0)</f>
        <v>1</v>
      </c>
      <c r="S129" s="129">
        <f>IFERROR(__xludf.DUMMYFUNCTION("""COMPUTED_VALUE"""),1.0)</f>
        <v>1</v>
      </c>
      <c r="T129" s="129">
        <f>IFERROR(__xludf.DUMMYFUNCTION("""COMPUTED_VALUE"""),0.9069767441860465)</f>
        <v>0.9069767442</v>
      </c>
      <c r="U129" s="128">
        <f>IFERROR(__xludf.DUMMYFUNCTION("""COMPUTED_VALUE"""),4.0)</f>
        <v>4</v>
      </c>
      <c r="V129" s="129">
        <f>IFERROR(__xludf.DUMMYFUNCTION("""COMPUTED_VALUE"""),1.0)</f>
        <v>1</v>
      </c>
      <c r="W129" s="129">
        <f>IFERROR(__xludf.DUMMYFUNCTION("""COMPUTED_VALUE"""),1.0)</f>
        <v>1</v>
      </c>
      <c r="X129" s="129">
        <f>IFERROR(__xludf.DUMMYFUNCTION("""COMPUTED_VALUE"""),1.0)</f>
        <v>1</v>
      </c>
      <c r="Y129" s="128">
        <f>IFERROR(__xludf.DUMMYFUNCTION("""COMPUTED_VALUE"""),47.0)</f>
        <v>47</v>
      </c>
      <c r="Z129" s="129">
        <f>IFERROR(__xludf.DUMMYFUNCTION("""COMPUTED_VALUE"""),1.0)</f>
        <v>1</v>
      </c>
      <c r="AA129" s="129">
        <f>IFERROR(__xludf.DUMMYFUNCTION("""COMPUTED_VALUE"""),1.0)</f>
        <v>1</v>
      </c>
      <c r="AB129" s="129">
        <f>IFERROR(__xludf.DUMMYFUNCTION("""COMPUTED_VALUE"""),0.9148936170212766)</f>
        <v>0.914893617</v>
      </c>
    </row>
    <row r="130">
      <c r="O130" s="48" t="str">
        <f>IFERROR(__xludf.DUMMYFUNCTION("""COMPUTED_VALUE"""),"Nguyễn  Ngọc Hà")</f>
        <v>Nguyễn  Ngọc Hà</v>
      </c>
      <c r="P130" s="48" t="str">
        <f>IFERROR(__xludf.DUMMYFUNCTION("""COMPUTED_VALUE"""),"BC Thôn Tân Lập Quốc Lộ 26-Xã Cư M'ta-M'Đrắk-Đăk Lắk")</f>
        <v>BC Thôn Tân Lập Quốc Lộ 26-Xã Cư M'ta-M'Đrắk-Đăk Lắk</v>
      </c>
      <c r="Q130" s="130">
        <f>IFERROR(__xludf.DUMMYFUNCTION("""COMPUTED_VALUE"""),49.0)</f>
        <v>49</v>
      </c>
      <c r="R130" s="131">
        <f>IFERROR(__xludf.DUMMYFUNCTION("""COMPUTED_VALUE"""),1.0)</f>
        <v>1</v>
      </c>
      <c r="S130" s="131">
        <f>IFERROR(__xludf.DUMMYFUNCTION("""COMPUTED_VALUE"""),1.0)</f>
        <v>1</v>
      </c>
      <c r="T130" s="131">
        <f>IFERROR(__xludf.DUMMYFUNCTION("""COMPUTED_VALUE"""),1.0)</f>
        <v>1</v>
      </c>
      <c r="U130" s="130">
        <f>IFERROR(__xludf.DUMMYFUNCTION("""COMPUTED_VALUE"""),2.0)</f>
        <v>2</v>
      </c>
      <c r="V130" s="131">
        <f>IFERROR(__xludf.DUMMYFUNCTION("""COMPUTED_VALUE"""),1.0)</f>
        <v>1</v>
      </c>
      <c r="W130" s="131">
        <f>IFERROR(__xludf.DUMMYFUNCTION("""COMPUTED_VALUE"""),1.0)</f>
        <v>1</v>
      </c>
      <c r="X130" s="131">
        <f>IFERROR(__xludf.DUMMYFUNCTION("""COMPUTED_VALUE"""),1.0)</f>
        <v>1</v>
      </c>
      <c r="Y130" s="130">
        <f>IFERROR(__xludf.DUMMYFUNCTION("""COMPUTED_VALUE"""),51.0)</f>
        <v>51</v>
      </c>
      <c r="Z130" s="131">
        <f>IFERROR(__xludf.DUMMYFUNCTION("""COMPUTED_VALUE"""),1.0)</f>
        <v>1</v>
      </c>
      <c r="AA130" s="131">
        <f>IFERROR(__xludf.DUMMYFUNCTION("""COMPUTED_VALUE"""),1.0)</f>
        <v>1</v>
      </c>
      <c r="AB130" s="131">
        <f>IFERROR(__xludf.DUMMYFUNCTION("""COMPUTED_VALUE"""),1.0)</f>
        <v>1</v>
      </c>
    </row>
    <row r="131">
      <c r="O131" s="132" t="str">
        <f>IFERROR(__xludf.DUMMYFUNCTION("""COMPUTED_VALUE"""),"Võ Thanh Diệu ")</f>
        <v>Võ Thanh Diệu </v>
      </c>
      <c r="P131" s="132" t="str">
        <f>IFERROR(__xludf.DUMMYFUNCTION("""COMPUTED_VALUE"""),"BC Vận Hành Thôn Định Trị-Xã Vĩnh Thạnh-Bình Định")</f>
        <v>BC Vận Hành Thôn Định Trị-Xã Vĩnh Thạnh-Bình Định</v>
      </c>
      <c r="Q131" s="133">
        <f>IFERROR(__xludf.DUMMYFUNCTION("""COMPUTED_VALUE"""),1.0)</f>
        <v>1</v>
      </c>
      <c r="R131" s="55">
        <f>IFERROR(__xludf.DUMMYFUNCTION("""COMPUTED_VALUE"""),1.0)</f>
        <v>1</v>
      </c>
      <c r="S131" s="55">
        <f>IFERROR(__xludf.DUMMYFUNCTION("""COMPUTED_VALUE"""),1.0)</f>
        <v>1</v>
      </c>
      <c r="T131" s="55">
        <f>IFERROR(__xludf.DUMMYFUNCTION("""COMPUTED_VALUE"""),1.0)</f>
        <v>1</v>
      </c>
      <c r="U131" s="133"/>
      <c r="V131" s="133"/>
      <c r="W131" s="133"/>
      <c r="X131" s="133"/>
      <c r="Y131" s="133">
        <f>IFERROR(__xludf.DUMMYFUNCTION("""COMPUTED_VALUE"""),1.0)</f>
        <v>1</v>
      </c>
      <c r="Z131" s="55">
        <f>IFERROR(__xludf.DUMMYFUNCTION("""COMPUTED_VALUE"""),1.0)</f>
        <v>1</v>
      </c>
      <c r="AA131" s="55">
        <f>IFERROR(__xludf.DUMMYFUNCTION("""COMPUTED_VALUE"""),1.0)</f>
        <v>1</v>
      </c>
      <c r="AB131" s="55">
        <f>IFERROR(__xludf.DUMMYFUNCTION("""COMPUTED_VALUE"""),1.0)</f>
        <v>1</v>
      </c>
    </row>
    <row r="132" ht="17.25" customHeight="1">
      <c r="A132" s="50"/>
      <c r="O132" s="134"/>
      <c r="P132" s="135" t="str">
        <f>IFERROR(__xludf.DUMMYFUNCTION("""COMPUTED_VALUE"""),"Grand Total")</f>
        <v>Grand Total</v>
      </c>
      <c r="Q132" s="120">
        <f>IFERROR(__xludf.DUMMYFUNCTION("""COMPUTED_VALUE"""),2773.0)</f>
        <v>2773</v>
      </c>
      <c r="R132" s="121">
        <f>IFERROR(__xludf.DUMMYFUNCTION("""COMPUTED_VALUE"""),1.0)</f>
        <v>1</v>
      </c>
      <c r="S132" s="121">
        <f>IFERROR(__xludf.DUMMYFUNCTION("""COMPUTED_VALUE"""),0.9780021637216012)</f>
        <v>0.9780021637</v>
      </c>
      <c r="T132" s="121">
        <f>IFERROR(__xludf.DUMMYFUNCTION("""COMPUTED_VALUE"""),0.9567255679769203)</f>
        <v>0.956725568</v>
      </c>
      <c r="U132" s="120">
        <f>IFERROR(__xludf.DUMMYFUNCTION("""COMPUTED_VALUE"""),132.0)</f>
        <v>132</v>
      </c>
      <c r="V132" s="121">
        <f>IFERROR(__xludf.DUMMYFUNCTION("""COMPUTED_VALUE"""),1.0)</f>
        <v>1</v>
      </c>
      <c r="W132" s="121">
        <f>IFERROR(__xludf.DUMMYFUNCTION("""COMPUTED_VALUE"""),0.9545454545454546)</f>
        <v>0.9545454545</v>
      </c>
      <c r="X132" s="121">
        <f>IFERROR(__xludf.DUMMYFUNCTION("""COMPUTED_VALUE"""),0.9166666666666666)</f>
        <v>0.9166666667</v>
      </c>
      <c r="Y132" s="120">
        <f>IFERROR(__xludf.DUMMYFUNCTION("""COMPUTED_VALUE"""),2905.0)</f>
        <v>2905</v>
      </c>
      <c r="Z132" s="121">
        <f>IFERROR(__xludf.DUMMYFUNCTION("""COMPUTED_VALUE"""),1.0)</f>
        <v>1</v>
      </c>
      <c r="AA132" s="121">
        <f>IFERROR(__xludf.DUMMYFUNCTION("""COMPUTED_VALUE"""),0.9769363166953529)</f>
        <v>0.9769363167</v>
      </c>
      <c r="AB132" s="121">
        <f>IFERROR(__xludf.DUMMYFUNCTION("""COMPUTED_VALUE"""),0.9549053356282272)</f>
        <v>0.9549053356</v>
      </c>
    </row>
    <row r="133"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</row>
    <row r="134"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</row>
    <row r="135">
      <c r="A135" s="50"/>
      <c r="O135" s="92"/>
      <c r="P135" s="93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</row>
    <row r="136">
      <c r="A136" s="50"/>
      <c r="O136" s="92"/>
      <c r="P136" s="93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</row>
    <row r="137">
      <c r="A137" s="50"/>
      <c r="O137" s="92"/>
      <c r="P137" s="93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</row>
  </sheetData>
  <mergeCells count="26">
    <mergeCell ref="Y2:Z2"/>
    <mergeCell ref="AA2:AB2"/>
    <mergeCell ref="B3:D3"/>
    <mergeCell ref="E3:G3"/>
    <mergeCell ref="A23:H23"/>
    <mergeCell ref="I23:M23"/>
    <mergeCell ref="B24:D24"/>
    <mergeCell ref="E24:G24"/>
    <mergeCell ref="H24:J24"/>
    <mergeCell ref="L24:M24"/>
    <mergeCell ref="O1:P1"/>
    <mergeCell ref="A2:H2"/>
    <mergeCell ref="I2:M2"/>
    <mergeCell ref="O2:O3"/>
    <mergeCell ref="P2:P3"/>
    <mergeCell ref="Q2:T2"/>
    <mergeCell ref="U2:X2"/>
    <mergeCell ref="Y74:Z74"/>
    <mergeCell ref="AA74:AB74"/>
    <mergeCell ref="H3:J3"/>
    <mergeCell ref="K3:M3"/>
    <mergeCell ref="O73:P73"/>
    <mergeCell ref="O74:O75"/>
    <mergeCell ref="P74:P75"/>
    <mergeCell ref="Q74:T74"/>
    <mergeCell ref="U74:X74"/>
  </mergeCells>
  <conditionalFormatting sqref="M26:M39">
    <cfRule type="cellIs" dxfId="0" priority="1" operator="lessThan">
      <formula>"98%"</formula>
    </cfRule>
  </conditionalFormatting>
  <conditionalFormatting sqref="M4:M20 M26:M42 AB73">
    <cfRule type="colorScale" priority="2">
      <colorScale>
        <cfvo type="min"/>
        <cfvo type="max"/>
        <color rgb="FFEA9999"/>
        <color rgb="FFFFFFFF"/>
      </colorScale>
    </cfRule>
  </conditionalFormatting>
  <conditionalFormatting sqref="L5:L17">
    <cfRule type="cellIs" dxfId="1" priority="3" operator="lessThan">
      <formula>"99%"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0"/>
    <col customWidth="1" min="2" max="2" width="17.25"/>
    <col customWidth="1" min="3" max="3" width="44.13"/>
    <col customWidth="1" min="4" max="16" width="8.88"/>
  </cols>
  <sheetData>
    <row r="1">
      <c r="A1" s="136" t="s">
        <v>26</v>
      </c>
      <c r="B1" s="137" t="s">
        <v>15</v>
      </c>
      <c r="C1" s="137" t="s">
        <v>27</v>
      </c>
      <c r="D1" s="138" t="s">
        <v>17</v>
      </c>
      <c r="E1" s="139"/>
      <c r="F1" s="140"/>
      <c r="G1" s="141" t="s">
        <v>28</v>
      </c>
      <c r="H1" s="139"/>
      <c r="I1" s="140"/>
      <c r="J1" s="142" t="s">
        <v>18</v>
      </c>
      <c r="K1" s="139"/>
      <c r="L1" s="140"/>
      <c r="M1" s="143" t="s">
        <v>19</v>
      </c>
      <c r="N1" s="140"/>
      <c r="O1" s="144">
        <f>today()-1</f>
        <v>46162</v>
      </c>
      <c r="P1" s="140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</row>
    <row r="2">
      <c r="A2" s="146"/>
      <c r="B2" s="146"/>
      <c r="C2" s="146"/>
      <c r="D2" s="147" t="s">
        <v>20</v>
      </c>
      <c r="E2" s="147" t="s">
        <v>29</v>
      </c>
      <c r="F2" s="147" t="s">
        <v>30</v>
      </c>
      <c r="G2" s="147" t="s">
        <v>20</v>
      </c>
      <c r="H2" s="147" t="s">
        <v>29</v>
      </c>
      <c r="I2" s="147" t="s">
        <v>30</v>
      </c>
      <c r="J2" s="147" t="s">
        <v>20</v>
      </c>
      <c r="K2" s="147" t="s">
        <v>29</v>
      </c>
      <c r="L2" s="147" t="s">
        <v>30</v>
      </c>
      <c r="M2" s="147" t="s">
        <v>20</v>
      </c>
      <c r="N2" s="147" t="s">
        <v>29</v>
      </c>
      <c r="O2" s="147" t="s">
        <v>30</v>
      </c>
      <c r="P2" s="147" t="s">
        <v>31</v>
      </c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</row>
    <row r="3">
      <c r="A3" s="148">
        <f>IFERROR(__xludf.DUMMYFUNCTION("IMPORTRANGE(""https://docs.google.com/spreadsheets/d/1487b2qDJjFxuit1ljyyJ220-vW46d0ImSvFQle7Fw-k/edit?gid=993384841#gid=993384841"",""PV 2!A3:P68"")"),1.0)</f>
        <v>1</v>
      </c>
      <c r="B3" s="149" t="str">
        <f>IFERROR(__xludf.DUMMYFUNCTION("""COMPUTED_VALUE"""),"Nguyễn  Ngọc Hà")</f>
        <v>Nguyễn  Ngọc Hà</v>
      </c>
      <c r="C3" s="149" t="str">
        <f>IFERROR(__xludf.DUMMYFUNCTION("""COMPUTED_VALUE"""),"BC 01 An Bình-Ea KNốp-Ea Kar-Đắk Lắk")</f>
        <v>BC 01 An Bình-Ea KNốp-Ea Kar-Đắk Lắk</v>
      </c>
      <c r="D3" s="150">
        <f>IFERROR(__xludf.DUMMYFUNCTION("""COMPUTED_VALUE"""),245.0)</f>
        <v>245</v>
      </c>
      <c r="E3" s="151">
        <f>IFERROR(__xludf.DUMMYFUNCTION("""COMPUTED_VALUE"""),0.9959183673469387)</f>
        <v>0.9959183673</v>
      </c>
      <c r="F3" s="151">
        <f>IFERROR(__xludf.DUMMYFUNCTION("""COMPUTED_VALUE"""),0.6938775510204082)</f>
        <v>0.693877551</v>
      </c>
      <c r="G3" s="150">
        <f>IFERROR(__xludf.DUMMYFUNCTION("""COMPUTED_VALUE"""),119.0)</f>
        <v>119</v>
      </c>
      <c r="H3" s="151">
        <f>IFERROR(__xludf.DUMMYFUNCTION("""COMPUTED_VALUE"""),0.08403361344537816)</f>
        <v>0.08403361345</v>
      </c>
      <c r="I3" s="151">
        <f>IFERROR(__xludf.DUMMYFUNCTION("""COMPUTED_VALUE"""),0.06722689075630252)</f>
        <v>0.06722689076</v>
      </c>
      <c r="J3" s="150">
        <f>IFERROR(__xludf.DUMMYFUNCTION("""COMPUTED_VALUE"""),320.0)</f>
        <v>320</v>
      </c>
      <c r="K3" s="151">
        <f>IFERROR(__xludf.DUMMYFUNCTION("""COMPUTED_VALUE"""),0.896875)</f>
        <v>0.896875</v>
      </c>
      <c r="L3" s="151">
        <f>IFERROR(__xludf.DUMMYFUNCTION("""COMPUTED_VALUE"""),0.428125)</f>
        <v>0.428125</v>
      </c>
      <c r="M3" s="150">
        <f>IFERROR(__xludf.DUMMYFUNCTION("""COMPUTED_VALUE"""),684.0)</f>
        <v>684</v>
      </c>
      <c r="N3" s="151">
        <f>IFERROR(__xludf.DUMMYFUNCTION("""COMPUTED_VALUE"""),0.7909356725146199)</f>
        <v>0.7909356725</v>
      </c>
      <c r="O3" s="151">
        <f>IFERROR(__xludf.DUMMYFUNCTION("""COMPUTED_VALUE"""),0.4605263157894737)</f>
        <v>0.4605263158</v>
      </c>
      <c r="P3" s="152">
        <f>IFERROR(__xludf.DUMMYFUNCTION("""COMPUTED_VALUE"""),23.897435897435898)</f>
        <v>23.8974359</v>
      </c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</row>
    <row r="4">
      <c r="A4" s="148">
        <f>IFERROR(__xludf.DUMMYFUNCTION("""COMPUTED_VALUE"""),2.0)</f>
        <v>2</v>
      </c>
      <c r="B4" s="149" t="str">
        <f>IFERROR(__xludf.DUMMYFUNCTION("""COMPUTED_VALUE"""),"Lê Văn Tài")</f>
        <v>Lê Văn Tài</v>
      </c>
      <c r="C4" s="149" t="str">
        <f>IFERROR(__xludf.DUMMYFUNCTION("""COMPUTED_VALUE"""),"BC Phạm Văn Đồng-Pơng Đrang-Krông Búk-Đắk Lắk")</f>
        <v>BC Phạm Văn Đồng-Pơng Đrang-Krông Búk-Đắk Lắk</v>
      </c>
      <c r="D4" s="150">
        <f>IFERROR(__xludf.DUMMYFUNCTION("""COMPUTED_VALUE"""),444.0)</f>
        <v>444</v>
      </c>
      <c r="E4" s="151">
        <f>IFERROR(__xludf.DUMMYFUNCTION("""COMPUTED_VALUE"""),0.8468468468468469)</f>
        <v>0.8468468468</v>
      </c>
      <c r="F4" s="151">
        <f>IFERROR(__xludf.DUMMYFUNCTION("""COMPUTED_VALUE"""),0.5923423423423423)</f>
        <v>0.5923423423</v>
      </c>
      <c r="G4" s="150"/>
      <c r="H4" s="148"/>
      <c r="I4" s="148"/>
      <c r="J4" s="150">
        <f>IFERROR(__xludf.DUMMYFUNCTION("""COMPUTED_VALUE"""),541.0)</f>
        <v>541</v>
      </c>
      <c r="K4" s="151">
        <f>IFERROR(__xludf.DUMMYFUNCTION("""COMPUTED_VALUE"""),0.7744916820702403)</f>
        <v>0.7744916821</v>
      </c>
      <c r="L4" s="151">
        <f>IFERROR(__xludf.DUMMYFUNCTION("""COMPUTED_VALUE"""),0.41035120147874304)</f>
        <v>0.4103512015</v>
      </c>
      <c r="M4" s="150">
        <f>IFERROR(__xludf.DUMMYFUNCTION("""COMPUTED_VALUE"""),985.0)</f>
        <v>985</v>
      </c>
      <c r="N4" s="151">
        <f>IFERROR(__xludf.DUMMYFUNCTION("""COMPUTED_VALUE"""),0.8071065989847716)</f>
        <v>0.807106599</v>
      </c>
      <c r="O4" s="151">
        <f>IFERROR(__xludf.DUMMYFUNCTION("""COMPUTED_VALUE"""),0.49238578680203043)</f>
        <v>0.4923857868</v>
      </c>
      <c r="P4" s="152">
        <f>IFERROR(__xludf.DUMMYFUNCTION("""COMPUTED_VALUE"""),29.266247379454928)</f>
        <v>29.26624738</v>
      </c>
      <c r="Q4" s="153"/>
      <c r="R4" s="153"/>
      <c r="S4" s="153"/>
      <c r="T4" s="153"/>
      <c r="U4" s="153"/>
      <c r="V4" s="153"/>
      <c r="W4" s="153"/>
      <c r="X4" s="153"/>
      <c r="Y4" s="153"/>
      <c r="Z4" s="153"/>
      <c r="AA4" s="153"/>
      <c r="AB4" s="153"/>
    </row>
    <row r="5">
      <c r="A5" s="148">
        <f>IFERROR(__xludf.DUMMYFUNCTION("""COMPUTED_VALUE"""),3.0)</f>
        <v>3</v>
      </c>
      <c r="B5" s="149" t="str">
        <f>IFERROR(__xludf.DUMMYFUNCTION("""COMPUTED_VALUE"""),"Nguyễn Thị Bảo Nhi")</f>
        <v>Nguyễn Thị Bảo Nhi</v>
      </c>
      <c r="C5" s="149" t="str">
        <f>IFERROR(__xludf.DUMMYFUNCTION("""COMPUTED_VALUE"""),"BC 09 Quốc Lộ 14-Hoà Phú-Đắk Lắk")</f>
        <v>BC 09 Quốc Lộ 14-Hoà Phú-Đắk Lắk</v>
      </c>
      <c r="D5" s="150">
        <f>IFERROR(__xludf.DUMMYFUNCTION("""COMPUTED_VALUE"""),301.0)</f>
        <v>301</v>
      </c>
      <c r="E5" s="151">
        <f>IFERROR(__xludf.DUMMYFUNCTION("""COMPUTED_VALUE"""),0.7508305647840532)</f>
        <v>0.7508305648</v>
      </c>
      <c r="F5" s="151">
        <f>IFERROR(__xludf.DUMMYFUNCTION("""COMPUTED_VALUE"""),0.5282392026578073)</f>
        <v>0.5282392027</v>
      </c>
      <c r="G5" s="150"/>
      <c r="H5" s="148"/>
      <c r="I5" s="148"/>
      <c r="J5" s="150">
        <f>IFERROR(__xludf.DUMMYFUNCTION("""COMPUTED_VALUE"""),279.0)</f>
        <v>279</v>
      </c>
      <c r="K5" s="151">
        <f>IFERROR(__xludf.DUMMYFUNCTION("""COMPUTED_VALUE"""),0.8458781362007168)</f>
        <v>0.8458781362</v>
      </c>
      <c r="L5" s="151">
        <f>IFERROR(__xludf.DUMMYFUNCTION("""COMPUTED_VALUE"""),0.4551971326164875)</f>
        <v>0.4551971326</v>
      </c>
      <c r="M5" s="150">
        <f>IFERROR(__xludf.DUMMYFUNCTION("""COMPUTED_VALUE"""),580.0)</f>
        <v>580</v>
      </c>
      <c r="N5" s="151">
        <f>IFERROR(__xludf.DUMMYFUNCTION("""COMPUTED_VALUE"""),0.7965517241379311)</f>
        <v>0.7965517241</v>
      </c>
      <c r="O5" s="151">
        <f>IFERROR(__xludf.DUMMYFUNCTION("""COMPUTED_VALUE"""),0.49310344827586206)</f>
        <v>0.4931034483</v>
      </c>
      <c r="P5" s="152">
        <f>IFERROR(__xludf.DUMMYFUNCTION("""COMPUTED_VALUE"""),27.54035087719298)</f>
        <v>27.54035088</v>
      </c>
      <c r="Q5" s="153"/>
      <c r="R5" s="153"/>
      <c r="S5" s="153"/>
      <c r="T5" s="153"/>
      <c r="U5" s="153"/>
      <c r="V5" s="153"/>
      <c r="W5" s="153"/>
      <c r="X5" s="153"/>
      <c r="Y5" s="153"/>
      <c r="Z5" s="153"/>
      <c r="AA5" s="153"/>
      <c r="AB5" s="153"/>
    </row>
    <row r="6">
      <c r="A6" s="148">
        <f>IFERROR(__xludf.DUMMYFUNCTION("""COMPUTED_VALUE"""),4.0)</f>
        <v>4</v>
      </c>
      <c r="B6" s="149" t="str">
        <f>IFERROR(__xludf.DUMMYFUNCTION("""COMPUTED_VALUE"""),"Nguyễn Thị Bảo Nhi")</f>
        <v>Nguyễn Thị Bảo Nhi</v>
      </c>
      <c r="C6" s="149" t="str">
        <f>IFERROR(__xludf.DUMMYFUNCTION("""COMPUTED_VALUE"""),"BC 70 Đường 30/4-Ea Tam-Buôn Ma Thuột-Đắk Lắk ")</f>
        <v>BC 70 Đường 30/4-Ea Tam-Buôn Ma Thuột-Đắk Lắk </v>
      </c>
      <c r="D6" s="150">
        <f>IFERROR(__xludf.DUMMYFUNCTION("""COMPUTED_VALUE"""),582.0)</f>
        <v>582</v>
      </c>
      <c r="E6" s="151">
        <f>IFERROR(__xludf.DUMMYFUNCTION("""COMPUTED_VALUE"""),0.8900343642611683)</f>
        <v>0.8900343643</v>
      </c>
      <c r="F6" s="151">
        <f>IFERROR(__xludf.DUMMYFUNCTION("""COMPUTED_VALUE"""),0.7457044673539519)</f>
        <v>0.7457044674</v>
      </c>
      <c r="G6" s="150">
        <f>IFERROR(__xludf.DUMMYFUNCTION("""COMPUTED_VALUE"""),377.0)</f>
        <v>377</v>
      </c>
      <c r="H6" s="151">
        <f>IFERROR(__xludf.DUMMYFUNCTION("""COMPUTED_VALUE"""),0.5172413793103449)</f>
        <v>0.5172413793</v>
      </c>
      <c r="I6" s="151">
        <f>IFERROR(__xludf.DUMMYFUNCTION("""COMPUTED_VALUE"""),0.3103448275862069)</f>
        <v>0.3103448276</v>
      </c>
      <c r="J6" s="150">
        <f>IFERROR(__xludf.DUMMYFUNCTION("""COMPUTED_VALUE"""),481.0)</f>
        <v>481</v>
      </c>
      <c r="K6" s="151">
        <f>IFERROR(__xludf.DUMMYFUNCTION("""COMPUTED_VALUE"""),0.6777546777546778)</f>
        <v>0.6777546778</v>
      </c>
      <c r="L6" s="151">
        <f>IFERROR(__xludf.DUMMYFUNCTION("""COMPUTED_VALUE"""),0.40540540540540543)</f>
        <v>0.4054054054</v>
      </c>
      <c r="M6" s="150">
        <f>IFERROR(__xludf.DUMMYFUNCTION("""COMPUTED_VALUE"""),1440.0)</f>
        <v>1440</v>
      </c>
      <c r="N6" s="151">
        <f>IFERROR(__xludf.DUMMYFUNCTION("""COMPUTED_VALUE"""),0.7215277777777778)</f>
        <v>0.7215277778</v>
      </c>
      <c r="O6" s="151">
        <f>IFERROR(__xludf.DUMMYFUNCTION("""COMPUTED_VALUE"""),0.5180555555555556)</f>
        <v>0.5180555556</v>
      </c>
      <c r="P6" s="152">
        <f>IFERROR(__xludf.DUMMYFUNCTION("""COMPUTED_VALUE"""),24.225067385444746)</f>
        <v>24.22506739</v>
      </c>
      <c r="Q6" s="153"/>
      <c r="R6" s="153"/>
      <c r="S6" s="153"/>
      <c r="T6" s="153"/>
      <c r="U6" s="153"/>
      <c r="V6" s="153"/>
      <c r="W6" s="153"/>
      <c r="X6" s="153"/>
      <c r="Y6" s="153"/>
      <c r="Z6" s="153"/>
      <c r="AA6" s="153"/>
      <c r="AB6" s="153"/>
    </row>
    <row r="7">
      <c r="A7" s="148">
        <f>IFERROR(__xludf.DUMMYFUNCTION("""COMPUTED_VALUE"""),5.0)</f>
        <v>5</v>
      </c>
      <c r="B7" s="149" t="str">
        <f>IFERROR(__xludf.DUMMYFUNCTION("""COMPUTED_VALUE"""),"Nguyễn Văn Sáng")</f>
        <v>Nguyễn Văn Sáng</v>
      </c>
      <c r="C7" s="149" t="str">
        <f>IFERROR(__xludf.DUMMYFUNCTION("""COMPUTED_VALUE"""),"BC 34 Quang Trung-Eakar-Đắk Lắk")</f>
        <v>BC 34 Quang Trung-Eakar-Đắk Lắk</v>
      </c>
      <c r="D7" s="150">
        <f>IFERROR(__xludf.DUMMYFUNCTION("""COMPUTED_VALUE"""),589.0)</f>
        <v>589</v>
      </c>
      <c r="E7" s="151">
        <f>IFERROR(__xludf.DUMMYFUNCTION("""COMPUTED_VALUE"""),0.7792869269949066)</f>
        <v>0.779286927</v>
      </c>
      <c r="F7" s="151">
        <f>IFERROR(__xludf.DUMMYFUNCTION("""COMPUTED_VALUE"""),0.568760611205433)</f>
        <v>0.5687606112</v>
      </c>
      <c r="G7" s="150"/>
      <c r="H7" s="148"/>
      <c r="I7" s="148"/>
      <c r="J7" s="150">
        <f>IFERROR(__xludf.DUMMYFUNCTION("""COMPUTED_VALUE"""),518.0)</f>
        <v>518</v>
      </c>
      <c r="K7" s="151">
        <f>IFERROR(__xludf.DUMMYFUNCTION("""COMPUTED_VALUE"""),0.9884169884169884)</f>
        <v>0.9884169884</v>
      </c>
      <c r="L7" s="151">
        <f>IFERROR(__xludf.DUMMYFUNCTION("""COMPUTED_VALUE"""),0.5115830115830116)</f>
        <v>0.5115830116</v>
      </c>
      <c r="M7" s="150">
        <f>IFERROR(__xludf.DUMMYFUNCTION("""COMPUTED_VALUE"""),1107.0)</f>
        <v>1107</v>
      </c>
      <c r="N7" s="151">
        <f>IFERROR(__xludf.DUMMYFUNCTION("""COMPUTED_VALUE"""),0.8771454381210478)</f>
        <v>0.8771454381</v>
      </c>
      <c r="O7" s="151">
        <f>IFERROR(__xludf.DUMMYFUNCTION("""COMPUTED_VALUE"""),0.5420054200542005)</f>
        <v>0.5420054201</v>
      </c>
      <c r="P7" s="152">
        <f>IFERROR(__xludf.DUMMYFUNCTION("""COMPUTED_VALUE"""),31.885521885521886)</f>
        <v>31.88552189</v>
      </c>
      <c r="Q7" s="153"/>
      <c r="R7" s="153"/>
      <c r="S7" s="153"/>
      <c r="T7" s="153"/>
      <c r="U7" s="153"/>
      <c r="V7" s="153"/>
      <c r="W7" s="153"/>
      <c r="X7" s="153"/>
      <c r="Y7" s="153"/>
      <c r="Z7" s="153"/>
      <c r="AA7" s="153"/>
      <c r="AB7" s="153"/>
    </row>
    <row r="8">
      <c r="A8" s="148">
        <f>IFERROR(__xludf.DUMMYFUNCTION("""COMPUTED_VALUE"""),6.0)</f>
        <v>6</v>
      </c>
      <c r="B8" s="149" t="str">
        <f>IFERROR(__xludf.DUMMYFUNCTION("""COMPUTED_VALUE"""),"Nguyễn  Ngọc Hà")</f>
        <v>Nguyễn  Ngọc Hà</v>
      </c>
      <c r="C8" s="149" t="str">
        <f>IFERROR(__xludf.DUMMYFUNCTION("""COMPUTED_VALUE"""),"BC 125 Lý Chính Thắng-Buôn Ma Thuột-Đắk Lắk")</f>
        <v>BC 125 Lý Chính Thắng-Buôn Ma Thuột-Đắk Lắk</v>
      </c>
      <c r="D8" s="150">
        <f>IFERROR(__xludf.DUMMYFUNCTION("""COMPUTED_VALUE"""),445.0)</f>
        <v>445</v>
      </c>
      <c r="E8" s="151">
        <f>IFERROR(__xludf.DUMMYFUNCTION("""COMPUTED_VALUE"""),0.9595505617977528)</f>
        <v>0.9595505618</v>
      </c>
      <c r="F8" s="151">
        <f>IFERROR(__xludf.DUMMYFUNCTION("""COMPUTED_VALUE"""),0.8382022471910112)</f>
        <v>0.8382022472</v>
      </c>
      <c r="G8" s="150">
        <f>IFERROR(__xludf.DUMMYFUNCTION("""COMPUTED_VALUE"""),398.0)</f>
        <v>398</v>
      </c>
      <c r="H8" s="151">
        <f>IFERROR(__xludf.DUMMYFUNCTION("""COMPUTED_VALUE"""),0.3844221105527638)</f>
        <v>0.3844221106</v>
      </c>
      <c r="I8" s="151">
        <f>IFERROR(__xludf.DUMMYFUNCTION("""COMPUTED_VALUE"""),0.3341708542713568)</f>
        <v>0.3341708543</v>
      </c>
      <c r="J8" s="150">
        <f>IFERROR(__xludf.DUMMYFUNCTION("""COMPUTED_VALUE"""),417.0)</f>
        <v>417</v>
      </c>
      <c r="K8" s="151">
        <f>IFERROR(__xludf.DUMMYFUNCTION("""COMPUTED_VALUE"""),0.9640287769784173)</f>
        <v>0.964028777</v>
      </c>
      <c r="L8" s="151">
        <f>IFERROR(__xludf.DUMMYFUNCTION("""COMPUTED_VALUE"""),0.5995203836930456)</f>
        <v>0.5995203837</v>
      </c>
      <c r="M8" s="150">
        <f>IFERROR(__xludf.DUMMYFUNCTION("""COMPUTED_VALUE"""),1260.0)</f>
        <v>1260</v>
      </c>
      <c r="N8" s="151">
        <f>IFERROR(__xludf.DUMMYFUNCTION("""COMPUTED_VALUE"""),0.7793650793650794)</f>
        <v>0.7793650794</v>
      </c>
      <c r="O8" s="151">
        <f>IFERROR(__xludf.DUMMYFUNCTION("""COMPUTED_VALUE"""),0.6)</f>
        <v>0.6</v>
      </c>
      <c r="P8" s="152">
        <f>IFERROR(__xludf.DUMMYFUNCTION("""COMPUTED_VALUE"""),21.471218206157964)</f>
        <v>21.47121821</v>
      </c>
      <c r="Q8" s="153"/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</row>
    <row r="9">
      <c r="A9" s="148">
        <f>IFERROR(__xludf.DUMMYFUNCTION("""COMPUTED_VALUE"""),7.0)</f>
        <v>7</v>
      </c>
      <c r="B9" s="149" t="str">
        <f>IFERROR(__xludf.DUMMYFUNCTION("""COMPUTED_VALUE"""),"Nguyễn Văn Sáng")</f>
        <v>Nguyễn Văn Sáng</v>
      </c>
      <c r="C9" s="149" t="str">
        <f>IFERROR(__xludf.DUMMYFUNCTION("""COMPUTED_VALUE"""),"BC 99 Nguyễn Khuyến-Buôn Ma Thuột-Đắk Lắk")</f>
        <v>BC 99 Nguyễn Khuyến-Buôn Ma Thuột-Đắk Lắk</v>
      </c>
      <c r="D9" s="150">
        <f>IFERROR(__xludf.DUMMYFUNCTION("""COMPUTED_VALUE"""),544.0)</f>
        <v>544</v>
      </c>
      <c r="E9" s="151">
        <f>IFERROR(__xludf.DUMMYFUNCTION("""COMPUTED_VALUE"""),0.9926470588235294)</f>
        <v>0.9926470588</v>
      </c>
      <c r="F9" s="151">
        <f>IFERROR(__xludf.DUMMYFUNCTION("""COMPUTED_VALUE"""),0.8106617647058824)</f>
        <v>0.8106617647</v>
      </c>
      <c r="G9" s="150">
        <f>IFERROR(__xludf.DUMMYFUNCTION("""COMPUTED_VALUE"""),594.0)</f>
        <v>594</v>
      </c>
      <c r="H9" s="151">
        <f>IFERROR(__xludf.DUMMYFUNCTION("""COMPUTED_VALUE"""),0.5959595959595959)</f>
        <v>0.595959596</v>
      </c>
      <c r="I9" s="151">
        <f>IFERROR(__xludf.DUMMYFUNCTION("""COMPUTED_VALUE"""),0.5117845117845118)</f>
        <v>0.5117845118</v>
      </c>
      <c r="J9" s="150">
        <f>IFERROR(__xludf.DUMMYFUNCTION("""COMPUTED_VALUE"""),265.0)</f>
        <v>265</v>
      </c>
      <c r="K9" s="151">
        <f>IFERROR(__xludf.DUMMYFUNCTION("""COMPUTED_VALUE"""),0.9773584905660377)</f>
        <v>0.9773584906</v>
      </c>
      <c r="L9" s="151">
        <f>IFERROR(__xludf.DUMMYFUNCTION("""COMPUTED_VALUE"""),0.42641509433962266)</f>
        <v>0.4264150943</v>
      </c>
      <c r="M9" s="150">
        <f>IFERROR(__xludf.DUMMYFUNCTION("""COMPUTED_VALUE"""),1403.0)</f>
        <v>1403</v>
      </c>
      <c r="N9" s="151">
        <f>IFERROR(__xludf.DUMMYFUNCTION("""COMPUTED_VALUE"""),0.8218104062722738)</f>
        <v>0.8218104063</v>
      </c>
      <c r="O9" s="151">
        <f>IFERROR(__xludf.DUMMYFUNCTION("""COMPUTED_VALUE"""),0.6115466856735566)</f>
        <v>0.6115466857</v>
      </c>
      <c r="P9" s="152">
        <f>IFERROR(__xludf.DUMMYFUNCTION("""COMPUTED_VALUE"""),11.447461629279811)</f>
        <v>11.44746163</v>
      </c>
      <c r="Q9" s="153"/>
      <c r="R9" s="153"/>
      <c r="S9" s="153"/>
      <c r="T9" s="153"/>
      <c r="U9" s="153"/>
      <c r="V9" s="153"/>
      <c r="W9" s="153"/>
      <c r="X9" s="153"/>
      <c r="Y9" s="153"/>
      <c r="Z9" s="153"/>
      <c r="AA9" s="153"/>
      <c r="AB9" s="153"/>
    </row>
    <row r="10">
      <c r="A10" s="148">
        <f>IFERROR(__xludf.DUMMYFUNCTION("""COMPUTED_VALUE"""),8.0)</f>
        <v>8</v>
      </c>
      <c r="B10" s="149" t="str">
        <f>IFERROR(__xludf.DUMMYFUNCTION("""COMPUTED_VALUE"""),"Lê Văn Tài")</f>
        <v>Lê Văn Tài</v>
      </c>
      <c r="C10" s="149" t="str">
        <f>IFERROR(__xludf.DUMMYFUNCTION("""COMPUTED_VALUE"""),"BC 941 Giải Phóng-Ea Đrăng-Ea H'Leo-Đắk Lắk")</f>
        <v>BC 941 Giải Phóng-Ea Đrăng-Ea H'Leo-Đắk Lắk</v>
      </c>
      <c r="D10" s="150">
        <f>IFERROR(__xludf.DUMMYFUNCTION("""COMPUTED_VALUE"""),844.0)</f>
        <v>844</v>
      </c>
      <c r="E10" s="151">
        <f>IFERROR(__xludf.DUMMYFUNCTION("""COMPUTED_VALUE"""),0.9597156398104265)</f>
        <v>0.9597156398</v>
      </c>
      <c r="F10" s="151">
        <f>IFERROR(__xludf.DUMMYFUNCTION("""COMPUTED_VALUE"""),0.6800947867298578)</f>
        <v>0.6800947867</v>
      </c>
      <c r="G10" s="150"/>
      <c r="H10" s="148"/>
      <c r="I10" s="148"/>
      <c r="J10" s="150">
        <f>IFERROR(__xludf.DUMMYFUNCTION("""COMPUTED_VALUE"""),224.0)</f>
        <v>224</v>
      </c>
      <c r="K10" s="151">
        <f>IFERROR(__xludf.DUMMYFUNCTION("""COMPUTED_VALUE"""),0.9732142857142857)</f>
        <v>0.9732142857</v>
      </c>
      <c r="L10" s="151">
        <f>IFERROR(__xludf.DUMMYFUNCTION("""COMPUTED_VALUE"""),0.36160714285714285)</f>
        <v>0.3616071429</v>
      </c>
      <c r="M10" s="150">
        <f>IFERROR(__xludf.DUMMYFUNCTION("""COMPUTED_VALUE"""),1068.0)</f>
        <v>1068</v>
      </c>
      <c r="N10" s="151">
        <f>IFERROR(__xludf.DUMMYFUNCTION("""COMPUTED_VALUE"""),0.9625468164794008)</f>
        <v>0.9625468165</v>
      </c>
      <c r="O10" s="151">
        <f>IFERROR(__xludf.DUMMYFUNCTION("""COMPUTED_VALUE"""),0.6132958801498127)</f>
        <v>0.6132958801</v>
      </c>
      <c r="P10" s="152">
        <f>IFERROR(__xludf.DUMMYFUNCTION("""COMPUTED_VALUE"""),15.517829457364341)</f>
        <v>15.51782946</v>
      </c>
      <c r="Q10" s="153"/>
      <c r="R10" s="153"/>
      <c r="S10" s="153"/>
      <c r="T10" s="153"/>
      <c r="U10" s="153"/>
      <c r="V10" s="153"/>
      <c r="W10" s="153"/>
      <c r="X10" s="153"/>
      <c r="Y10" s="153"/>
      <c r="Z10" s="153"/>
      <c r="AA10" s="153"/>
      <c r="AB10" s="153"/>
    </row>
    <row r="11">
      <c r="A11" s="148">
        <f>IFERROR(__xludf.DUMMYFUNCTION("""COMPUTED_VALUE"""),9.0)</f>
        <v>9</v>
      </c>
      <c r="B11" s="149" t="str">
        <f>IFERROR(__xludf.DUMMYFUNCTION("""COMPUTED_VALUE"""),"Nguyễn  Hoàng Anh ")</f>
        <v>Nguyễn  Hoàng Anh </v>
      </c>
      <c r="C11" s="149" t="str">
        <f>IFERROR(__xludf.DUMMYFUNCTION("""COMPUTED_VALUE"""),"BC Ngã Ba Đắk Liêng-Huyện Lắk-Đắk Lắk")</f>
        <v>BC Ngã Ba Đắk Liêng-Huyện Lắk-Đắk Lắk</v>
      </c>
      <c r="D11" s="150">
        <f>IFERROR(__xludf.DUMMYFUNCTION("""COMPUTED_VALUE"""),359.0)</f>
        <v>359</v>
      </c>
      <c r="E11" s="151">
        <f>IFERROR(__xludf.DUMMYFUNCTION("""COMPUTED_VALUE"""),1.0)</f>
        <v>1</v>
      </c>
      <c r="F11" s="151">
        <f>IFERROR(__xludf.DUMMYFUNCTION("""COMPUTED_VALUE"""),0.766016713091922)</f>
        <v>0.7660167131</v>
      </c>
      <c r="G11" s="150"/>
      <c r="H11" s="148"/>
      <c r="I11" s="148"/>
      <c r="J11" s="150">
        <f>IFERROR(__xludf.DUMMYFUNCTION("""COMPUTED_VALUE"""),220.0)</f>
        <v>220</v>
      </c>
      <c r="K11" s="151">
        <f>IFERROR(__xludf.DUMMYFUNCTION("""COMPUTED_VALUE"""),0.9590909090909091)</f>
        <v>0.9590909091</v>
      </c>
      <c r="L11" s="151">
        <f>IFERROR(__xludf.DUMMYFUNCTION("""COMPUTED_VALUE"""),0.4090909090909091)</f>
        <v>0.4090909091</v>
      </c>
      <c r="M11" s="150">
        <f>IFERROR(__xludf.DUMMYFUNCTION("""COMPUTED_VALUE"""),579.0)</f>
        <v>579</v>
      </c>
      <c r="N11" s="151">
        <f>IFERROR(__xludf.DUMMYFUNCTION("""COMPUTED_VALUE"""),0.9844559585492227)</f>
        <v>0.9844559585</v>
      </c>
      <c r="O11" s="151">
        <f>IFERROR(__xludf.DUMMYFUNCTION("""COMPUTED_VALUE"""),0.6303972366148531)</f>
        <v>0.6303972366</v>
      </c>
      <c r="P11" s="152">
        <f>IFERROR(__xludf.DUMMYFUNCTION("""COMPUTED_VALUE"""),19.31767955801105)</f>
        <v>19.31767956</v>
      </c>
      <c r="Q11" s="154"/>
      <c r="R11" s="153"/>
      <c r="S11" s="153"/>
      <c r="T11" s="153"/>
      <c r="U11" s="153"/>
      <c r="V11" s="153"/>
      <c r="W11" s="153"/>
      <c r="X11" s="153"/>
      <c r="Y11" s="153"/>
      <c r="Z11" s="153"/>
      <c r="AA11" s="153"/>
      <c r="AB11" s="153"/>
    </row>
    <row r="12">
      <c r="A12" s="148">
        <f>IFERROR(__xludf.DUMMYFUNCTION("""COMPUTED_VALUE"""),10.0)</f>
        <v>10</v>
      </c>
      <c r="B12" s="149" t="str">
        <f>IFERROR(__xludf.DUMMYFUNCTION("""COMPUTED_VALUE"""),"Nguyễn Văn Sáng")</f>
        <v>Nguyễn Văn Sáng</v>
      </c>
      <c r="C12" s="149" t="str">
        <f>IFERROR(__xludf.DUMMYFUNCTION("""COMPUTED_VALUE"""),"BC 132 Hoàng Hoa Thám-Buôn Ma Thuột-Đắk Lắk")</f>
        <v>BC 132 Hoàng Hoa Thám-Buôn Ma Thuột-Đắk Lắk</v>
      </c>
      <c r="D12" s="150">
        <f>IFERROR(__xludf.DUMMYFUNCTION("""COMPUTED_VALUE"""),521.0)</f>
        <v>521</v>
      </c>
      <c r="E12" s="151">
        <f>IFERROR(__xludf.DUMMYFUNCTION("""COMPUTED_VALUE"""),0.9788867562380038)</f>
        <v>0.9788867562</v>
      </c>
      <c r="F12" s="151">
        <f>IFERROR(__xludf.DUMMYFUNCTION("""COMPUTED_VALUE"""),0.8291746641074856)</f>
        <v>0.8291746641</v>
      </c>
      <c r="G12" s="150">
        <f>IFERROR(__xludf.DUMMYFUNCTION("""COMPUTED_VALUE"""),491.0)</f>
        <v>491</v>
      </c>
      <c r="H12" s="151">
        <f>IFERROR(__xludf.DUMMYFUNCTION("""COMPUTED_VALUE"""),0.594704684317719)</f>
        <v>0.5947046843</v>
      </c>
      <c r="I12" s="151">
        <f>IFERROR(__xludf.DUMMYFUNCTION("""COMPUTED_VALUE"""),0.48065173116089616)</f>
        <v>0.4806517312</v>
      </c>
      <c r="J12" s="150">
        <f>IFERROR(__xludf.DUMMYFUNCTION("""COMPUTED_VALUE"""),288.0)</f>
        <v>288</v>
      </c>
      <c r="K12" s="151">
        <f>IFERROR(__xludf.DUMMYFUNCTION("""COMPUTED_VALUE"""),0.9861111111111112)</f>
        <v>0.9861111111</v>
      </c>
      <c r="L12" s="151">
        <f>IFERROR(__xludf.DUMMYFUNCTION("""COMPUTED_VALUE"""),0.5625)</f>
        <v>0.5625</v>
      </c>
      <c r="M12" s="150">
        <f>IFERROR(__xludf.DUMMYFUNCTION("""COMPUTED_VALUE"""),1300.0)</f>
        <v>1300</v>
      </c>
      <c r="N12" s="151">
        <f>IFERROR(__xludf.DUMMYFUNCTION("""COMPUTED_VALUE"""),0.8353846153846154)</f>
        <v>0.8353846154</v>
      </c>
      <c r="O12" s="151">
        <f>IFERROR(__xludf.DUMMYFUNCTION("""COMPUTED_VALUE"""),0.6384615384615384)</f>
        <v>0.6384615385</v>
      </c>
      <c r="P12" s="152">
        <f>IFERROR(__xludf.DUMMYFUNCTION("""COMPUTED_VALUE"""),13.288156288156289)</f>
        <v>13.28815629</v>
      </c>
      <c r="Q12" s="154"/>
      <c r="R12" s="153"/>
      <c r="S12" s="153"/>
      <c r="T12" s="153"/>
      <c r="U12" s="153"/>
      <c r="V12" s="153"/>
      <c r="W12" s="153"/>
      <c r="X12" s="153"/>
      <c r="Y12" s="153"/>
      <c r="Z12" s="153"/>
      <c r="AA12" s="153"/>
      <c r="AB12" s="153"/>
    </row>
    <row r="13">
      <c r="A13" s="155">
        <f>IFERROR(__xludf.DUMMYFUNCTION("""COMPUTED_VALUE"""),11.0)</f>
        <v>11</v>
      </c>
      <c r="B13" s="156" t="str">
        <f>IFERROR(__xludf.DUMMYFUNCTION("""COMPUTED_VALUE"""),"Nguyễn  Hoàng Anh ")</f>
        <v>Nguyễn  Hoàng Anh </v>
      </c>
      <c r="C13" s="156" t="str">
        <f>IFERROR(__xludf.DUMMYFUNCTION("""COMPUTED_VALUE"""),"BC Km18-Cư Kuin-Đắk Lắk")</f>
        <v>BC Km18-Cư Kuin-Đắk Lắk</v>
      </c>
      <c r="D13" s="157">
        <f>IFERROR(__xludf.DUMMYFUNCTION("""COMPUTED_VALUE"""),544.0)</f>
        <v>544</v>
      </c>
      <c r="E13" s="158">
        <f>IFERROR(__xludf.DUMMYFUNCTION("""COMPUTED_VALUE"""),0.9926470588235294)</f>
        <v>0.9926470588</v>
      </c>
      <c r="F13" s="158">
        <f>IFERROR(__xludf.DUMMYFUNCTION("""COMPUTED_VALUE"""),0.7463235294117647)</f>
        <v>0.7463235294</v>
      </c>
      <c r="G13" s="157"/>
      <c r="H13" s="155"/>
      <c r="I13" s="155"/>
      <c r="J13" s="157">
        <f>IFERROR(__xludf.DUMMYFUNCTION("""COMPUTED_VALUE"""),250.0)</f>
        <v>250</v>
      </c>
      <c r="K13" s="158">
        <f>IFERROR(__xludf.DUMMYFUNCTION("""COMPUTED_VALUE"""),0.964)</f>
        <v>0.964</v>
      </c>
      <c r="L13" s="158">
        <f>IFERROR(__xludf.DUMMYFUNCTION("""COMPUTED_VALUE"""),0.404)</f>
        <v>0.404</v>
      </c>
      <c r="M13" s="157">
        <f>IFERROR(__xludf.DUMMYFUNCTION("""COMPUTED_VALUE"""),794.0)</f>
        <v>794</v>
      </c>
      <c r="N13" s="158">
        <f>IFERROR(__xludf.DUMMYFUNCTION("""COMPUTED_VALUE"""),0.9836272040302267)</f>
        <v>0.983627204</v>
      </c>
      <c r="O13" s="158">
        <f>IFERROR(__xludf.DUMMYFUNCTION("""COMPUTED_VALUE"""),0.6385390428211587)</f>
        <v>0.6385390428</v>
      </c>
      <c r="P13" s="159">
        <f>IFERROR(__xludf.DUMMYFUNCTION("""COMPUTED_VALUE"""),16.832)</f>
        <v>16.832</v>
      </c>
      <c r="Q13" s="153"/>
      <c r="R13" s="153"/>
    </row>
    <row r="14">
      <c r="A14" s="155">
        <f>IFERROR(__xludf.DUMMYFUNCTION("""COMPUTED_VALUE"""),12.0)</f>
        <v>12</v>
      </c>
      <c r="B14" s="156" t="str">
        <f>IFERROR(__xludf.DUMMYFUNCTION("""COMPUTED_VALUE"""),"Mai Đức Hoàng Long")</f>
        <v>Mai Đức Hoàng Long</v>
      </c>
      <c r="C14" s="156" t="str">
        <f>IFERROR(__xludf.DUMMYFUNCTION("""COMPUTED_VALUE"""),"BC 204 Trần Hưng Đạo-Buôn Hồ-Đắk Lắk")</f>
        <v>BC 204 Trần Hưng Đạo-Buôn Hồ-Đắk Lắk</v>
      </c>
      <c r="D14" s="157">
        <f>IFERROR(__xludf.DUMMYFUNCTION("""COMPUTED_VALUE"""),499.0)</f>
        <v>499</v>
      </c>
      <c r="E14" s="158">
        <f>IFERROR(__xludf.DUMMYFUNCTION("""COMPUTED_VALUE"""),0.9939879759519038)</f>
        <v>0.993987976</v>
      </c>
      <c r="F14" s="158">
        <f>IFERROR(__xludf.DUMMYFUNCTION("""COMPUTED_VALUE"""),0.7374749498997996)</f>
        <v>0.7374749499</v>
      </c>
      <c r="G14" s="157"/>
      <c r="H14" s="155"/>
      <c r="I14" s="155"/>
      <c r="J14" s="157">
        <f>IFERROR(__xludf.DUMMYFUNCTION("""COMPUTED_VALUE"""),326.0)</f>
        <v>326</v>
      </c>
      <c r="K14" s="158">
        <f>IFERROR(__xludf.DUMMYFUNCTION("""COMPUTED_VALUE"""),0.9447852760736196)</f>
        <v>0.9447852761</v>
      </c>
      <c r="L14" s="158">
        <f>IFERROR(__xludf.DUMMYFUNCTION("""COMPUTED_VALUE"""),0.4938650306748466)</f>
        <v>0.4938650307</v>
      </c>
      <c r="M14" s="157">
        <f>IFERROR(__xludf.DUMMYFUNCTION("""COMPUTED_VALUE"""),825.0)</f>
        <v>825</v>
      </c>
      <c r="N14" s="158">
        <f>IFERROR(__xludf.DUMMYFUNCTION("""COMPUTED_VALUE"""),0.9745454545454545)</f>
        <v>0.9745454545</v>
      </c>
      <c r="O14" s="158">
        <f>IFERROR(__xludf.DUMMYFUNCTION("""COMPUTED_VALUE"""),0.6412121212121212)</f>
        <v>0.6412121212</v>
      </c>
      <c r="P14" s="159">
        <f>IFERROR(__xludf.DUMMYFUNCTION("""COMPUTED_VALUE"""),24.333333333333332)</f>
        <v>24.33333333</v>
      </c>
      <c r="Q14" s="153"/>
      <c r="R14" s="153"/>
    </row>
    <row r="15">
      <c r="A15" s="155">
        <f>IFERROR(__xludf.DUMMYFUNCTION("""COMPUTED_VALUE"""),13.0)</f>
        <v>13</v>
      </c>
      <c r="B15" s="156" t="str">
        <f>IFERROR(__xludf.DUMMYFUNCTION("""COMPUTED_VALUE"""),"Nguyễn Công Luận")</f>
        <v>Nguyễn Công Luận</v>
      </c>
      <c r="C15" s="156" t="str">
        <f>IFERROR(__xludf.DUMMYFUNCTION("""COMPUTED_VALUE"""),"BC 172 Quang Trung-Đức Cơ-Gia Lai")</f>
        <v>BC 172 Quang Trung-Đức Cơ-Gia Lai</v>
      </c>
      <c r="D15" s="157">
        <f>IFERROR(__xludf.DUMMYFUNCTION("""COMPUTED_VALUE"""),487.0)</f>
        <v>487</v>
      </c>
      <c r="E15" s="158">
        <f>IFERROR(__xludf.DUMMYFUNCTION("""COMPUTED_VALUE"""),0.9897330595482546)</f>
        <v>0.9897330595</v>
      </c>
      <c r="F15" s="158">
        <f>IFERROR(__xludf.DUMMYFUNCTION("""COMPUTED_VALUE"""),0.8090349075975359)</f>
        <v>0.8090349076</v>
      </c>
      <c r="G15" s="157"/>
      <c r="H15" s="155"/>
      <c r="I15" s="155"/>
      <c r="J15" s="157">
        <f>IFERROR(__xludf.DUMMYFUNCTION("""COMPUTED_VALUE"""),238.0)</f>
        <v>238</v>
      </c>
      <c r="K15" s="158">
        <f>IFERROR(__xludf.DUMMYFUNCTION("""COMPUTED_VALUE"""),0.8739495798319328)</f>
        <v>0.8739495798</v>
      </c>
      <c r="L15" s="158">
        <f>IFERROR(__xludf.DUMMYFUNCTION("""COMPUTED_VALUE"""),0.31512605042016806)</f>
        <v>0.3151260504</v>
      </c>
      <c r="M15" s="157">
        <f>IFERROR(__xludf.DUMMYFUNCTION("""COMPUTED_VALUE"""),725.0)</f>
        <v>725</v>
      </c>
      <c r="N15" s="158">
        <f>IFERROR(__xludf.DUMMYFUNCTION("""COMPUTED_VALUE"""),0.9517241379310345)</f>
        <v>0.9517241379</v>
      </c>
      <c r="O15" s="158">
        <f>IFERROR(__xludf.DUMMYFUNCTION("""COMPUTED_VALUE"""),0.646896551724138)</f>
        <v>0.6468965517</v>
      </c>
      <c r="P15" s="159">
        <f>IFERROR(__xludf.DUMMYFUNCTION("""COMPUTED_VALUE"""),20.94396551724138)</f>
        <v>20.94396552</v>
      </c>
      <c r="Q15" s="153"/>
      <c r="R15" s="153"/>
    </row>
    <row r="16">
      <c r="A16" s="160">
        <f>IFERROR(__xludf.DUMMYFUNCTION("""COMPUTED_VALUE"""),14.0)</f>
        <v>14</v>
      </c>
      <c r="B16" s="161" t="str">
        <f>IFERROR(__xludf.DUMMYFUNCTION("""COMPUTED_VALUE"""),"Nguyễn Văn Sáng")</f>
        <v>Nguyễn Văn Sáng</v>
      </c>
      <c r="C16" s="161" t="str">
        <f>IFERROR(__xludf.DUMMYFUNCTION("""COMPUTED_VALUE"""),"BC Ea Phê-Krông Pắk-Đắk Lắk")</f>
        <v>BC Ea Phê-Krông Pắk-Đắk Lắk</v>
      </c>
      <c r="D16" s="162">
        <f>IFERROR(__xludf.DUMMYFUNCTION("""COMPUTED_VALUE"""),460.0)</f>
        <v>460</v>
      </c>
      <c r="E16" s="163">
        <f>IFERROR(__xludf.DUMMYFUNCTION("""COMPUTED_VALUE"""),0.991304347826087)</f>
        <v>0.9913043478</v>
      </c>
      <c r="F16" s="163">
        <f>IFERROR(__xludf.DUMMYFUNCTION("""COMPUTED_VALUE"""),0.7543478260869565)</f>
        <v>0.7543478261</v>
      </c>
      <c r="G16" s="162"/>
      <c r="H16" s="160"/>
      <c r="I16" s="160"/>
      <c r="J16" s="162">
        <f>IFERROR(__xludf.DUMMYFUNCTION("""COMPUTED_VALUE"""),202.0)</f>
        <v>202</v>
      </c>
      <c r="K16" s="163">
        <f>IFERROR(__xludf.DUMMYFUNCTION("""COMPUTED_VALUE"""),0.9752475247524752)</f>
        <v>0.9752475248</v>
      </c>
      <c r="L16" s="163">
        <f>IFERROR(__xludf.DUMMYFUNCTION("""COMPUTED_VALUE"""),0.44554455445544555)</f>
        <v>0.4455445545</v>
      </c>
      <c r="M16" s="162">
        <f>IFERROR(__xludf.DUMMYFUNCTION("""COMPUTED_VALUE"""),662.0)</f>
        <v>662</v>
      </c>
      <c r="N16" s="163">
        <f>IFERROR(__xludf.DUMMYFUNCTION("""COMPUTED_VALUE"""),0.986404833836858)</f>
        <v>0.9864048338</v>
      </c>
      <c r="O16" s="163">
        <f>IFERROR(__xludf.DUMMYFUNCTION("""COMPUTED_VALUE"""),0.6601208459214502)</f>
        <v>0.6601208459</v>
      </c>
      <c r="P16" s="164">
        <f>IFERROR(__xludf.DUMMYFUNCTION("""COMPUTED_VALUE"""),18.18475750577367)</f>
        <v>18.18475751</v>
      </c>
      <c r="Q16" s="153"/>
      <c r="R16" s="153"/>
    </row>
    <row r="17">
      <c r="A17" s="160">
        <f>IFERROR(__xludf.DUMMYFUNCTION("""COMPUTED_VALUE"""),15.0)</f>
        <v>15</v>
      </c>
      <c r="B17" s="161" t="str">
        <f>IFERROR(__xludf.DUMMYFUNCTION("""COMPUTED_VALUE"""),"Ngô  Thị Bích Trâm ")</f>
        <v>Ngô  Thị Bích Trâm </v>
      </c>
      <c r="C17" s="161" t="str">
        <f>IFERROR(__xludf.DUMMYFUNCTION("""COMPUTED_VALUE"""),"BC 236A Nguyễn Huệ-Đak Đoa-Gia Lai")</f>
        <v>BC 236A Nguyễn Huệ-Đak Đoa-Gia Lai</v>
      </c>
      <c r="D17" s="162">
        <f>IFERROR(__xludf.DUMMYFUNCTION("""COMPUTED_VALUE"""),968.0)</f>
        <v>968</v>
      </c>
      <c r="E17" s="163">
        <f>IFERROR(__xludf.DUMMYFUNCTION("""COMPUTED_VALUE"""),0.993801652892562)</f>
        <v>0.9938016529</v>
      </c>
      <c r="F17" s="163">
        <f>IFERROR(__xludf.DUMMYFUNCTION("""COMPUTED_VALUE"""),0.7324380165289256)</f>
        <v>0.7324380165</v>
      </c>
      <c r="G17" s="162">
        <f>IFERROR(__xludf.DUMMYFUNCTION("""COMPUTED_VALUE"""),1.0)</f>
        <v>1</v>
      </c>
      <c r="H17" s="163">
        <f>IFERROR(__xludf.DUMMYFUNCTION("""COMPUTED_VALUE"""),1.0)</f>
        <v>1</v>
      </c>
      <c r="I17" s="163">
        <f>IFERROR(__xludf.DUMMYFUNCTION("""COMPUTED_VALUE"""),1.0)</f>
        <v>1</v>
      </c>
      <c r="J17" s="162">
        <f>IFERROR(__xludf.DUMMYFUNCTION("""COMPUTED_VALUE"""),190.0)</f>
        <v>190</v>
      </c>
      <c r="K17" s="163">
        <f>IFERROR(__xludf.DUMMYFUNCTION("""COMPUTED_VALUE"""),0.9736842105263158)</f>
        <v>0.9736842105</v>
      </c>
      <c r="L17" s="163">
        <f>IFERROR(__xludf.DUMMYFUNCTION("""COMPUTED_VALUE"""),0.3631578947368421)</f>
        <v>0.3631578947</v>
      </c>
      <c r="M17" s="162">
        <f>IFERROR(__xludf.DUMMYFUNCTION("""COMPUTED_VALUE"""),1159.0)</f>
        <v>1159</v>
      </c>
      <c r="N17" s="163">
        <f>IFERROR(__xludf.DUMMYFUNCTION("""COMPUTED_VALUE"""),0.9905090595340811)</f>
        <v>0.9905090595</v>
      </c>
      <c r="O17" s="163">
        <f>IFERROR(__xludf.DUMMYFUNCTION("""COMPUTED_VALUE"""),0.6721311475409836)</f>
        <v>0.6721311475</v>
      </c>
      <c r="P17" s="164">
        <f>IFERROR(__xludf.DUMMYFUNCTION("""COMPUTED_VALUE"""),14.52219321148825)</f>
        <v>14.52219321</v>
      </c>
      <c r="Q17" s="153"/>
      <c r="R17" s="153"/>
    </row>
    <row r="18">
      <c r="A18" s="160">
        <f>IFERROR(__xludf.DUMMYFUNCTION("""COMPUTED_VALUE"""),16.0)</f>
        <v>16</v>
      </c>
      <c r="B18" s="161" t="str">
        <f>IFERROR(__xludf.DUMMYFUNCTION("""COMPUTED_VALUE"""),"Nguyễn  Ngọc Hà")</f>
        <v>Nguyễn  Ngọc Hà</v>
      </c>
      <c r="C18" s="161" t="str">
        <f>IFERROR(__xludf.DUMMYFUNCTION("""COMPUTED_VALUE"""),"BC Thôn Tân Lập Quốc Lộ 26-Xã Cư M'ta-M'Đrắk-Đăk Lắk")</f>
        <v>BC Thôn Tân Lập Quốc Lộ 26-Xã Cư M'ta-M'Đrắk-Đăk Lắk</v>
      </c>
      <c r="D18" s="162">
        <f>IFERROR(__xludf.DUMMYFUNCTION("""COMPUTED_VALUE"""),347.0)</f>
        <v>347</v>
      </c>
      <c r="E18" s="163">
        <f>IFERROR(__xludf.DUMMYFUNCTION("""COMPUTED_VALUE"""),1.0)</f>
        <v>1</v>
      </c>
      <c r="F18" s="163">
        <f>IFERROR(__xludf.DUMMYFUNCTION("""COMPUTED_VALUE"""),0.7867435158501441)</f>
        <v>0.7867435159</v>
      </c>
      <c r="G18" s="162">
        <f>IFERROR(__xludf.DUMMYFUNCTION("""COMPUTED_VALUE"""),218.0)</f>
        <v>218</v>
      </c>
      <c r="H18" s="163">
        <f>IFERROR(__xludf.DUMMYFUNCTION("""COMPUTED_VALUE"""),0.8853211009174312)</f>
        <v>0.8853211009</v>
      </c>
      <c r="I18" s="163">
        <f>IFERROR(__xludf.DUMMYFUNCTION("""COMPUTED_VALUE"""),0.6284403669724771)</f>
        <v>0.628440367</v>
      </c>
      <c r="J18" s="162">
        <f>IFERROR(__xludf.DUMMYFUNCTION("""COMPUTED_VALUE"""),145.0)</f>
        <v>145</v>
      </c>
      <c r="K18" s="163">
        <f>IFERROR(__xludf.DUMMYFUNCTION("""COMPUTED_VALUE"""),0.9517241379310345)</f>
        <v>0.9517241379</v>
      </c>
      <c r="L18" s="163">
        <f>IFERROR(__xludf.DUMMYFUNCTION("""COMPUTED_VALUE"""),0.4896551724137931)</f>
        <v>0.4896551724</v>
      </c>
      <c r="M18" s="162">
        <f>IFERROR(__xludf.DUMMYFUNCTION("""COMPUTED_VALUE"""),710.0)</f>
        <v>710</v>
      </c>
      <c r="N18" s="163">
        <f>IFERROR(__xludf.DUMMYFUNCTION("""COMPUTED_VALUE"""),0.9549295774647887)</f>
        <v>0.9549295775</v>
      </c>
      <c r="O18" s="163">
        <f>IFERROR(__xludf.DUMMYFUNCTION("""COMPUTED_VALUE"""),0.6774647887323944)</f>
        <v>0.6774647887</v>
      </c>
      <c r="P18" s="164">
        <f>IFERROR(__xludf.DUMMYFUNCTION("""COMPUTED_VALUE"""),9.668789808917197)</f>
        <v>9.668789809</v>
      </c>
      <c r="Q18" s="153"/>
      <c r="R18" s="153"/>
    </row>
    <row r="19">
      <c r="A19" s="160">
        <f>IFERROR(__xludf.DUMMYFUNCTION("""COMPUTED_VALUE"""),17.0)</f>
        <v>17</v>
      </c>
      <c r="B19" s="161" t="str">
        <f>IFERROR(__xludf.DUMMYFUNCTION("""COMPUTED_VALUE"""),"Nguyễn Thị Bảo Nhi")</f>
        <v>Nguyễn Thị Bảo Nhi</v>
      </c>
      <c r="C19" s="161" t="str">
        <f>IFERROR(__xludf.DUMMYFUNCTION("""COMPUTED_VALUE"""),"BC Km 30 Tân Hòa-Buôn Đôn-Đắk Lắk")</f>
        <v>BC Km 30 Tân Hòa-Buôn Đôn-Đắk Lắk</v>
      </c>
      <c r="D19" s="162">
        <f>IFERROR(__xludf.DUMMYFUNCTION("""COMPUTED_VALUE"""),243.0)</f>
        <v>243</v>
      </c>
      <c r="E19" s="163">
        <f>IFERROR(__xludf.DUMMYFUNCTION("""COMPUTED_VALUE"""),1.0)</f>
        <v>1</v>
      </c>
      <c r="F19" s="163">
        <f>IFERROR(__xludf.DUMMYFUNCTION("""COMPUTED_VALUE"""),0.7983539094650206)</f>
        <v>0.7983539095</v>
      </c>
      <c r="G19" s="162">
        <f>IFERROR(__xludf.DUMMYFUNCTION("""COMPUTED_VALUE"""),239.0)</f>
        <v>239</v>
      </c>
      <c r="H19" s="163">
        <f>IFERROR(__xludf.DUMMYFUNCTION("""COMPUTED_VALUE"""),0.8075313807531381)</f>
        <v>0.8075313808</v>
      </c>
      <c r="I19" s="163">
        <f>IFERROR(__xludf.DUMMYFUNCTION("""COMPUTED_VALUE"""),0.6485355648535565)</f>
        <v>0.6485355649</v>
      </c>
      <c r="J19" s="162">
        <f>IFERROR(__xludf.DUMMYFUNCTION("""COMPUTED_VALUE"""),101.0)</f>
        <v>101</v>
      </c>
      <c r="K19" s="163">
        <f>IFERROR(__xludf.DUMMYFUNCTION("""COMPUTED_VALUE"""),0.9801980198019802)</f>
        <v>0.9801980198</v>
      </c>
      <c r="L19" s="163">
        <f>IFERROR(__xludf.DUMMYFUNCTION("""COMPUTED_VALUE"""),0.45544554455445546)</f>
        <v>0.4554455446</v>
      </c>
      <c r="M19" s="162">
        <f>IFERROR(__xludf.DUMMYFUNCTION("""COMPUTED_VALUE"""),583.0)</f>
        <v>583</v>
      </c>
      <c r="N19" s="163">
        <f>IFERROR(__xludf.DUMMYFUNCTION("""COMPUTED_VALUE"""),0.9176672384219554)</f>
        <v>0.9176672384</v>
      </c>
      <c r="O19" s="163">
        <f>IFERROR(__xludf.DUMMYFUNCTION("""COMPUTED_VALUE"""),0.6775300171526587)</f>
        <v>0.6775300172</v>
      </c>
      <c r="P19" s="164">
        <f>IFERROR(__xludf.DUMMYFUNCTION("""COMPUTED_VALUE"""),8.37084398976982)</f>
        <v>8.37084399</v>
      </c>
      <c r="Q19" s="153"/>
      <c r="R19" s="153"/>
    </row>
    <row r="20">
      <c r="A20" s="160">
        <f>IFERROR(__xludf.DUMMYFUNCTION("""COMPUTED_VALUE"""),18.0)</f>
        <v>18</v>
      </c>
      <c r="B20" s="161" t="str">
        <f>IFERROR(__xludf.DUMMYFUNCTION("""COMPUTED_VALUE"""),"Nguyễn Công Luận")</f>
        <v>Nguyễn Công Luận</v>
      </c>
      <c r="C20" s="161" t="str">
        <f>IFERROR(__xludf.DUMMYFUNCTION("""COMPUTED_VALUE"""),"BC 39 Nguyễn Huệ-Ayun Pa-Gia Lai")</f>
        <v>BC 39 Nguyễn Huệ-Ayun Pa-Gia Lai</v>
      </c>
      <c r="D20" s="162">
        <f>IFERROR(__xludf.DUMMYFUNCTION("""COMPUTED_VALUE"""),524.0)</f>
        <v>524</v>
      </c>
      <c r="E20" s="163">
        <f>IFERROR(__xludf.DUMMYFUNCTION("""COMPUTED_VALUE"""),1.0)</f>
        <v>1</v>
      </c>
      <c r="F20" s="163">
        <f>IFERROR(__xludf.DUMMYFUNCTION("""COMPUTED_VALUE"""),0.7938931297709924)</f>
        <v>0.7938931298</v>
      </c>
      <c r="G20" s="162">
        <f>IFERROR(__xludf.DUMMYFUNCTION("""COMPUTED_VALUE"""),26.0)</f>
        <v>26</v>
      </c>
      <c r="H20" s="163">
        <f>IFERROR(__xludf.DUMMYFUNCTION("""COMPUTED_VALUE"""),0.7307692307692307)</f>
        <v>0.7307692308</v>
      </c>
      <c r="I20" s="163">
        <f>IFERROR(__xludf.DUMMYFUNCTION("""COMPUTED_VALUE"""),0.5)</f>
        <v>0.5</v>
      </c>
      <c r="J20" s="162">
        <f>IFERROR(__xludf.DUMMYFUNCTION("""COMPUTED_VALUE"""),193.0)</f>
        <v>193</v>
      </c>
      <c r="K20" s="163">
        <f>IFERROR(__xludf.DUMMYFUNCTION("""COMPUTED_VALUE"""),0.9689119170984456)</f>
        <v>0.9689119171</v>
      </c>
      <c r="L20" s="163">
        <f>IFERROR(__xludf.DUMMYFUNCTION("""COMPUTED_VALUE"""),0.38860103626943004)</f>
        <v>0.3886010363</v>
      </c>
      <c r="M20" s="162">
        <f>IFERROR(__xludf.DUMMYFUNCTION("""COMPUTED_VALUE"""),743.0)</f>
        <v>743</v>
      </c>
      <c r="N20" s="163">
        <f>IFERROR(__xludf.DUMMYFUNCTION("""COMPUTED_VALUE"""),0.9825033647375505)</f>
        <v>0.9825033647</v>
      </c>
      <c r="O20" s="163">
        <f>IFERROR(__xludf.DUMMYFUNCTION("""COMPUTED_VALUE"""),0.6783310901749664)</f>
        <v>0.6783310902</v>
      </c>
      <c r="P20" s="164">
        <f>IFERROR(__xludf.DUMMYFUNCTION("""COMPUTED_VALUE"""),17.85140562248996)</f>
        <v>17.85140562</v>
      </c>
      <c r="Q20" s="153"/>
      <c r="R20" s="153"/>
    </row>
    <row r="21">
      <c r="A21" s="160">
        <f>IFERROR(__xludf.DUMMYFUNCTION("""COMPUTED_VALUE"""),19.0)</f>
        <v>19</v>
      </c>
      <c r="B21" s="161" t="str">
        <f>IFERROR(__xludf.DUMMYFUNCTION("""COMPUTED_VALUE"""),"Nguyễn  Hoàng Anh ")</f>
        <v>Nguyễn  Hoàng Anh </v>
      </c>
      <c r="C21" s="161" t="str">
        <f>IFERROR(__xludf.DUMMYFUNCTION("""COMPUTED_VALUE"""),"BC 271 Nguyễn Văn Cừ-Tân Lập-Đắk Lắk")</f>
        <v>BC 271 Nguyễn Văn Cừ-Tân Lập-Đắk Lắk</v>
      </c>
      <c r="D21" s="162">
        <f>IFERROR(__xludf.DUMMYFUNCTION("""COMPUTED_VALUE"""),593.0)</f>
        <v>593</v>
      </c>
      <c r="E21" s="163">
        <f>IFERROR(__xludf.DUMMYFUNCTION("""COMPUTED_VALUE"""),0.984822934232715)</f>
        <v>0.9848229342</v>
      </c>
      <c r="F21" s="163">
        <f>IFERROR(__xludf.DUMMYFUNCTION("""COMPUTED_VALUE"""),0.8026981450252951)</f>
        <v>0.802698145</v>
      </c>
      <c r="G21" s="162">
        <f>IFERROR(__xludf.DUMMYFUNCTION("""COMPUTED_VALUE"""),347.0)</f>
        <v>347</v>
      </c>
      <c r="H21" s="163">
        <f>IFERROR(__xludf.DUMMYFUNCTION("""COMPUTED_VALUE"""),0.7982708933717579)</f>
        <v>0.7982708934</v>
      </c>
      <c r="I21" s="163">
        <f>IFERROR(__xludf.DUMMYFUNCTION("""COMPUTED_VALUE"""),0.6397694524495677)</f>
        <v>0.6397694524</v>
      </c>
      <c r="J21" s="162">
        <f>IFERROR(__xludf.DUMMYFUNCTION("""COMPUTED_VALUE"""),218.0)</f>
        <v>218</v>
      </c>
      <c r="K21" s="163">
        <f>IFERROR(__xludf.DUMMYFUNCTION("""COMPUTED_VALUE"""),0.9862385321100917)</f>
        <v>0.9862385321</v>
      </c>
      <c r="L21" s="163">
        <f>IFERROR(__xludf.DUMMYFUNCTION("""COMPUTED_VALUE"""),0.463302752293578)</f>
        <v>0.4633027523</v>
      </c>
      <c r="M21" s="162">
        <f>IFERROR(__xludf.DUMMYFUNCTION("""COMPUTED_VALUE"""),1158.0)</f>
        <v>1158</v>
      </c>
      <c r="N21" s="163">
        <f>IFERROR(__xludf.DUMMYFUNCTION("""COMPUTED_VALUE"""),0.9291882556131261)</f>
        <v>0.9291882556</v>
      </c>
      <c r="O21" s="163">
        <f>IFERROR(__xludf.DUMMYFUNCTION("""COMPUTED_VALUE"""),0.6899827288428325)</f>
        <v>0.6899827288</v>
      </c>
      <c r="P21" s="164">
        <f>IFERROR(__xludf.DUMMYFUNCTION("""COMPUTED_VALUE"""),13.221941992433795)</f>
        <v>13.22194199</v>
      </c>
      <c r="Q21" s="153"/>
      <c r="R21" s="153"/>
    </row>
    <row r="22">
      <c r="A22" s="160">
        <f>IFERROR(__xludf.DUMMYFUNCTION("""COMPUTED_VALUE"""),20.0)</f>
        <v>20</v>
      </c>
      <c r="B22" s="161" t="str">
        <f>IFERROR(__xludf.DUMMYFUNCTION("""COMPUTED_VALUE"""),"Nguyễn Thị Bảo Nhi")</f>
        <v>Nguyễn Thị Bảo Nhi</v>
      </c>
      <c r="C22" s="161" t="str">
        <f>IFERROR(__xludf.DUMMYFUNCTION("""COMPUTED_VALUE"""),"BC 245 Hùng Vương-Ea Súp-Đắk Lắk")</f>
        <v>BC 245 Hùng Vương-Ea Súp-Đắk Lắk</v>
      </c>
      <c r="D22" s="162">
        <f>IFERROR(__xludf.DUMMYFUNCTION("""COMPUTED_VALUE"""),319.0)</f>
        <v>319</v>
      </c>
      <c r="E22" s="163">
        <f>IFERROR(__xludf.DUMMYFUNCTION("""COMPUTED_VALUE"""),1.0)</f>
        <v>1</v>
      </c>
      <c r="F22" s="163">
        <f>IFERROR(__xludf.DUMMYFUNCTION("""COMPUTED_VALUE"""),0.7836990595611285)</f>
        <v>0.7836990596</v>
      </c>
      <c r="G22" s="162"/>
      <c r="H22" s="160"/>
      <c r="I22" s="160"/>
      <c r="J22" s="162">
        <f>IFERROR(__xludf.DUMMYFUNCTION("""COMPUTED_VALUE"""),114.0)</f>
        <v>114</v>
      </c>
      <c r="K22" s="163">
        <f>IFERROR(__xludf.DUMMYFUNCTION("""COMPUTED_VALUE"""),0.9912280701754386)</f>
        <v>0.9912280702</v>
      </c>
      <c r="L22" s="163">
        <f>IFERROR(__xludf.DUMMYFUNCTION("""COMPUTED_VALUE"""),0.47368421052631576)</f>
        <v>0.4736842105</v>
      </c>
      <c r="M22" s="162">
        <f>IFERROR(__xludf.DUMMYFUNCTION("""COMPUTED_VALUE"""),433.0)</f>
        <v>433</v>
      </c>
      <c r="N22" s="163">
        <f>IFERROR(__xludf.DUMMYFUNCTION("""COMPUTED_VALUE"""),0.9976905311778291)</f>
        <v>0.9976905312</v>
      </c>
      <c r="O22" s="163">
        <f>IFERROR(__xludf.DUMMYFUNCTION("""COMPUTED_VALUE"""),0.7020785219399538)</f>
        <v>0.7020785219</v>
      </c>
      <c r="P22" s="164">
        <f>IFERROR(__xludf.DUMMYFUNCTION("""COMPUTED_VALUE"""),20.833333333333332)</f>
        <v>20.83333333</v>
      </c>
      <c r="Q22" s="153"/>
      <c r="R22" s="153"/>
    </row>
    <row r="23">
      <c r="A23" s="160">
        <f>IFERROR(__xludf.DUMMYFUNCTION("""COMPUTED_VALUE"""),21.0)</f>
        <v>21</v>
      </c>
      <c r="B23" s="161" t="str">
        <f>IFERROR(__xludf.DUMMYFUNCTION("""COMPUTED_VALUE"""),"Mai Đức Hoàng Long")</f>
        <v>Mai Đức Hoàng Long</v>
      </c>
      <c r="C23" s="161" t="str">
        <f>IFERROR(__xludf.DUMMYFUNCTION("""COMPUTED_VALUE"""),"BC 64 Hùng Vương-Thị Trấn Krông Năng-Đắk Lắk")</f>
        <v>BC 64 Hùng Vương-Thị Trấn Krông Năng-Đắk Lắk</v>
      </c>
      <c r="D23" s="162">
        <f>IFERROR(__xludf.DUMMYFUNCTION("""COMPUTED_VALUE"""),416.0)</f>
        <v>416</v>
      </c>
      <c r="E23" s="163">
        <f>IFERROR(__xludf.DUMMYFUNCTION("""COMPUTED_VALUE"""),0.9951923076923077)</f>
        <v>0.9951923077</v>
      </c>
      <c r="F23" s="163">
        <f>IFERROR(__xludf.DUMMYFUNCTION("""COMPUTED_VALUE"""),0.7908653846153846)</f>
        <v>0.7908653846</v>
      </c>
      <c r="G23" s="162"/>
      <c r="H23" s="160"/>
      <c r="I23" s="160"/>
      <c r="J23" s="162">
        <f>IFERROR(__xludf.DUMMYFUNCTION("""COMPUTED_VALUE"""),145.0)</f>
        <v>145</v>
      </c>
      <c r="K23" s="163">
        <f>IFERROR(__xludf.DUMMYFUNCTION("""COMPUTED_VALUE"""),0.9793103448275862)</f>
        <v>0.9793103448</v>
      </c>
      <c r="L23" s="163">
        <f>IFERROR(__xludf.DUMMYFUNCTION("""COMPUTED_VALUE"""),0.4482758620689655)</f>
        <v>0.4482758621</v>
      </c>
      <c r="M23" s="162">
        <f>IFERROR(__xludf.DUMMYFUNCTION("""COMPUTED_VALUE"""),561.0)</f>
        <v>561</v>
      </c>
      <c r="N23" s="163">
        <f>IFERROR(__xludf.DUMMYFUNCTION("""COMPUTED_VALUE"""),0.9910873440285205)</f>
        <v>0.991087344</v>
      </c>
      <c r="O23" s="163">
        <f>IFERROR(__xludf.DUMMYFUNCTION("""COMPUTED_VALUE"""),0.7023172905525846)</f>
        <v>0.7023172906</v>
      </c>
      <c r="P23" s="164">
        <f>IFERROR(__xludf.DUMMYFUNCTION("""COMPUTED_VALUE"""),15.104859335038363)</f>
        <v>15.10485934</v>
      </c>
      <c r="Q23" s="153"/>
      <c r="R23" s="153"/>
    </row>
    <row r="24">
      <c r="A24" s="160">
        <f>IFERROR(__xludf.DUMMYFUNCTION("""COMPUTED_VALUE"""),22.0)</f>
        <v>22</v>
      </c>
      <c r="B24" s="161" t="str">
        <f>IFERROR(__xludf.DUMMYFUNCTION("""COMPUTED_VALUE"""),"Mai Đức Hoàng Long")</f>
        <v>Mai Đức Hoàng Long</v>
      </c>
      <c r="C24" s="161" t="str">
        <f>IFERROR(__xludf.DUMMYFUNCTION("""COMPUTED_VALUE"""),"BC 159 Tân Quảng-EaTóh-Krông Năng-Đắk Lắk")</f>
        <v>BC 159 Tân Quảng-EaTóh-Krông Năng-Đắk Lắk</v>
      </c>
      <c r="D24" s="162">
        <f>IFERROR(__xludf.DUMMYFUNCTION("""COMPUTED_VALUE"""),158.0)</f>
        <v>158</v>
      </c>
      <c r="E24" s="163">
        <f>IFERROR(__xludf.DUMMYFUNCTION("""COMPUTED_VALUE"""),0.9936708860759493)</f>
        <v>0.9936708861</v>
      </c>
      <c r="F24" s="163">
        <f>IFERROR(__xludf.DUMMYFUNCTION("""COMPUTED_VALUE"""),0.7911392405063291)</f>
        <v>0.7911392405</v>
      </c>
      <c r="G24" s="162"/>
      <c r="H24" s="160"/>
      <c r="I24" s="160"/>
      <c r="J24" s="162">
        <f>IFERROR(__xludf.DUMMYFUNCTION("""COMPUTED_VALUE"""),71.0)</f>
        <v>71</v>
      </c>
      <c r="K24" s="163">
        <f>IFERROR(__xludf.DUMMYFUNCTION("""COMPUTED_VALUE"""),0.9859154929577465)</f>
        <v>0.985915493</v>
      </c>
      <c r="L24" s="163">
        <f>IFERROR(__xludf.DUMMYFUNCTION("""COMPUTED_VALUE"""),0.5211267605633803)</f>
        <v>0.5211267606</v>
      </c>
      <c r="M24" s="162">
        <f>IFERROR(__xludf.DUMMYFUNCTION("""COMPUTED_VALUE"""),229.0)</f>
        <v>229</v>
      </c>
      <c r="N24" s="163">
        <f>IFERROR(__xludf.DUMMYFUNCTION("""COMPUTED_VALUE"""),0.9912663755458515)</f>
        <v>0.9912663755</v>
      </c>
      <c r="O24" s="163">
        <f>IFERROR(__xludf.DUMMYFUNCTION("""COMPUTED_VALUE"""),0.7074235807860262)</f>
        <v>0.7074235808</v>
      </c>
      <c r="P24" s="164">
        <f>IFERROR(__xludf.DUMMYFUNCTION("""COMPUTED_VALUE"""),19.40764331210191)</f>
        <v>19.40764331</v>
      </c>
      <c r="Q24" s="153"/>
      <c r="R24" s="153"/>
    </row>
    <row r="25">
      <c r="A25" s="160">
        <f>IFERROR(__xludf.DUMMYFUNCTION("""COMPUTED_VALUE"""),23.0)</f>
        <v>23</v>
      </c>
      <c r="B25" s="161" t="str">
        <f>IFERROR(__xludf.DUMMYFUNCTION("""COMPUTED_VALUE"""),"Nguyễn Văn Sáng")</f>
        <v>Nguyễn Văn Sáng</v>
      </c>
      <c r="C25" s="161" t="str">
        <f>IFERROR(__xludf.DUMMYFUNCTION("""COMPUTED_VALUE"""),"BC 03 Trần Hưng Đạo-Krông Pắc-Đắk Lắk")</f>
        <v>BC 03 Trần Hưng Đạo-Krông Pắc-Đắk Lắk</v>
      </c>
      <c r="D25" s="162">
        <f>IFERROR(__xludf.DUMMYFUNCTION("""COMPUTED_VALUE"""),720.0)</f>
        <v>720</v>
      </c>
      <c r="E25" s="163">
        <f>IFERROR(__xludf.DUMMYFUNCTION("""COMPUTED_VALUE"""),0.9916666666666667)</f>
        <v>0.9916666667</v>
      </c>
      <c r="F25" s="163">
        <f>IFERROR(__xludf.DUMMYFUNCTION("""COMPUTED_VALUE"""),0.8097222222222222)</f>
        <v>0.8097222222</v>
      </c>
      <c r="G25" s="162"/>
      <c r="H25" s="160"/>
      <c r="I25" s="160"/>
      <c r="J25" s="162">
        <f>IFERROR(__xludf.DUMMYFUNCTION("""COMPUTED_VALUE"""),225.0)</f>
        <v>225</v>
      </c>
      <c r="K25" s="163">
        <f>IFERROR(__xludf.DUMMYFUNCTION("""COMPUTED_VALUE"""),0.9911111111111112)</f>
        <v>0.9911111111</v>
      </c>
      <c r="L25" s="163">
        <f>IFERROR(__xludf.DUMMYFUNCTION("""COMPUTED_VALUE"""),0.38222222222222224)</f>
        <v>0.3822222222</v>
      </c>
      <c r="M25" s="162">
        <f>IFERROR(__xludf.DUMMYFUNCTION("""COMPUTED_VALUE"""),945.0)</f>
        <v>945</v>
      </c>
      <c r="N25" s="163">
        <f>IFERROR(__xludf.DUMMYFUNCTION("""COMPUTED_VALUE"""),0.9915343915343915)</f>
        <v>0.9915343915</v>
      </c>
      <c r="O25" s="163">
        <f>IFERROR(__xludf.DUMMYFUNCTION("""COMPUTED_VALUE"""),0.707936507936508)</f>
        <v>0.7079365079</v>
      </c>
      <c r="P25" s="164">
        <f>IFERROR(__xludf.DUMMYFUNCTION("""COMPUTED_VALUE"""),15.030349013657057)</f>
        <v>15.03034901</v>
      </c>
      <c r="Q25" s="153"/>
      <c r="R25" s="153"/>
    </row>
    <row r="26">
      <c r="A26" s="160">
        <f>IFERROR(__xludf.DUMMYFUNCTION("""COMPUTED_VALUE"""),24.0)</f>
        <v>24</v>
      </c>
      <c r="B26" s="161" t="str">
        <f>IFERROR(__xludf.DUMMYFUNCTION("""COMPUTED_VALUE"""),"Huỳnh Thị Mới ")</f>
        <v>Huỳnh Thị Mới </v>
      </c>
      <c r="C26" s="161" t="str">
        <f>IFERROR(__xludf.DUMMYFUNCTION("""COMPUTED_VALUE"""),"BC KP3 TT Hai Riềng-Sông Hinh-Phú Yên")</f>
        <v>BC KP3 TT Hai Riềng-Sông Hinh-Phú Yên</v>
      </c>
      <c r="D26" s="162">
        <f>IFERROR(__xludf.DUMMYFUNCTION("""COMPUTED_VALUE"""),717.0)</f>
        <v>717</v>
      </c>
      <c r="E26" s="163">
        <f>IFERROR(__xludf.DUMMYFUNCTION("""COMPUTED_VALUE"""),0.99302649930265)</f>
        <v>0.9930264993</v>
      </c>
      <c r="F26" s="163">
        <f>IFERROR(__xludf.DUMMYFUNCTION("""COMPUTED_VALUE"""),0.7642956764295676)</f>
        <v>0.7642956764</v>
      </c>
      <c r="G26" s="162">
        <f>IFERROR(__xludf.DUMMYFUNCTION("""COMPUTED_VALUE"""),2.0)</f>
        <v>2</v>
      </c>
      <c r="H26" s="163">
        <f>IFERROR(__xludf.DUMMYFUNCTION("""COMPUTED_VALUE"""),0.0)</f>
        <v>0</v>
      </c>
      <c r="I26" s="163">
        <f>IFERROR(__xludf.DUMMYFUNCTION("""COMPUTED_VALUE"""),0.0)</f>
        <v>0</v>
      </c>
      <c r="J26" s="162">
        <f>IFERROR(__xludf.DUMMYFUNCTION("""COMPUTED_VALUE"""),142.0)</f>
        <v>142</v>
      </c>
      <c r="K26" s="163">
        <f>IFERROR(__xludf.DUMMYFUNCTION("""COMPUTED_VALUE"""),0.9788732394366197)</f>
        <v>0.9788732394</v>
      </c>
      <c r="L26" s="163">
        <f>IFERROR(__xludf.DUMMYFUNCTION("""COMPUTED_VALUE"""),0.44366197183098594)</f>
        <v>0.4436619718</v>
      </c>
      <c r="M26" s="162">
        <f>IFERROR(__xludf.DUMMYFUNCTION("""COMPUTED_VALUE"""),861.0)</f>
        <v>861</v>
      </c>
      <c r="N26" s="163">
        <f>IFERROR(__xludf.DUMMYFUNCTION("""COMPUTED_VALUE"""),0.9883855981416957)</f>
        <v>0.9883855981</v>
      </c>
      <c r="O26" s="163">
        <f>IFERROR(__xludf.DUMMYFUNCTION("""COMPUTED_VALUE"""),0.7096399535423926)</f>
        <v>0.7096399535</v>
      </c>
      <c r="P26" s="164">
        <f>IFERROR(__xludf.DUMMYFUNCTION("""COMPUTED_VALUE"""),12.419191919191919)</f>
        <v>12.41919192</v>
      </c>
      <c r="Q26" s="153"/>
      <c r="R26" s="153"/>
    </row>
    <row r="27">
      <c r="A27" s="160">
        <f>IFERROR(__xludf.DUMMYFUNCTION("""COMPUTED_VALUE"""),25.0)</f>
        <v>25</v>
      </c>
      <c r="B27" s="161" t="str">
        <f>IFERROR(__xludf.DUMMYFUNCTION("""COMPUTED_VALUE"""),"Nguyễn Công Luận")</f>
        <v>Nguyễn Công Luận</v>
      </c>
      <c r="C27" s="161" t="str">
        <f>IFERROR(__xludf.DUMMYFUNCTION("""COMPUTED_VALUE"""),"BC 138 Hùng Vương-Phú Thiện-Gia Lai")</f>
        <v>BC 138 Hùng Vương-Phú Thiện-Gia Lai</v>
      </c>
      <c r="D27" s="162">
        <f>IFERROR(__xludf.DUMMYFUNCTION("""COMPUTED_VALUE"""),608.0)</f>
        <v>608</v>
      </c>
      <c r="E27" s="163">
        <f>IFERROR(__xludf.DUMMYFUNCTION("""COMPUTED_VALUE"""),0.9983552631578947)</f>
        <v>0.9983552632</v>
      </c>
      <c r="F27" s="163">
        <f>IFERROR(__xludf.DUMMYFUNCTION("""COMPUTED_VALUE"""),0.805921052631579)</f>
        <v>0.8059210526</v>
      </c>
      <c r="G27" s="162"/>
      <c r="H27" s="160"/>
      <c r="I27" s="160"/>
      <c r="J27" s="162">
        <f>IFERROR(__xludf.DUMMYFUNCTION("""COMPUTED_VALUE"""),133.0)</f>
        <v>133</v>
      </c>
      <c r="K27" s="163">
        <f>IFERROR(__xludf.DUMMYFUNCTION("""COMPUTED_VALUE"""),0.9548872180451128)</f>
        <v>0.954887218</v>
      </c>
      <c r="L27" s="163">
        <f>IFERROR(__xludf.DUMMYFUNCTION("""COMPUTED_VALUE"""),0.3458646616541353)</f>
        <v>0.3458646617</v>
      </c>
      <c r="M27" s="162">
        <f>IFERROR(__xludf.DUMMYFUNCTION("""COMPUTED_VALUE"""),741.0)</f>
        <v>741</v>
      </c>
      <c r="N27" s="163">
        <f>IFERROR(__xludf.DUMMYFUNCTION("""COMPUTED_VALUE"""),0.99055330634278)</f>
        <v>0.9905533063</v>
      </c>
      <c r="O27" s="163">
        <f>IFERROR(__xludf.DUMMYFUNCTION("""COMPUTED_VALUE"""),0.7233468286099866)</f>
        <v>0.7233468286</v>
      </c>
      <c r="P27" s="164">
        <f>IFERROR(__xludf.DUMMYFUNCTION("""COMPUTED_VALUE"""),15.99622641509434)</f>
        <v>15.99622642</v>
      </c>
      <c r="Q27" s="153"/>
      <c r="R27" s="153"/>
    </row>
    <row r="28">
      <c r="A28" s="160">
        <f>IFERROR(__xludf.DUMMYFUNCTION("""COMPUTED_VALUE"""),26.0)</f>
        <v>26</v>
      </c>
      <c r="B28" s="161" t="str">
        <f>IFERROR(__xludf.DUMMYFUNCTION("""COMPUTED_VALUE"""),"Lê Văn Tài")</f>
        <v>Lê Văn Tài</v>
      </c>
      <c r="C28" s="161" t="str">
        <f>IFERROR(__xludf.DUMMYFUNCTION("""COMPUTED_VALUE"""),"BC KM92 QL14-Xã Ea Drăng-Đắk Lắk")</f>
        <v>BC KM92 QL14-Xã Ea Drăng-Đắk Lắk</v>
      </c>
      <c r="D28" s="162">
        <f>IFERROR(__xludf.DUMMYFUNCTION("""COMPUTED_VALUE"""),73.0)</f>
        <v>73</v>
      </c>
      <c r="E28" s="163">
        <f>IFERROR(__xludf.DUMMYFUNCTION("""COMPUTED_VALUE"""),0.8082191780821918)</f>
        <v>0.8082191781</v>
      </c>
      <c r="F28" s="163">
        <f>IFERROR(__xludf.DUMMYFUNCTION("""COMPUTED_VALUE"""),0.7123287671232876)</f>
        <v>0.7123287671</v>
      </c>
      <c r="G28" s="162">
        <f>IFERROR(__xludf.DUMMYFUNCTION("""COMPUTED_VALUE"""),237.0)</f>
        <v>237</v>
      </c>
      <c r="H28" s="163">
        <f>IFERROR(__xludf.DUMMYFUNCTION("""COMPUTED_VALUE"""),0.9873417721518988)</f>
        <v>0.9873417722</v>
      </c>
      <c r="I28" s="163">
        <f>IFERROR(__xludf.DUMMYFUNCTION("""COMPUTED_VALUE"""),0.8354430379746836)</f>
        <v>0.835443038</v>
      </c>
      <c r="J28" s="162">
        <f>IFERROR(__xludf.DUMMYFUNCTION("""COMPUTED_VALUE"""),86.0)</f>
        <v>86</v>
      </c>
      <c r="K28" s="163">
        <f>IFERROR(__xludf.DUMMYFUNCTION("""COMPUTED_VALUE"""),0.8953488372093024)</f>
        <v>0.8953488372</v>
      </c>
      <c r="L28" s="163">
        <f>IFERROR(__xludf.DUMMYFUNCTION("""COMPUTED_VALUE"""),0.45348837209302323)</f>
        <v>0.4534883721</v>
      </c>
      <c r="M28" s="162">
        <f>IFERROR(__xludf.DUMMYFUNCTION("""COMPUTED_VALUE"""),396.0)</f>
        <v>396</v>
      </c>
      <c r="N28" s="163">
        <f>IFERROR(__xludf.DUMMYFUNCTION("""COMPUTED_VALUE"""),0.9343434343434344)</f>
        <v>0.9343434343</v>
      </c>
      <c r="O28" s="163">
        <f>IFERROR(__xludf.DUMMYFUNCTION("""COMPUTED_VALUE"""),0.7297979797979798)</f>
        <v>0.7297979798</v>
      </c>
      <c r="P28" s="164">
        <f>IFERROR(__xludf.DUMMYFUNCTION("""COMPUTED_VALUE"""),12.576923076923077)</f>
        <v>12.57692308</v>
      </c>
      <c r="Q28" s="153"/>
      <c r="R28" s="153"/>
    </row>
    <row r="29">
      <c r="A29" s="160">
        <f>IFERROR(__xludf.DUMMYFUNCTION("""COMPUTED_VALUE"""),27.0)</f>
        <v>27</v>
      </c>
      <c r="B29" s="161" t="str">
        <f>IFERROR(__xludf.DUMMYFUNCTION("""COMPUTED_VALUE"""),"Phan Thị Mỹ Chi")</f>
        <v>Phan Thị Mỹ Chi</v>
      </c>
      <c r="C29" s="161" t="str">
        <f>IFERROR(__xludf.DUMMYFUNCTION("""COMPUTED_VALUE"""),"BC 153 Hùng Vương-Ia Grai-Gia Lai")</f>
        <v>BC 153 Hùng Vương-Ia Grai-Gia Lai</v>
      </c>
      <c r="D29" s="162">
        <f>IFERROR(__xludf.DUMMYFUNCTION("""COMPUTED_VALUE"""),511.0)</f>
        <v>511</v>
      </c>
      <c r="E29" s="163">
        <f>IFERROR(__xludf.DUMMYFUNCTION("""COMPUTED_VALUE"""),0.9843444227005871)</f>
        <v>0.9843444227</v>
      </c>
      <c r="F29" s="163">
        <f>IFERROR(__xludf.DUMMYFUNCTION("""COMPUTED_VALUE"""),0.8277886497064579)</f>
        <v>0.8277886497</v>
      </c>
      <c r="G29" s="162"/>
      <c r="H29" s="160"/>
      <c r="I29" s="160"/>
      <c r="J29" s="162">
        <f>IFERROR(__xludf.DUMMYFUNCTION("""COMPUTED_VALUE"""),132.0)</f>
        <v>132</v>
      </c>
      <c r="K29" s="163">
        <f>IFERROR(__xludf.DUMMYFUNCTION("""COMPUTED_VALUE"""),0.9696969696969697)</f>
        <v>0.9696969697</v>
      </c>
      <c r="L29" s="163">
        <f>IFERROR(__xludf.DUMMYFUNCTION("""COMPUTED_VALUE"""),0.3560606060606061)</f>
        <v>0.3560606061</v>
      </c>
      <c r="M29" s="162">
        <f>IFERROR(__xludf.DUMMYFUNCTION("""COMPUTED_VALUE"""),643.0)</f>
        <v>643</v>
      </c>
      <c r="N29" s="163">
        <f>IFERROR(__xludf.DUMMYFUNCTION("""COMPUTED_VALUE"""),0.9813374805598756)</f>
        <v>0.9813374806</v>
      </c>
      <c r="O29" s="163">
        <f>IFERROR(__xludf.DUMMYFUNCTION("""COMPUTED_VALUE"""),0.7309486780715396)</f>
        <v>0.7309486781</v>
      </c>
      <c r="P29" s="164">
        <f>IFERROR(__xludf.DUMMYFUNCTION("""COMPUTED_VALUE"""),19.027896995708154)</f>
        <v>19.027897</v>
      </c>
      <c r="Q29" s="153"/>
      <c r="R29" s="153"/>
    </row>
    <row r="30">
      <c r="A30" s="160">
        <f>IFERROR(__xludf.DUMMYFUNCTION("""COMPUTED_VALUE"""),28.0)</f>
        <v>28</v>
      </c>
      <c r="B30" s="161" t="str">
        <f>IFERROR(__xludf.DUMMYFUNCTION("""COMPUTED_VALUE"""),"Phan Thanh Thức")</f>
        <v>Phan Thanh Thức</v>
      </c>
      <c r="C30" s="161" t="str">
        <f>IFERROR(__xludf.DUMMYFUNCTION("""COMPUTED_VALUE"""),"BC Khu Vực Kim Châu-An Nhơn-Bình Định")</f>
        <v>BC Khu Vực Kim Châu-An Nhơn-Bình Định</v>
      </c>
      <c r="D30" s="162">
        <f>IFERROR(__xludf.DUMMYFUNCTION("""COMPUTED_VALUE"""),1438.0)</f>
        <v>1438</v>
      </c>
      <c r="E30" s="163">
        <f>IFERROR(__xludf.DUMMYFUNCTION("""COMPUTED_VALUE"""),0.9937413073713491)</f>
        <v>0.9937413074</v>
      </c>
      <c r="F30" s="163">
        <f>IFERROR(__xludf.DUMMYFUNCTION("""COMPUTED_VALUE"""),0.825452016689847)</f>
        <v>0.8254520167</v>
      </c>
      <c r="G30" s="162">
        <f>IFERROR(__xludf.DUMMYFUNCTION("""COMPUTED_VALUE"""),137.0)</f>
        <v>137</v>
      </c>
      <c r="H30" s="163">
        <f>IFERROR(__xludf.DUMMYFUNCTION("""COMPUTED_VALUE"""),0.6642335766423357)</f>
        <v>0.6642335766</v>
      </c>
      <c r="I30" s="163">
        <f>IFERROR(__xludf.DUMMYFUNCTION("""COMPUTED_VALUE"""),0.38686131386861317)</f>
        <v>0.3868613139</v>
      </c>
      <c r="J30" s="162">
        <f>IFERROR(__xludf.DUMMYFUNCTION("""COMPUTED_VALUE"""),285.0)</f>
        <v>285</v>
      </c>
      <c r="K30" s="163">
        <f>IFERROR(__xludf.DUMMYFUNCTION("""COMPUTED_VALUE"""),0.968421052631579)</f>
        <v>0.9684210526</v>
      </c>
      <c r="L30" s="163">
        <f>IFERROR(__xludf.DUMMYFUNCTION("""COMPUTED_VALUE"""),0.42105263157894735)</f>
        <v>0.4210526316</v>
      </c>
      <c r="M30" s="162">
        <f>IFERROR(__xludf.DUMMYFUNCTION("""COMPUTED_VALUE"""),1860.0)</f>
        <v>1860</v>
      </c>
      <c r="N30" s="163">
        <f>IFERROR(__xludf.DUMMYFUNCTION("""COMPUTED_VALUE"""),0.9655913978494624)</f>
        <v>0.9655913978</v>
      </c>
      <c r="O30" s="163">
        <f>IFERROR(__xludf.DUMMYFUNCTION("""COMPUTED_VALUE"""),0.7311827956989247)</f>
        <v>0.7311827957</v>
      </c>
      <c r="P30" s="164">
        <f>IFERROR(__xludf.DUMMYFUNCTION("""COMPUTED_VALUE"""),9.857461024498887)</f>
        <v>9.857461024</v>
      </c>
      <c r="Q30" s="153"/>
      <c r="R30" s="153"/>
    </row>
    <row r="31">
      <c r="A31" s="160">
        <f>IFERROR(__xludf.DUMMYFUNCTION("""COMPUTED_VALUE"""),29.0)</f>
        <v>29</v>
      </c>
      <c r="B31" s="161" t="str">
        <f>IFERROR(__xludf.DUMMYFUNCTION("""COMPUTED_VALUE"""),"Lê Trọng Khiêm")</f>
        <v>Lê Trọng Khiêm</v>
      </c>
      <c r="C31" s="161" t="str">
        <f>IFERROR(__xludf.DUMMYFUNCTION("""COMPUTED_VALUE"""),"BC 138 Trần Phú- Đồng Xuân- Phú Yên")</f>
        <v>BC 138 Trần Phú- Đồng Xuân- Phú Yên</v>
      </c>
      <c r="D31" s="162">
        <f>IFERROR(__xludf.DUMMYFUNCTION("""COMPUTED_VALUE"""),408.0)</f>
        <v>408</v>
      </c>
      <c r="E31" s="163">
        <f>IFERROR(__xludf.DUMMYFUNCTION("""COMPUTED_VALUE"""),0.8995098039215687)</f>
        <v>0.8995098039</v>
      </c>
      <c r="F31" s="163">
        <f>IFERROR(__xludf.DUMMYFUNCTION("""COMPUTED_VALUE"""),0.803921568627451)</f>
        <v>0.8039215686</v>
      </c>
      <c r="G31" s="162">
        <f>IFERROR(__xludf.DUMMYFUNCTION("""COMPUTED_VALUE"""),44.0)</f>
        <v>44</v>
      </c>
      <c r="H31" s="163">
        <f>IFERROR(__xludf.DUMMYFUNCTION("""COMPUTED_VALUE"""),0.5)</f>
        <v>0.5</v>
      </c>
      <c r="I31" s="163">
        <f>IFERROR(__xludf.DUMMYFUNCTION("""COMPUTED_VALUE"""),0.4772727272727273)</f>
        <v>0.4772727273</v>
      </c>
      <c r="J31" s="162">
        <f>IFERROR(__xludf.DUMMYFUNCTION("""COMPUTED_VALUE"""),90.0)</f>
        <v>90</v>
      </c>
      <c r="K31" s="163">
        <f>IFERROR(__xludf.DUMMYFUNCTION("""COMPUTED_VALUE"""),0.9888888888888889)</f>
        <v>0.9888888889</v>
      </c>
      <c r="L31" s="163">
        <f>IFERROR(__xludf.DUMMYFUNCTION("""COMPUTED_VALUE"""),0.5444444444444444)</f>
        <v>0.5444444444</v>
      </c>
      <c r="M31" s="162">
        <f>IFERROR(__xludf.DUMMYFUNCTION("""COMPUTED_VALUE"""),542.0)</f>
        <v>542</v>
      </c>
      <c r="N31" s="163">
        <f>IFERROR(__xludf.DUMMYFUNCTION("""COMPUTED_VALUE"""),0.8819188191881919)</f>
        <v>0.8819188192</v>
      </c>
      <c r="O31" s="163">
        <f>IFERROR(__xludf.DUMMYFUNCTION("""COMPUTED_VALUE"""),0.7343173431734318)</f>
        <v>0.7343173432</v>
      </c>
      <c r="P31" s="164">
        <f>IFERROR(__xludf.DUMMYFUNCTION("""COMPUTED_VALUE"""),9.21994884910486)</f>
        <v>9.219948849</v>
      </c>
      <c r="Q31" s="153"/>
      <c r="R31" s="153"/>
    </row>
    <row r="32">
      <c r="A32" s="160">
        <f>IFERROR(__xludf.DUMMYFUNCTION("""COMPUTED_VALUE"""),30.0)</f>
        <v>30</v>
      </c>
      <c r="B32" s="161" t="str">
        <f>IFERROR(__xludf.DUMMYFUNCTION("""COMPUTED_VALUE"""),"Lê Văn Tài")</f>
        <v>Lê Văn Tài</v>
      </c>
      <c r="C32" s="161" t="str">
        <f>IFERROR(__xludf.DUMMYFUNCTION("""COMPUTED_VALUE"""),"BC 297 Hùng Vương-CưMgar-Đắk Lắk")</f>
        <v>BC 297 Hùng Vương-CưMgar-Đắk Lắk</v>
      </c>
      <c r="D32" s="162">
        <f>IFERROR(__xludf.DUMMYFUNCTION("""COMPUTED_VALUE"""),931.0)</f>
        <v>931</v>
      </c>
      <c r="E32" s="163">
        <f>IFERROR(__xludf.DUMMYFUNCTION("""COMPUTED_VALUE"""),0.9957035445757251)</f>
        <v>0.9957035446</v>
      </c>
      <c r="F32" s="163">
        <f>IFERROR(__xludf.DUMMYFUNCTION("""COMPUTED_VALUE"""),0.8216970998925887)</f>
        <v>0.8216970999</v>
      </c>
      <c r="G32" s="162"/>
      <c r="H32" s="160"/>
      <c r="I32" s="160"/>
      <c r="J32" s="162">
        <f>IFERROR(__xludf.DUMMYFUNCTION("""COMPUTED_VALUE"""),254.0)</f>
        <v>254</v>
      </c>
      <c r="K32" s="163">
        <f>IFERROR(__xludf.DUMMYFUNCTION("""COMPUTED_VALUE"""),0.9881889763779528)</f>
        <v>0.9881889764</v>
      </c>
      <c r="L32" s="163">
        <f>IFERROR(__xludf.DUMMYFUNCTION("""COMPUTED_VALUE"""),0.43700787401574803)</f>
        <v>0.437007874</v>
      </c>
      <c r="M32" s="162">
        <f>IFERROR(__xludf.DUMMYFUNCTION("""COMPUTED_VALUE"""),1185.0)</f>
        <v>1185</v>
      </c>
      <c r="N32" s="163">
        <f>IFERROR(__xludf.DUMMYFUNCTION("""COMPUTED_VALUE"""),0.9940928270042194)</f>
        <v>0.994092827</v>
      </c>
      <c r="O32" s="163">
        <f>IFERROR(__xludf.DUMMYFUNCTION("""COMPUTED_VALUE"""),0.739240506329114)</f>
        <v>0.7392405063</v>
      </c>
      <c r="P32" s="164">
        <f>IFERROR(__xludf.DUMMYFUNCTION("""COMPUTED_VALUE"""),16.215437788018434)</f>
        <v>16.21543779</v>
      </c>
      <c r="Q32" s="153"/>
      <c r="R32" s="153"/>
    </row>
    <row r="33">
      <c r="A33" s="160">
        <f>IFERROR(__xludf.DUMMYFUNCTION("""COMPUTED_VALUE"""),31.0)</f>
        <v>31</v>
      </c>
      <c r="B33" s="161" t="str">
        <f>IFERROR(__xludf.DUMMYFUNCTION("""COMPUTED_VALUE"""),"Nguyễn Thị Bảo Nhi")</f>
        <v>Nguyễn Thị Bảo Nhi</v>
      </c>
      <c r="C33" s="161" t="str">
        <f>IFERROR(__xludf.DUMMYFUNCTION("""COMPUTED_VALUE"""),"BC Thị Trấn Buôn Trấp-Krông A Na-Đắk Lắk")</f>
        <v>BC Thị Trấn Buôn Trấp-Krông A Na-Đắk Lắk</v>
      </c>
      <c r="D33" s="162">
        <f>IFERROR(__xludf.DUMMYFUNCTION("""COMPUTED_VALUE"""),448.0)</f>
        <v>448</v>
      </c>
      <c r="E33" s="163">
        <f>IFERROR(__xludf.DUMMYFUNCTION("""COMPUTED_VALUE"""),0.9977678571428571)</f>
        <v>0.9977678571</v>
      </c>
      <c r="F33" s="163">
        <f>IFERROR(__xludf.DUMMYFUNCTION("""COMPUTED_VALUE"""),0.8660714285714286)</f>
        <v>0.8660714286</v>
      </c>
      <c r="G33" s="162"/>
      <c r="H33" s="160"/>
      <c r="I33" s="160"/>
      <c r="J33" s="162">
        <f>IFERROR(__xludf.DUMMYFUNCTION("""COMPUTED_VALUE"""),151.0)</f>
        <v>151</v>
      </c>
      <c r="K33" s="163">
        <f>IFERROR(__xludf.DUMMYFUNCTION("""COMPUTED_VALUE"""),0.9867549668874173)</f>
        <v>0.9867549669</v>
      </c>
      <c r="L33" s="163">
        <f>IFERROR(__xludf.DUMMYFUNCTION("""COMPUTED_VALUE"""),0.3973509933774834)</f>
        <v>0.3973509934</v>
      </c>
      <c r="M33" s="162">
        <f>IFERROR(__xludf.DUMMYFUNCTION("""COMPUTED_VALUE"""),599.0)</f>
        <v>599</v>
      </c>
      <c r="N33" s="163">
        <f>IFERROR(__xludf.DUMMYFUNCTION("""COMPUTED_VALUE"""),0.994991652754591)</f>
        <v>0.9949916528</v>
      </c>
      <c r="O33" s="163">
        <f>IFERROR(__xludf.DUMMYFUNCTION("""COMPUTED_VALUE"""),0.7479131886477463)</f>
        <v>0.7479131886</v>
      </c>
      <c r="P33" s="164">
        <f>IFERROR(__xludf.DUMMYFUNCTION("""COMPUTED_VALUE"""),11.399092970521542)</f>
        <v>11.39909297</v>
      </c>
      <c r="Q33" s="153"/>
      <c r="R33" s="153"/>
    </row>
    <row r="34">
      <c r="A34" s="160">
        <f>IFERROR(__xludf.DUMMYFUNCTION("""COMPUTED_VALUE"""),32.0)</f>
        <v>32</v>
      </c>
      <c r="B34" s="161" t="str">
        <f>IFERROR(__xludf.DUMMYFUNCTION("""COMPUTED_VALUE"""),"Huỳnh Thị Mới ")</f>
        <v>Huỳnh Thị Mới </v>
      </c>
      <c r="C34" s="161" t="str">
        <f>IFERROR(__xludf.DUMMYFUNCTION("""COMPUTED_VALUE"""),"BC KP4 Hòa Vinh- Đông Hòa- Phú Yên")</f>
        <v>BC KP4 Hòa Vinh- Đông Hòa- Phú Yên</v>
      </c>
      <c r="D34" s="162">
        <f>IFERROR(__xludf.DUMMYFUNCTION("""COMPUTED_VALUE"""),918.0)</f>
        <v>918</v>
      </c>
      <c r="E34" s="163">
        <f>IFERROR(__xludf.DUMMYFUNCTION("""COMPUTED_VALUE"""),0.9989106753812637)</f>
        <v>0.9989106754</v>
      </c>
      <c r="F34" s="163">
        <f>IFERROR(__xludf.DUMMYFUNCTION("""COMPUTED_VALUE"""),0.8627450980392157)</f>
        <v>0.862745098</v>
      </c>
      <c r="G34" s="162">
        <f>IFERROR(__xludf.DUMMYFUNCTION("""COMPUTED_VALUE"""),108.0)</f>
        <v>108</v>
      </c>
      <c r="H34" s="163">
        <f>IFERROR(__xludf.DUMMYFUNCTION("""COMPUTED_VALUE"""),0.1388888888888889)</f>
        <v>0.1388888889</v>
      </c>
      <c r="I34" s="163">
        <f>IFERROR(__xludf.DUMMYFUNCTION("""COMPUTED_VALUE"""),0.1388888888888889)</f>
        <v>0.1388888889</v>
      </c>
      <c r="J34" s="162">
        <f>IFERROR(__xludf.DUMMYFUNCTION("""COMPUTED_VALUE"""),178.0)</f>
        <v>178</v>
      </c>
      <c r="K34" s="163">
        <f>IFERROR(__xludf.DUMMYFUNCTION("""COMPUTED_VALUE"""),0.9831460674157303)</f>
        <v>0.9831460674</v>
      </c>
      <c r="L34" s="163">
        <f>IFERROR(__xludf.DUMMYFUNCTION("""COMPUTED_VALUE"""),0.550561797752809)</f>
        <v>0.5505617978</v>
      </c>
      <c r="M34" s="162">
        <f>IFERROR(__xludf.DUMMYFUNCTION("""COMPUTED_VALUE"""),1204.0)</f>
        <v>1204</v>
      </c>
      <c r="N34" s="163">
        <f>IFERROR(__xludf.DUMMYFUNCTION("""COMPUTED_VALUE"""),0.9194352159468439)</f>
        <v>0.9194352159</v>
      </c>
      <c r="O34" s="163">
        <f>IFERROR(__xludf.DUMMYFUNCTION("""COMPUTED_VALUE"""),0.7516611295681063)</f>
        <v>0.7516611296</v>
      </c>
      <c r="P34" s="164">
        <f>IFERROR(__xludf.DUMMYFUNCTION("""COMPUTED_VALUE"""),9.714768883878241)</f>
        <v>9.714768884</v>
      </c>
      <c r="Q34" s="153"/>
      <c r="R34" s="153"/>
    </row>
    <row r="35">
      <c r="A35" s="160">
        <f>IFERROR(__xludf.DUMMYFUNCTION("""COMPUTED_VALUE"""),33.0)</f>
        <v>33</v>
      </c>
      <c r="B35" s="161" t="str">
        <f>IFERROR(__xludf.DUMMYFUNCTION("""COMPUTED_VALUE"""),"Nguyễn  Hoàng Anh ")</f>
        <v>Nguyễn  Hoàng Anh </v>
      </c>
      <c r="C35" s="161" t="str">
        <f>IFERROR(__xludf.DUMMYFUNCTION("""COMPUTED_VALUE"""),"BC TDP3 Thị Trấn Krông Kmart-Krông Bông-Đắk Lắk")</f>
        <v>BC TDP3 Thị Trấn Krông Kmart-Krông Bông-Đắk Lắk</v>
      </c>
      <c r="D35" s="162">
        <f>IFERROR(__xludf.DUMMYFUNCTION("""COMPUTED_VALUE"""),454.0)</f>
        <v>454</v>
      </c>
      <c r="E35" s="163">
        <f>IFERROR(__xludf.DUMMYFUNCTION("""COMPUTED_VALUE"""),1.0)</f>
        <v>1</v>
      </c>
      <c r="F35" s="163">
        <f>IFERROR(__xludf.DUMMYFUNCTION("""COMPUTED_VALUE"""),0.8568281938325991)</f>
        <v>0.8568281938</v>
      </c>
      <c r="G35" s="162"/>
      <c r="H35" s="160"/>
      <c r="I35" s="160"/>
      <c r="J35" s="162">
        <f>IFERROR(__xludf.DUMMYFUNCTION("""COMPUTED_VALUE"""),113.0)</f>
        <v>113</v>
      </c>
      <c r="K35" s="163">
        <f>IFERROR(__xludf.DUMMYFUNCTION("""COMPUTED_VALUE"""),0.9911504424778761)</f>
        <v>0.9911504425</v>
      </c>
      <c r="L35" s="163">
        <f>IFERROR(__xludf.DUMMYFUNCTION("""COMPUTED_VALUE"""),0.37168141592920356)</f>
        <v>0.3716814159</v>
      </c>
      <c r="M35" s="162">
        <f>IFERROR(__xludf.DUMMYFUNCTION("""COMPUTED_VALUE"""),567.0)</f>
        <v>567</v>
      </c>
      <c r="N35" s="163">
        <f>IFERROR(__xludf.DUMMYFUNCTION("""COMPUTED_VALUE"""),0.9982363315696648)</f>
        <v>0.9982363316</v>
      </c>
      <c r="O35" s="163">
        <f>IFERROR(__xludf.DUMMYFUNCTION("""COMPUTED_VALUE"""),0.7601410934744268)</f>
        <v>0.7601410935</v>
      </c>
      <c r="P35" s="164">
        <f>IFERROR(__xludf.DUMMYFUNCTION("""COMPUTED_VALUE"""),13.52122641509434)</f>
        <v>13.52122642</v>
      </c>
      <c r="Q35" s="153"/>
      <c r="R35" s="153"/>
    </row>
    <row r="36">
      <c r="A36" s="160">
        <f>IFERROR(__xludf.DUMMYFUNCTION("""COMPUTED_VALUE"""),34.0)</f>
        <v>34</v>
      </c>
      <c r="B36" s="161" t="str">
        <f>IFERROR(__xludf.DUMMYFUNCTION("""COMPUTED_VALUE"""),"Nguyễn Đình Trung")</f>
        <v>Nguyễn Đình Trung</v>
      </c>
      <c r="C36" s="161" t="str">
        <f>IFERROR(__xludf.DUMMYFUNCTION("""COMPUTED_VALUE"""),"BC 414 Trần Hưng Đạo-Mang Yang-Gia Lai")</f>
        <v>BC 414 Trần Hưng Đạo-Mang Yang-Gia Lai</v>
      </c>
      <c r="D36" s="162">
        <f>IFERROR(__xludf.DUMMYFUNCTION("""COMPUTED_VALUE"""),457.0)</f>
        <v>457</v>
      </c>
      <c r="E36" s="163">
        <f>IFERROR(__xludf.DUMMYFUNCTION("""COMPUTED_VALUE"""),0.9978118161925602)</f>
        <v>0.9978118162</v>
      </c>
      <c r="F36" s="163">
        <f>IFERROR(__xludf.DUMMYFUNCTION("""COMPUTED_VALUE"""),0.824945295404814)</f>
        <v>0.8249452954</v>
      </c>
      <c r="G36" s="162"/>
      <c r="H36" s="160"/>
      <c r="I36" s="160"/>
      <c r="J36" s="162">
        <f>IFERROR(__xludf.DUMMYFUNCTION("""COMPUTED_VALUE"""),77.0)</f>
        <v>77</v>
      </c>
      <c r="K36" s="163">
        <f>IFERROR(__xludf.DUMMYFUNCTION("""COMPUTED_VALUE"""),0.948051948051948)</f>
        <v>0.9480519481</v>
      </c>
      <c r="L36" s="163">
        <f>IFERROR(__xludf.DUMMYFUNCTION("""COMPUTED_VALUE"""),0.4025974025974026)</f>
        <v>0.4025974026</v>
      </c>
      <c r="M36" s="162">
        <f>IFERROR(__xludf.DUMMYFUNCTION("""COMPUTED_VALUE"""),534.0)</f>
        <v>534</v>
      </c>
      <c r="N36" s="163">
        <f>IFERROR(__xludf.DUMMYFUNCTION("""COMPUTED_VALUE"""),0.9906367041198502)</f>
        <v>0.9906367041</v>
      </c>
      <c r="O36" s="163">
        <f>IFERROR(__xludf.DUMMYFUNCTION("""COMPUTED_VALUE"""),0.7640449438202247)</f>
        <v>0.7640449438</v>
      </c>
      <c r="P36" s="164">
        <f>IFERROR(__xludf.DUMMYFUNCTION("""COMPUTED_VALUE"""),12.134328358208956)</f>
        <v>12.13432836</v>
      </c>
      <c r="Q36" s="153"/>
      <c r="R36" s="153"/>
    </row>
    <row r="37">
      <c r="A37" s="160">
        <f>IFERROR(__xludf.DUMMYFUNCTION("""COMPUTED_VALUE"""),35.0)</f>
        <v>35</v>
      </c>
      <c r="B37" s="161" t="str">
        <f>IFERROR(__xludf.DUMMYFUNCTION("""COMPUTED_VALUE"""),"Ngô  Thị Bích Trâm ")</f>
        <v>Ngô  Thị Bích Trâm </v>
      </c>
      <c r="C37" s="161" t="str">
        <f>IFERROR(__xludf.DUMMYFUNCTION("""COMPUTED_VALUE"""),"BC 499 Phạm Văn Đồng-Pleiku-Gia Lai")</f>
        <v>BC 499 Phạm Văn Đồng-Pleiku-Gia Lai</v>
      </c>
      <c r="D37" s="162">
        <f>IFERROR(__xludf.DUMMYFUNCTION("""COMPUTED_VALUE"""),1078.0)</f>
        <v>1078</v>
      </c>
      <c r="E37" s="163">
        <f>IFERROR(__xludf.DUMMYFUNCTION("""COMPUTED_VALUE"""),0.9962894248608535)</f>
        <v>0.9962894249</v>
      </c>
      <c r="F37" s="163">
        <f>IFERROR(__xludf.DUMMYFUNCTION("""COMPUTED_VALUE"""),0.8256029684601113)</f>
        <v>0.8256029685</v>
      </c>
      <c r="G37" s="162">
        <f>IFERROR(__xludf.DUMMYFUNCTION("""COMPUTED_VALUE"""),84.0)</f>
        <v>84</v>
      </c>
      <c r="H37" s="163">
        <f>IFERROR(__xludf.DUMMYFUNCTION("""COMPUTED_VALUE"""),0.9880952380952381)</f>
        <v>0.9880952381</v>
      </c>
      <c r="I37" s="163">
        <f>IFERROR(__xludf.DUMMYFUNCTION("""COMPUTED_VALUE"""),0.8333333333333334)</f>
        <v>0.8333333333</v>
      </c>
      <c r="J37" s="162">
        <f>IFERROR(__xludf.DUMMYFUNCTION("""COMPUTED_VALUE"""),165.0)</f>
        <v>165</v>
      </c>
      <c r="K37" s="163">
        <f>IFERROR(__xludf.DUMMYFUNCTION("""COMPUTED_VALUE"""),0.9515151515151515)</f>
        <v>0.9515151515</v>
      </c>
      <c r="L37" s="163">
        <f>IFERROR(__xludf.DUMMYFUNCTION("""COMPUTED_VALUE"""),0.3939393939393939)</f>
        <v>0.3939393939</v>
      </c>
      <c r="M37" s="162">
        <f>IFERROR(__xludf.DUMMYFUNCTION("""COMPUTED_VALUE"""),1327.0)</f>
        <v>1327</v>
      </c>
      <c r="N37" s="163">
        <f>IFERROR(__xludf.DUMMYFUNCTION("""COMPUTED_VALUE"""),0.9902034664657121)</f>
        <v>0.9902034665</v>
      </c>
      <c r="O37" s="163">
        <f>IFERROR(__xludf.DUMMYFUNCTION("""COMPUTED_VALUE"""),0.7724189902034665)</f>
        <v>0.7724189902</v>
      </c>
      <c r="P37" s="164">
        <f>IFERROR(__xludf.DUMMYFUNCTION("""COMPUTED_VALUE"""),12.038883349950149)</f>
        <v>12.03888335</v>
      </c>
      <c r="Q37" s="153"/>
      <c r="R37" s="153"/>
    </row>
    <row r="38">
      <c r="A38" s="160">
        <f>IFERROR(__xludf.DUMMYFUNCTION("""COMPUTED_VALUE"""),36.0)</f>
        <v>36</v>
      </c>
      <c r="B38" s="161" t="str">
        <f>IFERROR(__xludf.DUMMYFUNCTION("""COMPUTED_VALUE"""),"Nguyễn Công Luận")</f>
        <v>Nguyễn Công Luận</v>
      </c>
      <c r="C38" s="161" t="str">
        <f>IFERROR(__xludf.DUMMYFUNCTION("""COMPUTED_VALUE"""),"BC 56 Đường 17 Tháng 3-Chư Sê-Gia Lai")</f>
        <v>BC 56 Đường 17 Tháng 3-Chư Sê-Gia Lai</v>
      </c>
      <c r="D38" s="162">
        <f>IFERROR(__xludf.DUMMYFUNCTION("""COMPUTED_VALUE"""),882.0)</f>
        <v>882</v>
      </c>
      <c r="E38" s="163">
        <f>IFERROR(__xludf.DUMMYFUNCTION("""COMPUTED_VALUE"""),0.9988662131519275)</f>
        <v>0.9988662132</v>
      </c>
      <c r="F38" s="163">
        <f>IFERROR(__xludf.DUMMYFUNCTION("""COMPUTED_VALUE"""),0.8242630385487528)</f>
        <v>0.8242630385</v>
      </c>
      <c r="G38" s="162"/>
      <c r="H38" s="160"/>
      <c r="I38" s="160"/>
      <c r="J38" s="162">
        <f>IFERROR(__xludf.DUMMYFUNCTION("""COMPUTED_VALUE"""),139.0)</f>
        <v>139</v>
      </c>
      <c r="K38" s="163">
        <f>IFERROR(__xludf.DUMMYFUNCTION("""COMPUTED_VALUE"""),0.9640287769784173)</f>
        <v>0.964028777</v>
      </c>
      <c r="L38" s="163">
        <f>IFERROR(__xludf.DUMMYFUNCTION("""COMPUTED_VALUE"""),0.45323741007194246)</f>
        <v>0.4532374101</v>
      </c>
      <c r="M38" s="162">
        <f>IFERROR(__xludf.DUMMYFUNCTION("""COMPUTED_VALUE"""),1021.0)</f>
        <v>1021</v>
      </c>
      <c r="N38" s="163">
        <f>IFERROR(__xludf.DUMMYFUNCTION("""COMPUTED_VALUE"""),0.9941234084231146)</f>
        <v>0.9941234084</v>
      </c>
      <c r="O38" s="163">
        <f>IFERROR(__xludf.DUMMYFUNCTION("""COMPUTED_VALUE"""),0.7737512242899118)</f>
        <v>0.7737512243</v>
      </c>
      <c r="P38" s="164">
        <f>IFERROR(__xludf.DUMMYFUNCTION("""COMPUTED_VALUE"""),12.141361256544503)</f>
        <v>12.14136126</v>
      </c>
      <c r="Q38" s="153"/>
      <c r="R38" s="153"/>
    </row>
    <row r="39">
      <c r="A39" s="160">
        <f>IFERROR(__xludf.DUMMYFUNCTION("""COMPUTED_VALUE"""),37.0)</f>
        <v>37</v>
      </c>
      <c r="B39" s="161" t="str">
        <f>IFERROR(__xludf.DUMMYFUNCTION("""COMPUTED_VALUE"""),"Võ Thanh Diệu ")</f>
        <v>Võ Thanh Diệu </v>
      </c>
      <c r="C39" s="161" t="str">
        <f>IFERROR(__xludf.DUMMYFUNCTION("""COMPUTED_VALUE"""),"BC Vận Hành Thôn Định Trị-Xã Vĩnh Thạnh-Bình Định")</f>
        <v>BC Vận Hành Thôn Định Trị-Xã Vĩnh Thạnh-Bình Định</v>
      </c>
      <c r="D39" s="162">
        <f>IFERROR(__xludf.DUMMYFUNCTION("""COMPUTED_VALUE"""),116.0)</f>
        <v>116</v>
      </c>
      <c r="E39" s="163">
        <f>IFERROR(__xludf.DUMMYFUNCTION("""COMPUTED_VALUE"""),0.9482758620689655)</f>
        <v>0.9482758621</v>
      </c>
      <c r="F39" s="163">
        <f>IFERROR(__xludf.DUMMYFUNCTION("""COMPUTED_VALUE"""),0.853448275862069)</f>
        <v>0.8534482759</v>
      </c>
      <c r="G39" s="162"/>
      <c r="H39" s="160"/>
      <c r="I39" s="160"/>
      <c r="J39" s="162">
        <f>IFERROR(__xludf.DUMMYFUNCTION("""COMPUTED_VALUE"""),18.0)</f>
        <v>18</v>
      </c>
      <c r="K39" s="163">
        <f>IFERROR(__xludf.DUMMYFUNCTION("""COMPUTED_VALUE"""),1.0)</f>
        <v>1</v>
      </c>
      <c r="L39" s="163">
        <f>IFERROR(__xludf.DUMMYFUNCTION("""COMPUTED_VALUE"""),0.2777777777777778)</f>
        <v>0.2777777778</v>
      </c>
      <c r="M39" s="162">
        <f>IFERROR(__xludf.DUMMYFUNCTION("""COMPUTED_VALUE"""),134.0)</f>
        <v>134</v>
      </c>
      <c r="N39" s="163">
        <f>IFERROR(__xludf.DUMMYFUNCTION("""COMPUTED_VALUE"""),0.9552238805970149)</f>
        <v>0.9552238806</v>
      </c>
      <c r="O39" s="163">
        <f>IFERROR(__xludf.DUMMYFUNCTION("""COMPUTED_VALUE"""),0.7761194029850746)</f>
        <v>0.776119403</v>
      </c>
      <c r="P39" s="164">
        <f>IFERROR(__xludf.DUMMYFUNCTION("""COMPUTED_VALUE"""),12.184466019417476)</f>
        <v>12.18446602</v>
      </c>
      <c r="Q39" s="153"/>
      <c r="R39" s="153"/>
    </row>
    <row r="40">
      <c r="A40" s="160">
        <f>IFERROR(__xludf.DUMMYFUNCTION("""COMPUTED_VALUE"""),38.0)</f>
        <v>38</v>
      </c>
      <c r="B40" s="161" t="str">
        <f>IFERROR(__xludf.DUMMYFUNCTION("""COMPUTED_VALUE"""),"Huỳnh Thị Mới ")</f>
        <v>Huỳnh Thị Mới </v>
      </c>
      <c r="C40" s="161" t="str">
        <f>IFERROR(__xludf.DUMMYFUNCTION("""COMPUTED_VALUE"""),"BC 274 Hùng Vương-Tuy Hòa-Phú Yên")</f>
        <v>BC 274 Hùng Vương-Tuy Hòa-Phú Yên</v>
      </c>
      <c r="D40" s="162">
        <f>IFERROR(__xludf.DUMMYFUNCTION("""COMPUTED_VALUE"""),1156.0)</f>
        <v>1156</v>
      </c>
      <c r="E40" s="163">
        <f>IFERROR(__xludf.DUMMYFUNCTION("""COMPUTED_VALUE"""),0.9982698961937716)</f>
        <v>0.9982698962</v>
      </c>
      <c r="F40" s="163">
        <f>IFERROR(__xludf.DUMMYFUNCTION("""COMPUTED_VALUE"""),0.8321799307958477)</f>
        <v>0.8321799308</v>
      </c>
      <c r="G40" s="162">
        <f>IFERROR(__xludf.DUMMYFUNCTION("""COMPUTED_VALUE"""),120.0)</f>
        <v>120</v>
      </c>
      <c r="H40" s="163">
        <f>IFERROR(__xludf.DUMMYFUNCTION("""COMPUTED_VALUE"""),1.0)</f>
        <v>1</v>
      </c>
      <c r="I40" s="163">
        <f>IFERROR(__xludf.DUMMYFUNCTION("""COMPUTED_VALUE"""),0.8333333333333334)</f>
        <v>0.8333333333</v>
      </c>
      <c r="J40" s="162">
        <f>IFERROR(__xludf.DUMMYFUNCTION("""COMPUTED_VALUE"""),198.0)</f>
        <v>198</v>
      </c>
      <c r="K40" s="163">
        <f>IFERROR(__xludf.DUMMYFUNCTION("""COMPUTED_VALUE"""),0.98989898989899)</f>
        <v>0.9898989899</v>
      </c>
      <c r="L40" s="163">
        <f>IFERROR(__xludf.DUMMYFUNCTION("""COMPUTED_VALUE"""),0.41919191919191917)</f>
        <v>0.4191919192</v>
      </c>
      <c r="M40" s="162">
        <f>IFERROR(__xludf.DUMMYFUNCTION("""COMPUTED_VALUE"""),1474.0)</f>
        <v>1474</v>
      </c>
      <c r="N40" s="163">
        <f>IFERROR(__xludf.DUMMYFUNCTION("""COMPUTED_VALUE"""),0.9972862957937585)</f>
        <v>0.9972862958</v>
      </c>
      <c r="O40" s="163">
        <f>IFERROR(__xludf.DUMMYFUNCTION("""COMPUTED_VALUE"""),0.776797829036635)</f>
        <v>0.776797829</v>
      </c>
      <c r="P40" s="164">
        <f>IFERROR(__xludf.DUMMYFUNCTION("""COMPUTED_VALUE"""),8.183836589698046)</f>
        <v>8.18383659</v>
      </c>
      <c r="Q40" s="153"/>
      <c r="R40" s="153"/>
    </row>
    <row r="41">
      <c r="A41" s="160">
        <f>IFERROR(__xludf.DUMMYFUNCTION("""COMPUTED_VALUE"""),39.0)</f>
        <v>39</v>
      </c>
      <c r="B41" s="161" t="str">
        <f>IFERROR(__xludf.DUMMYFUNCTION("""COMPUTED_VALUE"""),"Phan Thanh Thức")</f>
        <v>Phan Thanh Thức</v>
      </c>
      <c r="C41" s="161" t="str">
        <f>IFERROR(__xludf.DUMMYFUNCTION("""COMPUTED_VALUE"""),"BC 565 Trần Phú-Tuy Phước-Bình Định")</f>
        <v>BC 565 Trần Phú-Tuy Phước-Bình Định</v>
      </c>
      <c r="D41" s="162">
        <f>IFERROR(__xludf.DUMMYFUNCTION("""COMPUTED_VALUE"""),1013.0)</f>
        <v>1013</v>
      </c>
      <c r="E41" s="163">
        <f>IFERROR(__xludf.DUMMYFUNCTION("""COMPUTED_VALUE"""),0.9970384995064165)</f>
        <v>0.9970384995</v>
      </c>
      <c r="F41" s="163">
        <f>IFERROR(__xludf.DUMMYFUNCTION("""COMPUTED_VALUE"""),0.8469891411648569)</f>
        <v>0.8469891412</v>
      </c>
      <c r="G41" s="162">
        <f>IFERROR(__xludf.DUMMYFUNCTION("""COMPUTED_VALUE"""),95.0)</f>
        <v>95</v>
      </c>
      <c r="H41" s="163">
        <f>IFERROR(__xludf.DUMMYFUNCTION("""COMPUTED_VALUE"""),0.9052631578947369)</f>
        <v>0.9052631579</v>
      </c>
      <c r="I41" s="163">
        <f>IFERROR(__xludf.DUMMYFUNCTION("""COMPUTED_VALUE"""),0.5263157894736842)</f>
        <v>0.5263157895</v>
      </c>
      <c r="J41" s="162">
        <f>IFERROR(__xludf.DUMMYFUNCTION("""COMPUTED_VALUE"""),172.0)</f>
        <v>172</v>
      </c>
      <c r="K41" s="163">
        <f>IFERROR(__xludf.DUMMYFUNCTION("""COMPUTED_VALUE"""),1.0)</f>
        <v>1</v>
      </c>
      <c r="L41" s="163">
        <f>IFERROR(__xludf.DUMMYFUNCTION("""COMPUTED_VALUE"""),0.5116279069767442)</f>
        <v>0.511627907</v>
      </c>
      <c r="M41" s="162">
        <f>IFERROR(__xludf.DUMMYFUNCTION("""COMPUTED_VALUE"""),1280.0)</f>
        <v>1280</v>
      </c>
      <c r="N41" s="163">
        <f>IFERROR(__xludf.DUMMYFUNCTION("""COMPUTED_VALUE"""),0.990625)</f>
        <v>0.990625</v>
      </c>
      <c r="O41" s="163">
        <f>IFERROR(__xludf.DUMMYFUNCTION("""COMPUTED_VALUE"""),0.778125)</f>
        <v>0.778125</v>
      </c>
      <c r="P41" s="164">
        <f>IFERROR(__xludf.DUMMYFUNCTION("""COMPUTED_VALUE"""),10.053916581892167)</f>
        <v>10.05391658</v>
      </c>
      <c r="Q41" s="153"/>
      <c r="R41" s="153"/>
    </row>
    <row r="42">
      <c r="A42" s="160">
        <f>IFERROR(__xludf.DUMMYFUNCTION("""COMPUTED_VALUE"""),40.0)</f>
        <v>40</v>
      </c>
      <c r="B42" s="161" t="str">
        <f>IFERROR(__xludf.DUMMYFUNCTION("""COMPUTED_VALUE"""),"Ngô  Thị Bích Trâm ")</f>
        <v>Ngô  Thị Bích Trâm </v>
      </c>
      <c r="C42" s="161" t="str">
        <f>IFERROR(__xludf.DUMMYFUNCTION("""COMPUTED_VALUE"""),"BC 172 Hùng Vương-Chư Prông-Gia Lai")</f>
        <v>BC 172 Hùng Vương-Chư Prông-Gia Lai</v>
      </c>
      <c r="D42" s="162">
        <f>IFERROR(__xludf.DUMMYFUNCTION("""COMPUTED_VALUE"""),557.0)</f>
        <v>557</v>
      </c>
      <c r="E42" s="163">
        <f>IFERROR(__xludf.DUMMYFUNCTION("""COMPUTED_VALUE"""),0.9946140035906643)</f>
        <v>0.9946140036</v>
      </c>
      <c r="F42" s="163">
        <f>IFERROR(__xludf.DUMMYFUNCTION("""COMPUTED_VALUE"""),0.874326750448833)</f>
        <v>0.8743267504</v>
      </c>
      <c r="G42" s="162"/>
      <c r="H42" s="160"/>
      <c r="I42" s="160"/>
      <c r="J42" s="162">
        <f>IFERROR(__xludf.DUMMYFUNCTION("""COMPUTED_VALUE"""),143.0)</f>
        <v>143</v>
      </c>
      <c r="K42" s="163">
        <f>IFERROR(__xludf.DUMMYFUNCTION("""COMPUTED_VALUE"""),0.9230769230769231)</f>
        <v>0.9230769231</v>
      </c>
      <c r="L42" s="163">
        <f>IFERROR(__xludf.DUMMYFUNCTION("""COMPUTED_VALUE"""),0.4125874125874126)</f>
        <v>0.4125874126</v>
      </c>
      <c r="M42" s="162">
        <f>IFERROR(__xludf.DUMMYFUNCTION("""COMPUTED_VALUE"""),700.0)</f>
        <v>700</v>
      </c>
      <c r="N42" s="163">
        <f>IFERROR(__xludf.DUMMYFUNCTION("""COMPUTED_VALUE"""),0.98)</f>
        <v>0.98</v>
      </c>
      <c r="O42" s="163">
        <f>IFERROR(__xludf.DUMMYFUNCTION("""COMPUTED_VALUE"""),0.78)</f>
        <v>0.78</v>
      </c>
      <c r="P42" s="164">
        <f>IFERROR(__xludf.DUMMYFUNCTION("""COMPUTED_VALUE"""),18.352504638218925)</f>
        <v>18.35250464</v>
      </c>
      <c r="Q42" s="153"/>
      <c r="R42" s="153"/>
    </row>
    <row r="43">
      <c r="A43" s="160">
        <f>IFERROR(__xludf.DUMMYFUNCTION("""COMPUTED_VALUE"""),41.0)</f>
        <v>41</v>
      </c>
      <c r="B43" s="161" t="str">
        <f>IFERROR(__xludf.DUMMYFUNCTION("""COMPUTED_VALUE"""),"Võ Thanh Diệu ")</f>
        <v>Võ Thanh Diệu </v>
      </c>
      <c r="C43" s="161" t="str">
        <f>IFERROR(__xludf.DUMMYFUNCTION("""COMPUTED_VALUE"""),"BC Đường 3 Tháng 2-Xã Phù Cát-Bình Định")</f>
        <v>BC Đường 3 Tháng 2-Xã Phù Cát-Bình Định</v>
      </c>
      <c r="D43" s="162">
        <f>IFERROR(__xludf.DUMMYFUNCTION("""COMPUTED_VALUE"""),854.0)</f>
        <v>854</v>
      </c>
      <c r="E43" s="163">
        <f>IFERROR(__xludf.DUMMYFUNCTION("""COMPUTED_VALUE"""),0.9988290398126464)</f>
        <v>0.9988290398</v>
      </c>
      <c r="F43" s="163">
        <f>IFERROR(__xludf.DUMMYFUNCTION("""COMPUTED_VALUE"""),0.8384074941451991)</f>
        <v>0.8384074941</v>
      </c>
      <c r="G43" s="162">
        <f>IFERROR(__xludf.DUMMYFUNCTION("""COMPUTED_VALUE"""),82.0)</f>
        <v>82</v>
      </c>
      <c r="H43" s="163">
        <f>IFERROR(__xludf.DUMMYFUNCTION("""COMPUTED_VALUE"""),0.9390243902439024)</f>
        <v>0.9390243902</v>
      </c>
      <c r="I43" s="163">
        <f>IFERROR(__xludf.DUMMYFUNCTION("""COMPUTED_VALUE"""),0.5975609756097561)</f>
        <v>0.5975609756</v>
      </c>
      <c r="J43" s="162">
        <f>IFERROR(__xludf.DUMMYFUNCTION("""COMPUTED_VALUE"""),108.0)</f>
        <v>108</v>
      </c>
      <c r="K43" s="163">
        <f>IFERROR(__xludf.DUMMYFUNCTION("""COMPUTED_VALUE"""),0.9814814814814815)</f>
        <v>0.9814814815</v>
      </c>
      <c r="L43" s="163">
        <f>IFERROR(__xludf.DUMMYFUNCTION("""COMPUTED_VALUE"""),0.5092592592592593)</f>
        <v>0.5092592593</v>
      </c>
      <c r="M43" s="162">
        <f>IFERROR(__xludf.DUMMYFUNCTION("""COMPUTED_VALUE"""),1044.0)</f>
        <v>1044</v>
      </c>
      <c r="N43" s="163">
        <f>IFERROR(__xludf.DUMMYFUNCTION("""COMPUTED_VALUE"""),0.9923371647509579)</f>
        <v>0.9923371648</v>
      </c>
      <c r="O43" s="163">
        <f>IFERROR(__xludf.DUMMYFUNCTION("""COMPUTED_VALUE"""),0.7854406130268199)</f>
        <v>0.785440613</v>
      </c>
      <c r="P43" s="164">
        <f>IFERROR(__xludf.DUMMYFUNCTION("""COMPUTED_VALUE"""),9.333333333333334)</f>
        <v>9.333333333</v>
      </c>
      <c r="Q43" s="153"/>
      <c r="R43" s="153"/>
    </row>
    <row r="44">
      <c r="A44" s="160">
        <f>IFERROR(__xludf.DUMMYFUNCTION("""COMPUTED_VALUE"""),42.0)</f>
        <v>42</v>
      </c>
      <c r="B44" s="161" t="str">
        <f>IFERROR(__xludf.DUMMYFUNCTION("""COMPUTED_VALUE"""),"Nguyễn Công Luận")</f>
        <v>Nguyễn Công Luận</v>
      </c>
      <c r="C44" s="161" t="str">
        <f>IFERROR(__xludf.DUMMYFUNCTION("""COMPUTED_VALUE"""),"BC 274 Hùng Vương-Chư Pưh-Gia Lai")</f>
        <v>BC 274 Hùng Vương-Chư Pưh-Gia Lai</v>
      </c>
      <c r="D44" s="162">
        <f>IFERROR(__xludf.DUMMYFUNCTION("""COMPUTED_VALUE"""),339.0)</f>
        <v>339</v>
      </c>
      <c r="E44" s="163">
        <f>IFERROR(__xludf.DUMMYFUNCTION("""COMPUTED_VALUE"""),1.0)</f>
        <v>1</v>
      </c>
      <c r="F44" s="163">
        <f>IFERROR(__xludf.DUMMYFUNCTION("""COMPUTED_VALUE"""),0.8672566371681416)</f>
        <v>0.8672566372</v>
      </c>
      <c r="G44" s="162">
        <f>IFERROR(__xludf.DUMMYFUNCTION("""COMPUTED_VALUE"""),21.0)</f>
        <v>21</v>
      </c>
      <c r="H44" s="163">
        <f>IFERROR(__xludf.DUMMYFUNCTION("""COMPUTED_VALUE"""),1.0)</f>
        <v>1</v>
      </c>
      <c r="I44" s="163">
        <f>IFERROR(__xludf.DUMMYFUNCTION("""COMPUTED_VALUE"""),0.7142857142857143)</f>
        <v>0.7142857143</v>
      </c>
      <c r="J44" s="162">
        <f>IFERROR(__xludf.DUMMYFUNCTION("""COMPUTED_VALUE"""),65.0)</f>
        <v>65</v>
      </c>
      <c r="K44" s="163">
        <f>IFERROR(__xludf.DUMMYFUNCTION("""COMPUTED_VALUE"""),0.8615384615384616)</f>
        <v>0.8615384615</v>
      </c>
      <c r="L44" s="163">
        <f>IFERROR(__xludf.DUMMYFUNCTION("""COMPUTED_VALUE"""),0.38461538461538464)</f>
        <v>0.3846153846</v>
      </c>
      <c r="M44" s="162">
        <f>IFERROR(__xludf.DUMMYFUNCTION("""COMPUTED_VALUE"""),425.0)</f>
        <v>425</v>
      </c>
      <c r="N44" s="163">
        <f>IFERROR(__xludf.DUMMYFUNCTION("""COMPUTED_VALUE"""),0.9788235294117648)</f>
        <v>0.9788235294</v>
      </c>
      <c r="O44" s="163">
        <f>IFERROR(__xludf.DUMMYFUNCTION("""COMPUTED_VALUE"""),0.7858823529411765)</f>
        <v>0.7858823529</v>
      </c>
      <c r="P44" s="164">
        <f>IFERROR(__xludf.DUMMYFUNCTION("""COMPUTED_VALUE"""),10.806153846153846)</f>
        <v>10.80615385</v>
      </c>
      <c r="Q44" s="153"/>
      <c r="R44" s="153"/>
    </row>
    <row r="45">
      <c r="A45" s="160">
        <f>IFERROR(__xludf.DUMMYFUNCTION("""COMPUTED_VALUE"""),43.0)</f>
        <v>43</v>
      </c>
      <c r="B45" s="161" t="str">
        <f>IFERROR(__xludf.DUMMYFUNCTION("""COMPUTED_VALUE"""),"Trần Nhật Thương")</f>
        <v>Trần Nhật Thương</v>
      </c>
      <c r="C45" s="161" t="str">
        <f>IFERROR(__xludf.DUMMYFUNCTION("""COMPUTED_VALUE"""),"BC 21 Tây Sơn-Xã Phù Mỹ-Bình Định")</f>
        <v>BC 21 Tây Sơn-Xã Phù Mỹ-Bình Định</v>
      </c>
      <c r="D45" s="162">
        <f>IFERROR(__xludf.DUMMYFUNCTION("""COMPUTED_VALUE"""),1041.0)</f>
        <v>1041</v>
      </c>
      <c r="E45" s="163">
        <f>IFERROR(__xludf.DUMMYFUNCTION("""COMPUTED_VALUE"""),0.9971181556195965)</f>
        <v>0.9971181556</v>
      </c>
      <c r="F45" s="163">
        <f>IFERROR(__xludf.DUMMYFUNCTION("""COMPUTED_VALUE"""),0.8712776176753122)</f>
        <v>0.8712776177</v>
      </c>
      <c r="G45" s="162">
        <f>IFERROR(__xludf.DUMMYFUNCTION("""COMPUTED_VALUE"""),100.0)</f>
        <v>100</v>
      </c>
      <c r="H45" s="163">
        <f>IFERROR(__xludf.DUMMYFUNCTION("""COMPUTED_VALUE"""),0.45)</f>
        <v>0.45</v>
      </c>
      <c r="I45" s="163">
        <f>IFERROR(__xludf.DUMMYFUNCTION("""COMPUTED_VALUE"""),0.28)</f>
        <v>0.28</v>
      </c>
      <c r="J45" s="162">
        <f>IFERROR(__xludf.DUMMYFUNCTION("""COMPUTED_VALUE"""),199.0)</f>
        <v>199</v>
      </c>
      <c r="K45" s="163">
        <f>IFERROR(__xludf.DUMMYFUNCTION("""COMPUTED_VALUE"""),0.9748743718592965)</f>
        <v>0.9748743719</v>
      </c>
      <c r="L45" s="163">
        <f>IFERROR(__xludf.DUMMYFUNCTION("""COMPUTED_VALUE"""),0.6231155778894473)</f>
        <v>0.6231155779</v>
      </c>
      <c r="M45" s="162">
        <f>IFERROR(__xludf.DUMMYFUNCTION("""COMPUTED_VALUE"""),1340.0)</f>
        <v>1340</v>
      </c>
      <c r="N45" s="163">
        <f>IFERROR(__xludf.DUMMYFUNCTION("""COMPUTED_VALUE"""),0.9529850746268657)</f>
        <v>0.9529850746</v>
      </c>
      <c r="O45" s="163">
        <f>IFERROR(__xludf.DUMMYFUNCTION("""COMPUTED_VALUE"""),0.7902985074626866)</f>
        <v>0.7902985075</v>
      </c>
      <c r="P45" s="164">
        <f>IFERROR(__xludf.DUMMYFUNCTION("""COMPUTED_VALUE"""),11.39980824544583)</f>
        <v>11.39980825</v>
      </c>
      <c r="Q45" s="153"/>
      <c r="R45" s="153"/>
    </row>
    <row r="46">
      <c r="A46" s="160">
        <f>IFERROR(__xludf.DUMMYFUNCTION("""COMPUTED_VALUE"""),44.0)</f>
        <v>44</v>
      </c>
      <c r="B46" s="161" t="str">
        <f>IFERROR(__xludf.DUMMYFUNCTION("""COMPUTED_VALUE"""),"Võ Thanh Diệu ")</f>
        <v>Võ Thanh Diệu </v>
      </c>
      <c r="C46" s="161" t="str">
        <f>IFERROR(__xludf.DUMMYFUNCTION("""COMPUTED_VALUE"""),"BC 44 Quang Trung-Tây Sơn-Bình Định")</f>
        <v>BC 44 Quang Trung-Tây Sơn-Bình Định</v>
      </c>
      <c r="D46" s="162">
        <f>IFERROR(__xludf.DUMMYFUNCTION("""COMPUTED_VALUE"""),871.0)</f>
        <v>871</v>
      </c>
      <c r="E46" s="163">
        <f>IFERROR(__xludf.DUMMYFUNCTION("""COMPUTED_VALUE"""),1.0)</f>
        <v>1</v>
      </c>
      <c r="F46" s="163">
        <f>IFERROR(__xludf.DUMMYFUNCTION("""COMPUTED_VALUE"""),0.8427095292766934)</f>
        <v>0.8427095293</v>
      </c>
      <c r="G46" s="162">
        <f>IFERROR(__xludf.DUMMYFUNCTION("""COMPUTED_VALUE"""),79.0)</f>
        <v>79</v>
      </c>
      <c r="H46" s="163">
        <f>IFERROR(__xludf.DUMMYFUNCTION("""COMPUTED_VALUE"""),0.7341772151898734)</f>
        <v>0.7341772152</v>
      </c>
      <c r="I46" s="163">
        <f>IFERROR(__xludf.DUMMYFUNCTION("""COMPUTED_VALUE"""),0.4810126582278481)</f>
        <v>0.4810126582</v>
      </c>
      <c r="J46" s="162">
        <f>IFERROR(__xludf.DUMMYFUNCTION("""COMPUTED_VALUE"""),120.0)</f>
        <v>120</v>
      </c>
      <c r="K46" s="163">
        <f>IFERROR(__xludf.DUMMYFUNCTION("""COMPUTED_VALUE"""),1.0)</f>
        <v>1</v>
      </c>
      <c r="L46" s="163">
        <f>IFERROR(__xludf.DUMMYFUNCTION("""COMPUTED_VALUE"""),0.6166666666666667)</f>
        <v>0.6166666667</v>
      </c>
      <c r="M46" s="162">
        <f>IFERROR(__xludf.DUMMYFUNCTION("""COMPUTED_VALUE"""),1070.0)</f>
        <v>1070</v>
      </c>
      <c r="N46" s="163">
        <f>IFERROR(__xludf.DUMMYFUNCTION("""COMPUTED_VALUE"""),0.9803738317757009)</f>
        <v>0.9803738318</v>
      </c>
      <c r="O46" s="163">
        <f>IFERROR(__xludf.DUMMYFUNCTION("""COMPUTED_VALUE"""),0.7906542056074767)</f>
        <v>0.7906542056</v>
      </c>
      <c r="P46" s="164">
        <f>IFERROR(__xludf.DUMMYFUNCTION("""COMPUTED_VALUE"""),10.929866989117292)</f>
        <v>10.92986699</v>
      </c>
      <c r="Q46" s="153"/>
      <c r="R46" s="153"/>
    </row>
    <row r="47">
      <c r="A47" s="160">
        <f>IFERROR(__xludf.DUMMYFUNCTION("""COMPUTED_VALUE"""),45.0)</f>
        <v>45</v>
      </c>
      <c r="B47" s="161" t="str">
        <f>IFERROR(__xludf.DUMMYFUNCTION("""COMPUTED_VALUE"""),"Phan Thanh Thức")</f>
        <v>Phan Thanh Thức</v>
      </c>
      <c r="C47" s="161" t="str">
        <f>IFERROR(__xludf.DUMMYFUNCTION("""COMPUTED_VALUE"""),"BC 61 Quang Trung-Xã Vân Canh-Bình Định")</f>
        <v>BC 61 Quang Trung-Xã Vân Canh-Bình Định</v>
      </c>
      <c r="D47" s="162">
        <f>IFERROR(__xludf.DUMMYFUNCTION("""COMPUTED_VALUE"""),122.0)</f>
        <v>122</v>
      </c>
      <c r="E47" s="163">
        <f>IFERROR(__xludf.DUMMYFUNCTION("""COMPUTED_VALUE"""),1.0)</f>
        <v>1</v>
      </c>
      <c r="F47" s="163">
        <f>IFERROR(__xludf.DUMMYFUNCTION("""COMPUTED_VALUE"""),0.8770491803278688)</f>
        <v>0.8770491803</v>
      </c>
      <c r="G47" s="162"/>
      <c r="H47" s="160"/>
      <c r="I47" s="160"/>
      <c r="J47" s="162">
        <f>IFERROR(__xludf.DUMMYFUNCTION("""COMPUTED_VALUE"""),30.0)</f>
        <v>30</v>
      </c>
      <c r="K47" s="163">
        <f>IFERROR(__xludf.DUMMYFUNCTION("""COMPUTED_VALUE"""),1.0)</f>
        <v>1</v>
      </c>
      <c r="L47" s="163">
        <f>IFERROR(__xludf.DUMMYFUNCTION("""COMPUTED_VALUE"""),0.4666666666666667)</f>
        <v>0.4666666667</v>
      </c>
      <c r="M47" s="162">
        <f>IFERROR(__xludf.DUMMYFUNCTION("""COMPUTED_VALUE"""),152.0)</f>
        <v>152</v>
      </c>
      <c r="N47" s="163">
        <f>IFERROR(__xludf.DUMMYFUNCTION("""COMPUTED_VALUE"""),1.0)</f>
        <v>1</v>
      </c>
      <c r="O47" s="163">
        <f>IFERROR(__xludf.DUMMYFUNCTION("""COMPUTED_VALUE"""),0.7960526315789473)</f>
        <v>0.7960526316</v>
      </c>
      <c r="P47" s="164">
        <f>IFERROR(__xludf.DUMMYFUNCTION("""COMPUTED_VALUE"""),18.466666666666665)</f>
        <v>18.46666667</v>
      </c>
      <c r="Q47" s="153"/>
      <c r="R47" s="153"/>
    </row>
    <row r="48">
      <c r="A48" s="160">
        <f>IFERROR(__xludf.DUMMYFUNCTION("""COMPUTED_VALUE"""),46.0)</f>
        <v>46</v>
      </c>
      <c r="B48" s="161" t="str">
        <f>IFERROR(__xludf.DUMMYFUNCTION("""COMPUTED_VALUE"""),"Nguyễn Đình Trung")</f>
        <v>Nguyễn Đình Trung</v>
      </c>
      <c r="C48" s="161" t="str">
        <f>IFERROR(__xludf.DUMMYFUNCTION("""COMPUTED_VALUE"""),"BC 327A Cách Mạng Tháng 8-Pleiku-Gia Lai")</f>
        <v>BC 327A Cách Mạng Tháng 8-Pleiku-Gia Lai</v>
      </c>
      <c r="D48" s="162">
        <f>IFERROR(__xludf.DUMMYFUNCTION("""COMPUTED_VALUE"""),923.0)</f>
        <v>923</v>
      </c>
      <c r="E48" s="163">
        <f>IFERROR(__xludf.DUMMYFUNCTION("""COMPUTED_VALUE"""),0.9869989165763814)</f>
        <v>0.9869989166</v>
      </c>
      <c r="F48" s="163">
        <f>IFERROR(__xludf.DUMMYFUNCTION("""COMPUTED_VALUE"""),0.8591549295774648)</f>
        <v>0.8591549296</v>
      </c>
      <c r="G48" s="162">
        <f>IFERROR(__xludf.DUMMYFUNCTION("""COMPUTED_VALUE"""),84.0)</f>
        <v>84</v>
      </c>
      <c r="H48" s="163">
        <f>IFERROR(__xludf.DUMMYFUNCTION("""COMPUTED_VALUE"""),1.0)</f>
        <v>1</v>
      </c>
      <c r="I48" s="163">
        <f>IFERROR(__xludf.DUMMYFUNCTION("""COMPUTED_VALUE"""),0.8452380952380952)</f>
        <v>0.8452380952</v>
      </c>
      <c r="J48" s="162">
        <f>IFERROR(__xludf.DUMMYFUNCTION("""COMPUTED_VALUE"""),136.0)</f>
        <v>136</v>
      </c>
      <c r="K48" s="163">
        <f>IFERROR(__xludf.DUMMYFUNCTION("""COMPUTED_VALUE"""),0.9632352941176471)</f>
        <v>0.9632352941</v>
      </c>
      <c r="L48" s="163">
        <f>IFERROR(__xludf.DUMMYFUNCTION("""COMPUTED_VALUE"""),0.3382352941176471)</f>
        <v>0.3382352941</v>
      </c>
      <c r="M48" s="162">
        <f>IFERROR(__xludf.DUMMYFUNCTION("""COMPUTED_VALUE"""),1143.0)</f>
        <v>1143</v>
      </c>
      <c r="N48" s="163">
        <f>IFERROR(__xludf.DUMMYFUNCTION("""COMPUTED_VALUE"""),0.9851268591426072)</f>
        <v>0.9851268591</v>
      </c>
      <c r="O48" s="163">
        <f>IFERROR(__xludf.DUMMYFUNCTION("""COMPUTED_VALUE"""),0.7961504811898513)</f>
        <v>0.7961504812</v>
      </c>
      <c r="P48" s="164">
        <f>IFERROR(__xludf.DUMMYFUNCTION("""COMPUTED_VALUE"""),12.009988901220865)</f>
        <v>12.0099889</v>
      </c>
      <c r="Q48" s="153"/>
      <c r="R48" s="153"/>
    </row>
    <row r="49">
      <c r="A49" s="160">
        <f>IFERROR(__xludf.DUMMYFUNCTION("""COMPUTED_VALUE"""),47.0)</f>
        <v>47</v>
      </c>
      <c r="B49" s="161" t="str">
        <f>IFERROR(__xludf.DUMMYFUNCTION("""COMPUTED_VALUE"""),"Lê Trọng Khiêm")</f>
        <v>Lê Trọng Khiêm</v>
      </c>
      <c r="C49" s="161" t="str">
        <f>IFERROR(__xludf.DUMMYFUNCTION("""COMPUTED_VALUE"""),"BC Thôn Đông Phước-Phú Hòa-Phú Yên")</f>
        <v>BC Thôn Đông Phước-Phú Hòa-Phú Yên</v>
      </c>
      <c r="D49" s="162">
        <f>IFERROR(__xludf.DUMMYFUNCTION("""COMPUTED_VALUE"""),622.0)</f>
        <v>622</v>
      </c>
      <c r="E49" s="163">
        <f>IFERROR(__xludf.DUMMYFUNCTION("""COMPUTED_VALUE"""),0.9983922829581994)</f>
        <v>0.998392283</v>
      </c>
      <c r="F49" s="163">
        <f>IFERROR(__xludf.DUMMYFUNCTION("""COMPUTED_VALUE"""),0.8810289389067524)</f>
        <v>0.8810289389</v>
      </c>
      <c r="G49" s="162">
        <f>IFERROR(__xludf.DUMMYFUNCTION("""COMPUTED_VALUE"""),55.0)</f>
        <v>55</v>
      </c>
      <c r="H49" s="163">
        <f>IFERROR(__xludf.DUMMYFUNCTION("""COMPUTED_VALUE"""),0.9454545454545454)</f>
        <v>0.9454545455</v>
      </c>
      <c r="I49" s="163">
        <f>IFERROR(__xludf.DUMMYFUNCTION("""COMPUTED_VALUE"""),0.7454545454545455)</f>
        <v>0.7454545455</v>
      </c>
      <c r="J49" s="162">
        <f>IFERROR(__xludf.DUMMYFUNCTION("""COMPUTED_VALUE"""),81.0)</f>
        <v>81</v>
      </c>
      <c r="K49" s="163">
        <f>IFERROR(__xludf.DUMMYFUNCTION("""COMPUTED_VALUE"""),0.9259259259259259)</f>
        <v>0.9259259259</v>
      </c>
      <c r="L49" s="163">
        <f>IFERROR(__xludf.DUMMYFUNCTION("""COMPUTED_VALUE"""),0.25925925925925924)</f>
        <v>0.2592592593</v>
      </c>
      <c r="M49" s="162">
        <f>IFERROR(__xludf.DUMMYFUNCTION("""COMPUTED_VALUE"""),758.0)</f>
        <v>758</v>
      </c>
      <c r="N49" s="163">
        <f>IFERROR(__xludf.DUMMYFUNCTION("""COMPUTED_VALUE"""),0.9868073878627969)</f>
        <v>0.9868073879</v>
      </c>
      <c r="O49" s="163">
        <f>IFERROR(__xludf.DUMMYFUNCTION("""COMPUTED_VALUE"""),0.8047493403693932)</f>
        <v>0.8047493404</v>
      </c>
      <c r="P49" s="164">
        <f>IFERROR(__xludf.DUMMYFUNCTION("""COMPUTED_VALUE"""),6.249586776859504)</f>
        <v>6.249586777</v>
      </c>
      <c r="Q49" s="153"/>
      <c r="R49" s="153"/>
    </row>
    <row r="50">
      <c r="A50" s="160">
        <f>IFERROR(__xludf.DUMMYFUNCTION("""COMPUTED_VALUE"""),48.0)</f>
        <v>48</v>
      </c>
      <c r="B50" s="161" t="str">
        <f>IFERROR(__xludf.DUMMYFUNCTION("""COMPUTED_VALUE"""),"Huỳnh Thị Mới ")</f>
        <v>Huỳnh Thị Mới </v>
      </c>
      <c r="C50" s="161" t="str">
        <f>IFERROR(__xludf.DUMMYFUNCTION("""COMPUTED_VALUE"""),"BC Thị Trấn Phú Thứ-Tây Hoà-Phú Yên")</f>
        <v>BC Thị Trấn Phú Thứ-Tây Hoà-Phú Yên</v>
      </c>
      <c r="D50" s="162">
        <f>IFERROR(__xludf.DUMMYFUNCTION("""COMPUTED_VALUE"""),676.0)</f>
        <v>676</v>
      </c>
      <c r="E50" s="163">
        <f>IFERROR(__xludf.DUMMYFUNCTION("""COMPUTED_VALUE"""),0.9970414201183432)</f>
        <v>0.9970414201</v>
      </c>
      <c r="F50" s="163">
        <f>IFERROR(__xludf.DUMMYFUNCTION("""COMPUTED_VALUE"""),0.8668639053254438)</f>
        <v>0.8668639053</v>
      </c>
      <c r="G50" s="162">
        <f>IFERROR(__xludf.DUMMYFUNCTION("""COMPUTED_VALUE"""),50.0)</f>
        <v>50</v>
      </c>
      <c r="H50" s="163">
        <f>IFERROR(__xludf.DUMMYFUNCTION("""COMPUTED_VALUE"""),0.62)</f>
        <v>0.62</v>
      </c>
      <c r="I50" s="163">
        <f>IFERROR(__xludf.DUMMYFUNCTION("""COMPUTED_VALUE"""),0.42)</f>
        <v>0.42</v>
      </c>
      <c r="J50" s="162">
        <f>IFERROR(__xludf.DUMMYFUNCTION("""COMPUTED_VALUE"""),157.0)</f>
        <v>157</v>
      </c>
      <c r="K50" s="163">
        <f>IFERROR(__xludf.DUMMYFUNCTION("""COMPUTED_VALUE"""),0.9745222929936306)</f>
        <v>0.974522293</v>
      </c>
      <c r="L50" s="163">
        <f>IFERROR(__xludf.DUMMYFUNCTION("""COMPUTED_VALUE"""),0.6751592356687898)</f>
        <v>0.6751592357</v>
      </c>
      <c r="M50" s="162">
        <f>IFERROR(__xludf.DUMMYFUNCTION("""COMPUTED_VALUE"""),883.0)</f>
        <v>883</v>
      </c>
      <c r="N50" s="163">
        <f>IFERROR(__xludf.DUMMYFUNCTION("""COMPUTED_VALUE"""),0.9716874292185731)</f>
        <v>0.9716874292</v>
      </c>
      <c r="O50" s="163">
        <f>IFERROR(__xludf.DUMMYFUNCTION("""COMPUTED_VALUE"""),0.8074745186862967)</f>
        <v>0.8074745187</v>
      </c>
      <c r="P50" s="164">
        <f>IFERROR(__xludf.DUMMYFUNCTION("""COMPUTED_VALUE"""),9.322901849217638)</f>
        <v>9.322901849</v>
      </c>
      <c r="Q50" s="153"/>
      <c r="R50" s="153"/>
    </row>
    <row r="51">
      <c r="A51" s="160">
        <f>IFERROR(__xludf.DUMMYFUNCTION("""COMPUTED_VALUE"""),49.0)</f>
        <v>49</v>
      </c>
      <c r="B51" s="161" t="str">
        <f>IFERROR(__xludf.DUMMYFUNCTION("""COMPUTED_VALUE"""),"Phan Thanh Thức")</f>
        <v>Phan Thanh Thức</v>
      </c>
      <c r="C51" s="161" t="str">
        <f>IFERROR(__xludf.DUMMYFUNCTION("""COMPUTED_VALUE"""),"BC 263 Đống Đa-Quy Nhơn-Bình Định")</f>
        <v>BC 263 Đống Đa-Quy Nhơn-Bình Định</v>
      </c>
      <c r="D51" s="162">
        <f>IFERROR(__xludf.DUMMYFUNCTION("""COMPUTED_VALUE"""),1608.0)</f>
        <v>1608</v>
      </c>
      <c r="E51" s="163">
        <f>IFERROR(__xludf.DUMMYFUNCTION("""COMPUTED_VALUE"""),0.9987562189054726)</f>
        <v>0.9987562189</v>
      </c>
      <c r="F51" s="163">
        <f>IFERROR(__xludf.DUMMYFUNCTION("""COMPUTED_VALUE"""),0.8700248756218906)</f>
        <v>0.8700248756</v>
      </c>
      <c r="G51" s="162">
        <f>IFERROR(__xludf.DUMMYFUNCTION("""COMPUTED_VALUE"""),140.0)</f>
        <v>140</v>
      </c>
      <c r="H51" s="163">
        <f>IFERROR(__xludf.DUMMYFUNCTION("""COMPUTED_VALUE"""),0.9142857142857143)</f>
        <v>0.9142857143</v>
      </c>
      <c r="I51" s="163">
        <f>IFERROR(__xludf.DUMMYFUNCTION("""COMPUTED_VALUE"""),0.8142857142857143)</f>
        <v>0.8142857143</v>
      </c>
      <c r="J51" s="162">
        <f>IFERROR(__xludf.DUMMYFUNCTION("""COMPUTED_VALUE"""),253.0)</f>
        <v>253</v>
      </c>
      <c r="K51" s="163">
        <f>IFERROR(__xludf.DUMMYFUNCTION("""COMPUTED_VALUE"""),0.9802371541501976)</f>
        <v>0.9802371542</v>
      </c>
      <c r="L51" s="163">
        <f>IFERROR(__xludf.DUMMYFUNCTION("""COMPUTED_VALUE"""),0.45454545454545453)</f>
        <v>0.4545454545</v>
      </c>
      <c r="M51" s="162">
        <f>IFERROR(__xludf.DUMMYFUNCTION("""COMPUTED_VALUE"""),2001.0)</f>
        <v>2001</v>
      </c>
      <c r="N51" s="163">
        <f>IFERROR(__xludf.DUMMYFUNCTION("""COMPUTED_VALUE"""),0.9905047476261869)</f>
        <v>0.9905047476</v>
      </c>
      <c r="O51" s="163">
        <f>IFERROR(__xludf.DUMMYFUNCTION("""COMPUTED_VALUE"""),0.8135932033983009)</f>
        <v>0.8135932034</v>
      </c>
      <c r="P51" s="164">
        <f>IFERROR(__xludf.DUMMYFUNCTION("""COMPUTED_VALUE"""),11.665630826600372)</f>
        <v>11.66563083</v>
      </c>
      <c r="Q51" s="153"/>
      <c r="R51" s="153"/>
    </row>
    <row r="52">
      <c r="A52" s="160">
        <f>IFERROR(__xludf.DUMMYFUNCTION("""COMPUTED_VALUE"""),50.0)</f>
        <v>50</v>
      </c>
      <c r="B52" s="161" t="str">
        <f>IFERROR(__xludf.DUMMYFUNCTION("""COMPUTED_VALUE"""),"Nguyễn Đình Trung")</f>
        <v>Nguyễn Đình Trung</v>
      </c>
      <c r="C52" s="161" t="str">
        <f>IFERROR(__xludf.DUMMYFUNCTION("""COMPUTED_VALUE"""),"BC 15 Hoàng Văn Thụ-An Khê-Gia Lai")</f>
        <v>BC 15 Hoàng Văn Thụ-An Khê-Gia Lai</v>
      </c>
      <c r="D52" s="162">
        <f>IFERROR(__xludf.DUMMYFUNCTION("""COMPUTED_VALUE"""),910.0)</f>
        <v>910</v>
      </c>
      <c r="E52" s="163">
        <f>IFERROR(__xludf.DUMMYFUNCTION("""COMPUTED_VALUE"""),0.9956043956043956)</f>
        <v>0.9956043956</v>
      </c>
      <c r="F52" s="163">
        <f>IFERROR(__xludf.DUMMYFUNCTION("""COMPUTED_VALUE"""),0.9076923076923077)</f>
        <v>0.9076923077</v>
      </c>
      <c r="G52" s="162">
        <f>IFERROR(__xludf.DUMMYFUNCTION("""COMPUTED_VALUE"""),52.0)</f>
        <v>52</v>
      </c>
      <c r="H52" s="163">
        <f>IFERROR(__xludf.DUMMYFUNCTION("""COMPUTED_VALUE"""),0.9615384615384616)</f>
        <v>0.9615384615</v>
      </c>
      <c r="I52" s="163">
        <f>IFERROR(__xludf.DUMMYFUNCTION("""COMPUTED_VALUE"""),0.8653846153846154)</f>
        <v>0.8653846154</v>
      </c>
      <c r="J52" s="162">
        <f>IFERROR(__xludf.DUMMYFUNCTION("""COMPUTED_VALUE"""),135.0)</f>
        <v>135</v>
      </c>
      <c r="K52" s="163">
        <f>IFERROR(__xludf.DUMMYFUNCTION("""COMPUTED_VALUE"""),0.9555555555555556)</f>
        <v>0.9555555556</v>
      </c>
      <c r="L52" s="163">
        <f>IFERROR(__xludf.DUMMYFUNCTION("""COMPUTED_VALUE"""),0.25925925925925924)</f>
        <v>0.2592592593</v>
      </c>
      <c r="M52" s="162">
        <f>IFERROR(__xludf.DUMMYFUNCTION("""COMPUTED_VALUE"""),1097.0)</f>
        <v>1097</v>
      </c>
      <c r="N52" s="163">
        <f>IFERROR(__xludf.DUMMYFUNCTION("""COMPUTED_VALUE"""),0.9890610756608933)</f>
        <v>0.9890610757</v>
      </c>
      <c r="O52" s="163">
        <f>IFERROR(__xludf.DUMMYFUNCTION("""COMPUTED_VALUE"""),0.8258887876025525)</f>
        <v>0.8258887876</v>
      </c>
      <c r="P52" s="164">
        <f>IFERROR(__xludf.DUMMYFUNCTION("""COMPUTED_VALUE"""),9.808295964125561)</f>
        <v>9.808295964</v>
      </c>
      <c r="Q52" s="153"/>
      <c r="R52" s="153"/>
    </row>
    <row r="53">
      <c r="A53" s="160">
        <f>IFERROR(__xludf.DUMMYFUNCTION("""COMPUTED_VALUE"""),51.0)</f>
        <v>51</v>
      </c>
      <c r="B53" s="161" t="str">
        <f>IFERROR(__xludf.DUMMYFUNCTION("""COMPUTED_VALUE"""),"Trần Nhật Thương")</f>
        <v>Trần Nhật Thương</v>
      </c>
      <c r="C53" s="161" t="str">
        <f>IFERROR(__xludf.DUMMYFUNCTION("""COMPUTED_VALUE"""),"BC 838 Quang Trung-Phường Hoài Nhơn Tây-Bình Định")</f>
        <v>BC 838 Quang Trung-Phường Hoài Nhơn Tây-Bình Định</v>
      </c>
      <c r="D53" s="162">
        <f>IFERROR(__xludf.DUMMYFUNCTION("""COMPUTED_VALUE"""),762.0)</f>
        <v>762</v>
      </c>
      <c r="E53" s="163">
        <f>IFERROR(__xludf.DUMMYFUNCTION("""COMPUTED_VALUE"""),1.0)</f>
        <v>1</v>
      </c>
      <c r="F53" s="163">
        <f>IFERROR(__xludf.DUMMYFUNCTION("""COMPUTED_VALUE"""),0.8779527559055118)</f>
        <v>0.8779527559</v>
      </c>
      <c r="G53" s="162">
        <f>IFERROR(__xludf.DUMMYFUNCTION("""COMPUTED_VALUE"""),84.0)</f>
        <v>84</v>
      </c>
      <c r="H53" s="163">
        <f>IFERROR(__xludf.DUMMYFUNCTION("""COMPUTED_VALUE"""),0.9285714285714286)</f>
        <v>0.9285714286</v>
      </c>
      <c r="I53" s="163">
        <f>IFERROR(__xludf.DUMMYFUNCTION("""COMPUTED_VALUE"""),0.7857142857142857)</f>
        <v>0.7857142857</v>
      </c>
      <c r="J53" s="162">
        <f>IFERROR(__xludf.DUMMYFUNCTION("""COMPUTED_VALUE"""),89.0)</f>
        <v>89</v>
      </c>
      <c r="K53" s="163">
        <f>IFERROR(__xludf.DUMMYFUNCTION("""COMPUTED_VALUE"""),1.0)</f>
        <v>1</v>
      </c>
      <c r="L53" s="163">
        <f>IFERROR(__xludf.DUMMYFUNCTION("""COMPUTED_VALUE"""),0.43820224719101125)</f>
        <v>0.4382022472</v>
      </c>
      <c r="M53" s="162">
        <f>IFERROR(__xludf.DUMMYFUNCTION("""COMPUTED_VALUE"""),935.0)</f>
        <v>935</v>
      </c>
      <c r="N53" s="163">
        <f>IFERROR(__xludf.DUMMYFUNCTION("""COMPUTED_VALUE"""),0.9935828877005347)</f>
        <v>0.9935828877</v>
      </c>
      <c r="O53" s="163">
        <f>IFERROR(__xludf.DUMMYFUNCTION("""COMPUTED_VALUE"""),0.827807486631016)</f>
        <v>0.8278074866</v>
      </c>
      <c r="P53" s="164">
        <f>IFERROR(__xludf.DUMMYFUNCTION("""COMPUTED_VALUE"""),9.322454308093995)</f>
        <v>9.322454308</v>
      </c>
      <c r="Q53" s="153"/>
      <c r="R53" s="153"/>
    </row>
    <row r="54">
      <c r="A54" s="160">
        <f>IFERROR(__xludf.DUMMYFUNCTION("""COMPUTED_VALUE"""),52.0)</f>
        <v>52</v>
      </c>
      <c r="B54" s="161" t="str">
        <f>IFERROR(__xludf.DUMMYFUNCTION("""COMPUTED_VALUE"""),"Phan Thị Mỹ Chi")</f>
        <v>Phan Thị Mỹ Chi</v>
      </c>
      <c r="C54" s="161" t="str">
        <f>IFERROR(__xludf.DUMMYFUNCTION("""COMPUTED_VALUE"""),"BC 73 Lê Lợi-Chư Pah-Gia Lai")</f>
        <v>BC 73 Lê Lợi-Chư Pah-Gia Lai</v>
      </c>
      <c r="D54" s="162">
        <f>IFERROR(__xludf.DUMMYFUNCTION("""COMPUTED_VALUE"""),510.0)</f>
        <v>510</v>
      </c>
      <c r="E54" s="163">
        <f>IFERROR(__xludf.DUMMYFUNCTION("""COMPUTED_VALUE"""),0.9980392156862745)</f>
        <v>0.9980392157</v>
      </c>
      <c r="F54" s="163">
        <f>IFERROR(__xludf.DUMMYFUNCTION("""COMPUTED_VALUE"""),0.8901960784313725)</f>
        <v>0.8901960784</v>
      </c>
      <c r="G54" s="162">
        <f>IFERROR(__xludf.DUMMYFUNCTION("""COMPUTED_VALUE"""),35.0)</f>
        <v>35</v>
      </c>
      <c r="H54" s="163">
        <f>IFERROR(__xludf.DUMMYFUNCTION("""COMPUTED_VALUE"""),1.0)</f>
        <v>1</v>
      </c>
      <c r="I54" s="163">
        <f>IFERROR(__xludf.DUMMYFUNCTION("""COMPUTED_VALUE"""),0.8571428571428571)</f>
        <v>0.8571428571</v>
      </c>
      <c r="J54" s="162">
        <f>IFERROR(__xludf.DUMMYFUNCTION("""COMPUTED_VALUE"""),65.0)</f>
        <v>65</v>
      </c>
      <c r="K54" s="163">
        <f>IFERROR(__xludf.DUMMYFUNCTION("""COMPUTED_VALUE"""),0.9846153846153847)</f>
        <v>0.9846153846</v>
      </c>
      <c r="L54" s="163">
        <f>IFERROR(__xludf.DUMMYFUNCTION("""COMPUTED_VALUE"""),0.3384615384615385)</f>
        <v>0.3384615385</v>
      </c>
      <c r="M54" s="162">
        <f>IFERROR(__xludf.DUMMYFUNCTION("""COMPUTED_VALUE"""),610.0)</f>
        <v>610</v>
      </c>
      <c r="N54" s="163">
        <f>IFERROR(__xludf.DUMMYFUNCTION("""COMPUTED_VALUE"""),0.9967213114754099)</f>
        <v>0.9967213115</v>
      </c>
      <c r="O54" s="163">
        <f>IFERROR(__xludf.DUMMYFUNCTION("""COMPUTED_VALUE"""),0.8295081967213115)</f>
        <v>0.8295081967</v>
      </c>
      <c r="P54" s="164">
        <f>IFERROR(__xludf.DUMMYFUNCTION("""COMPUTED_VALUE"""),9.307692307692308)</f>
        <v>9.307692308</v>
      </c>
      <c r="Q54" s="153"/>
      <c r="R54" s="153"/>
    </row>
    <row r="55">
      <c r="A55" s="160">
        <f>IFERROR(__xludf.DUMMYFUNCTION("""COMPUTED_VALUE"""),53.0)</f>
        <v>53</v>
      </c>
      <c r="B55" s="161" t="str">
        <f>IFERROR(__xludf.DUMMYFUNCTION("""COMPUTED_VALUE"""),"Phan Thị Mỹ Chi")</f>
        <v>Phan Thị Mỹ Chi</v>
      </c>
      <c r="C55" s="161" t="str">
        <f>IFERROR(__xludf.DUMMYFUNCTION("""COMPUTED_VALUE"""),"BC 569 Trường Chinh-Pleiku-Gia Lai")</f>
        <v>BC 569 Trường Chinh-Pleiku-Gia Lai</v>
      </c>
      <c r="D55" s="162">
        <f>IFERROR(__xludf.DUMMYFUNCTION("""COMPUTED_VALUE"""),1028.0)</f>
        <v>1028</v>
      </c>
      <c r="E55" s="163">
        <f>IFERROR(__xludf.DUMMYFUNCTION("""COMPUTED_VALUE"""),0.9970817120622568)</f>
        <v>0.9970817121</v>
      </c>
      <c r="F55" s="163">
        <f>IFERROR(__xludf.DUMMYFUNCTION("""COMPUTED_VALUE"""),0.872568093385214)</f>
        <v>0.8725680934</v>
      </c>
      <c r="G55" s="162">
        <f>IFERROR(__xludf.DUMMYFUNCTION("""COMPUTED_VALUE"""),128.0)</f>
        <v>128</v>
      </c>
      <c r="H55" s="163">
        <f>IFERROR(__xludf.DUMMYFUNCTION("""COMPUTED_VALUE"""),0.9921875)</f>
        <v>0.9921875</v>
      </c>
      <c r="I55" s="163">
        <f>IFERROR(__xludf.DUMMYFUNCTION("""COMPUTED_VALUE"""),0.90625)</f>
        <v>0.90625</v>
      </c>
      <c r="J55" s="162">
        <f>IFERROR(__xludf.DUMMYFUNCTION("""COMPUTED_VALUE"""),132.0)</f>
        <v>132</v>
      </c>
      <c r="K55" s="163">
        <f>IFERROR(__xludf.DUMMYFUNCTION("""COMPUTED_VALUE"""),0.9621212121212122)</f>
        <v>0.9621212121</v>
      </c>
      <c r="L55" s="163">
        <f>IFERROR(__xludf.DUMMYFUNCTION("""COMPUTED_VALUE"""),0.44696969696969696)</f>
        <v>0.446969697</v>
      </c>
      <c r="M55" s="162">
        <f>IFERROR(__xludf.DUMMYFUNCTION("""COMPUTED_VALUE"""),1288.0)</f>
        <v>1288</v>
      </c>
      <c r="N55" s="163">
        <f>IFERROR(__xludf.DUMMYFUNCTION("""COMPUTED_VALUE"""),0.9930124223602484)</f>
        <v>0.9930124224</v>
      </c>
      <c r="O55" s="163">
        <f>IFERROR(__xludf.DUMMYFUNCTION("""COMPUTED_VALUE"""),0.8322981366459627)</f>
        <v>0.8322981366</v>
      </c>
      <c r="P55" s="164">
        <f>IFERROR(__xludf.DUMMYFUNCTION("""COMPUTED_VALUE"""),9.375832540437678)</f>
        <v>9.37583254</v>
      </c>
      <c r="Q55" s="153"/>
      <c r="R55" s="153"/>
    </row>
    <row r="56">
      <c r="A56" s="160">
        <f>IFERROR(__xludf.DUMMYFUNCTION("""COMPUTED_VALUE"""),54.0)</f>
        <v>54</v>
      </c>
      <c r="B56" s="161" t="str">
        <f>IFERROR(__xludf.DUMMYFUNCTION("""COMPUTED_VALUE"""),"Nguyễn Đình Trung")</f>
        <v>Nguyễn Đình Trung</v>
      </c>
      <c r="C56" s="161" t="str">
        <f>IFERROR(__xludf.DUMMYFUNCTION("""COMPUTED_VALUE"""),"BC 127B Lê Văn Tám-Thị Trấn Kbang-Huyện Kbang-Gia Lai")</f>
        <v>BC 127B Lê Văn Tám-Thị Trấn Kbang-Huyện Kbang-Gia Lai</v>
      </c>
      <c r="D56" s="162">
        <f>IFERROR(__xludf.DUMMYFUNCTION("""COMPUTED_VALUE"""),275.0)</f>
        <v>275</v>
      </c>
      <c r="E56" s="163">
        <f>IFERROR(__xludf.DUMMYFUNCTION("""COMPUTED_VALUE"""),0.9963636363636363)</f>
        <v>0.9963636364</v>
      </c>
      <c r="F56" s="163">
        <f>IFERROR(__xludf.DUMMYFUNCTION("""COMPUTED_VALUE"""),0.8981818181818182)</f>
        <v>0.8981818182</v>
      </c>
      <c r="G56" s="162"/>
      <c r="H56" s="160"/>
      <c r="I56" s="160"/>
      <c r="J56" s="162">
        <f>IFERROR(__xludf.DUMMYFUNCTION("""COMPUTED_VALUE"""),46.0)</f>
        <v>46</v>
      </c>
      <c r="K56" s="163">
        <f>IFERROR(__xludf.DUMMYFUNCTION("""COMPUTED_VALUE"""),0.9782608695652174)</f>
        <v>0.9782608696</v>
      </c>
      <c r="L56" s="163">
        <f>IFERROR(__xludf.DUMMYFUNCTION("""COMPUTED_VALUE"""),0.4782608695652174)</f>
        <v>0.4782608696</v>
      </c>
      <c r="M56" s="162">
        <f>IFERROR(__xludf.DUMMYFUNCTION("""COMPUTED_VALUE"""),321.0)</f>
        <v>321</v>
      </c>
      <c r="N56" s="163">
        <f>IFERROR(__xludf.DUMMYFUNCTION("""COMPUTED_VALUE"""),0.9937694704049844)</f>
        <v>0.9937694704</v>
      </c>
      <c r="O56" s="163">
        <f>IFERROR(__xludf.DUMMYFUNCTION("""COMPUTED_VALUE"""),0.838006230529595)</f>
        <v>0.8380062305</v>
      </c>
      <c r="P56" s="164">
        <f>IFERROR(__xludf.DUMMYFUNCTION("""COMPUTED_VALUE"""),15.403773584905661)</f>
        <v>15.40377358</v>
      </c>
      <c r="Q56" s="153"/>
      <c r="R56" s="153"/>
    </row>
    <row r="57">
      <c r="A57" s="155" t="str">
        <f>IFERROR(__xludf.DUMMYFUNCTION("""COMPUTED_VALUE"""),"55")</f>
        <v>55</v>
      </c>
      <c r="B57" s="165" t="str">
        <f>IFERROR(__xludf.DUMMYFUNCTION("""COMPUTED_VALUE"""),"Lê Trọng Khiêm")</f>
        <v>Lê Trọng Khiêm</v>
      </c>
      <c r="C57" s="165" t="str">
        <f>IFERROR(__xludf.DUMMYFUNCTION("""COMPUTED_VALUE"""),"BC 27 Nguyễn Tất Thành-Tuy Hòa-Phú Yên")</f>
        <v>BC 27 Nguyễn Tất Thành-Tuy Hòa-Phú Yên</v>
      </c>
      <c r="D57" s="157">
        <f>IFERROR(__xludf.DUMMYFUNCTION("""COMPUTED_VALUE"""),634.0)</f>
        <v>634</v>
      </c>
      <c r="E57" s="158">
        <f>IFERROR(__xludf.DUMMYFUNCTION("""COMPUTED_VALUE"""),1.0)</f>
        <v>1</v>
      </c>
      <c r="F57" s="158">
        <f>IFERROR(__xludf.DUMMYFUNCTION("""COMPUTED_VALUE"""),0.8943217665615142)</f>
        <v>0.8943217666</v>
      </c>
      <c r="G57" s="157">
        <f>IFERROR(__xludf.DUMMYFUNCTION("""COMPUTED_VALUE"""),58.0)</f>
        <v>58</v>
      </c>
      <c r="H57" s="158">
        <f>IFERROR(__xludf.DUMMYFUNCTION("""COMPUTED_VALUE"""),1.0)</f>
        <v>1</v>
      </c>
      <c r="I57" s="158">
        <f>IFERROR(__xludf.DUMMYFUNCTION("""COMPUTED_VALUE"""),0.9310344827586207)</f>
        <v>0.9310344828</v>
      </c>
      <c r="J57" s="157">
        <f>IFERROR(__xludf.DUMMYFUNCTION("""COMPUTED_VALUE"""),76.0)</f>
        <v>76</v>
      </c>
      <c r="K57" s="158">
        <f>IFERROR(__xludf.DUMMYFUNCTION("""COMPUTED_VALUE"""),0.9736842105263158)</f>
        <v>0.9736842105</v>
      </c>
      <c r="L57" s="158">
        <f>IFERROR(__xludf.DUMMYFUNCTION("""COMPUTED_VALUE"""),0.3815789473684211)</f>
        <v>0.3815789474</v>
      </c>
      <c r="M57" s="157">
        <f>IFERROR(__xludf.DUMMYFUNCTION("""COMPUTED_VALUE"""),768.0)</f>
        <v>768</v>
      </c>
      <c r="N57" s="158">
        <f>IFERROR(__xludf.DUMMYFUNCTION("""COMPUTED_VALUE"""),0.9973958333333334)</f>
        <v>0.9973958333</v>
      </c>
      <c r="O57" s="158">
        <f>IFERROR(__xludf.DUMMYFUNCTION("""COMPUTED_VALUE"""),0.8463541666666666)</f>
        <v>0.8463541667</v>
      </c>
      <c r="P57" s="159">
        <f>IFERROR(__xludf.DUMMYFUNCTION("""COMPUTED_VALUE"""),6.089763779527559)</f>
        <v>6.08976378</v>
      </c>
      <c r="Q57" s="153"/>
      <c r="R57" s="153"/>
      <c r="S57" s="50"/>
      <c r="T57" s="50"/>
      <c r="U57" s="50"/>
      <c r="V57" s="50"/>
      <c r="W57" s="50"/>
      <c r="X57" s="50"/>
      <c r="Y57" s="50"/>
      <c r="Z57" s="50"/>
      <c r="AA57" s="50"/>
      <c r="AB57" s="50"/>
    </row>
    <row r="58">
      <c r="A58" s="155" t="str">
        <f>IFERROR(__xludf.DUMMYFUNCTION("""COMPUTED_VALUE"""),"56")</f>
        <v>56</v>
      </c>
      <c r="B58" s="165" t="str">
        <f>IFERROR(__xludf.DUMMYFUNCTION("""COMPUTED_VALUE"""),"Lê Trọng Khiêm")</f>
        <v>Lê Trọng Khiêm</v>
      </c>
      <c r="C58" s="165" t="str">
        <f>IFERROR(__xludf.DUMMYFUNCTION("""COMPUTED_VALUE"""),"BC DT644-Sông Cầu-Phú Yên")</f>
        <v>BC DT644-Sông Cầu-Phú Yên</v>
      </c>
      <c r="D58" s="157">
        <f>IFERROR(__xludf.DUMMYFUNCTION("""COMPUTED_VALUE"""),1057.0)</f>
        <v>1057</v>
      </c>
      <c r="E58" s="158">
        <f>IFERROR(__xludf.DUMMYFUNCTION("""COMPUTED_VALUE"""),0.9981078524124882)</f>
        <v>0.9981078524</v>
      </c>
      <c r="F58" s="158">
        <f>IFERROR(__xludf.DUMMYFUNCTION("""COMPUTED_VALUE"""),0.8987701040681173)</f>
        <v>0.8987701041</v>
      </c>
      <c r="G58" s="157">
        <f>IFERROR(__xludf.DUMMYFUNCTION("""COMPUTED_VALUE"""),2.0)</f>
        <v>2</v>
      </c>
      <c r="H58" s="158">
        <f>IFERROR(__xludf.DUMMYFUNCTION("""COMPUTED_VALUE"""),0.0)</f>
        <v>0</v>
      </c>
      <c r="I58" s="158">
        <f>IFERROR(__xludf.DUMMYFUNCTION("""COMPUTED_VALUE"""),0.0)</f>
        <v>0</v>
      </c>
      <c r="J58" s="157">
        <f>IFERROR(__xludf.DUMMYFUNCTION("""COMPUTED_VALUE"""),105.0)</f>
        <v>105</v>
      </c>
      <c r="K58" s="158">
        <f>IFERROR(__xludf.DUMMYFUNCTION("""COMPUTED_VALUE"""),0.9904761904761905)</f>
        <v>0.9904761905</v>
      </c>
      <c r="L58" s="158">
        <f>IFERROR(__xludf.DUMMYFUNCTION("""COMPUTED_VALUE"""),0.3523809523809524)</f>
        <v>0.3523809524</v>
      </c>
      <c r="M58" s="157">
        <f>IFERROR(__xludf.DUMMYFUNCTION("""COMPUTED_VALUE"""),1164.0)</f>
        <v>1164</v>
      </c>
      <c r="N58" s="158">
        <f>IFERROR(__xludf.DUMMYFUNCTION("""COMPUTED_VALUE"""),0.9957044673539519)</f>
        <v>0.9957044674</v>
      </c>
      <c r="O58" s="158">
        <f>IFERROR(__xludf.DUMMYFUNCTION("""COMPUTED_VALUE"""),0.8479381443298969)</f>
        <v>0.8479381443</v>
      </c>
      <c r="P58" s="159">
        <f>IFERROR(__xludf.DUMMYFUNCTION("""COMPUTED_VALUE"""),10.34186284544524)</f>
        <v>10.34186285</v>
      </c>
      <c r="Q58" s="153"/>
      <c r="R58" s="153"/>
      <c r="S58" s="50"/>
      <c r="T58" s="50"/>
      <c r="U58" s="50"/>
      <c r="V58" s="50"/>
      <c r="W58" s="50"/>
      <c r="X58" s="50"/>
      <c r="Y58" s="50"/>
      <c r="Z58" s="50"/>
      <c r="AA58" s="50"/>
      <c r="AB58" s="50"/>
    </row>
    <row r="59">
      <c r="A59" s="166" t="str">
        <f>IFERROR(__xludf.DUMMYFUNCTION("""COMPUTED_VALUE"""),"57")</f>
        <v>57</v>
      </c>
      <c r="B59" s="167" t="str">
        <f>IFERROR(__xludf.DUMMYFUNCTION("""COMPUTED_VALUE"""),"Trần Nhật Thương")</f>
        <v>Trần Nhật Thương</v>
      </c>
      <c r="C59" s="167" t="str">
        <f>IFERROR(__xludf.DUMMYFUNCTION("""COMPUTED_VALUE"""),"BC Số 35 Phạm Văn Đồng-Tăng Bạt Hổ-Hoài Ân-Bình Định")</f>
        <v>BC Số 35 Phạm Văn Đồng-Tăng Bạt Hổ-Hoài Ân-Bình Định</v>
      </c>
      <c r="D59" s="168">
        <f>IFERROR(__xludf.DUMMYFUNCTION("""COMPUTED_VALUE"""),294.0)</f>
        <v>294</v>
      </c>
      <c r="E59" s="169">
        <f>IFERROR(__xludf.DUMMYFUNCTION("""COMPUTED_VALUE"""),0.9965986394557823)</f>
        <v>0.9965986395</v>
      </c>
      <c r="F59" s="169">
        <f>IFERROR(__xludf.DUMMYFUNCTION("""COMPUTED_VALUE"""),0.9149659863945578)</f>
        <v>0.9149659864</v>
      </c>
      <c r="G59" s="168"/>
      <c r="H59" s="166"/>
      <c r="I59" s="166"/>
      <c r="J59" s="168">
        <f>IFERROR(__xludf.DUMMYFUNCTION("""COMPUTED_VALUE"""),40.0)</f>
        <v>40</v>
      </c>
      <c r="K59" s="169">
        <f>IFERROR(__xludf.DUMMYFUNCTION("""COMPUTED_VALUE"""),0.975)</f>
        <v>0.975</v>
      </c>
      <c r="L59" s="169">
        <f>IFERROR(__xludf.DUMMYFUNCTION("""COMPUTED_VALUE"""),0.4)</f>
        <v>0.4</v>
      </c>
      <c r="M59" s="168">
        <f>IFERROR(__xludf.DUMMYFUNCTION("""COMPUTED_VALUE"""),334.0)</f>
        <v>334</v>
      </c>
      <c r="N59" s="169">
        <f>IFERROR(__xludf.DUMMYFUNCTION("""COMPUTED_VALUE"""),0.9940119760479041)</f>
        <v>0.994011976</v>
      </c>
      <c r="O59" s="169">
        <f>IFERROR(__xludf.DUMMYFUNCTION("""COMPUTED_VALUE"""),0.8532934131736527)</f>
        <v>0.8532934132</v>
      </c>
      <c r="P59" s="170">
        <f>IFERROR(__xludf.DUMMYFUNCTION("""COMPUTED_VALUE"""),12.768953068592058)</f>
        <v>12.76895307</v>
      </c>
      <c r="Q59" s="153"/>
      <c r="R59" s="153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</row>
    <row r="60">
      <c r="A60" s="166" t="str">
        <f>IFERROR(__xludf.DUMMYFUNCTION("""COMPUTED_VALUE"""),"58")</f>
        <v>58</v>
      </c>
      <c r="B60" s="156" t="str">
        <f>IFERROR(__xludf.DUMMYFUNCTION("""COMPUTED_VALUE"""),"Trần Nhật Thương")</f>
        <v>Trần Nhật Thương</v>
      </c>
      <c r="C60" s="156" t="str">
        <f>IFERROR(__xludf.DUMMYFUNCTION("""COMPUTED_VALUE"""),"BC Hoài Nhơn-Bình Định")</f>
        <v>BC Hoài Nhơn-Bình Định</v>
      </c>
      <c r="D60" s="157">
        <f>IFERROR(__xludf.DUMMYFUNCTION("""COMPUTED_VALUE"""),668.0)</f>
        <v>668</v>
      </c>
      <c r="E60" s="158">
        <f>IFERROR(__xludf.DUMMYFUNCTION("""COMPUTED_VALUE"""),0.9970059880239521)</f>
        <v>0.997005988</v>
      </c>
      <c r="F60" s="158">
        <f>IFERROR(__xludf.DUMMYFUNCTION("""COMPUTED_VALUE"""),0.9011976047904192)</f>
        <v>0.9011976048</v>
      </c>
      <c r="G60" s="157">
        <f>IFERROR(__xludf.DUMMYFUNCTION("""COMPUTED_VALUE"""),54.0)</f>
        <v>54</v>
      </c>
      <c r="H60" s="158">
        <f>IFERROR(__xludf.DUMMYFUNCTION("""COMPUTED_VALUE"""),1.0)</f>
        <v>1</v>
      </c>
      <c r="I60" s="158">
        <f>IFERROR(__xludf.DUMMYFUNCTION("""COMPUTED_VALUE"""),0.8148148148148148)</f>
        <v>0.8148148148</v>
      </c>
      <c r="J60" s="157">
        <f>IFERROR(__xludf.DUMMYFUNCTION("""COMPUTED_VALUE"""),76.0)</f>
        <v>76</v>
      </c>
      <c r="K60" s="158">
        <f>IFERROR(__xludf.DUMMYFUNCTION("""COMPUTED_VALUE"""),0.9868421052631579)</f>
        <v>0.9868421053</v>
      </c>
      <c r="L60" s="158">
        <f>IFERROR(__xludf.DUMMYFUNCTION("""COMPUTED_VALUE"""),0.4605263157894737)</f>
        <v>0.4605263158</v>
      </c>
      <c r="M60" s="157">
        <f>IFERROR(__xludf.DUMMYFUNCTION("""COMPUTED_VALUE"""),798.0)</f>
        <v>798</v>
      </c>
      <c r="N60" s="158">
        <f>IFERROR(__xludf.DUMMYFUNCTION("""COMPUTED_VALUE"""),0.9962406015037594)</f>
        <v>0.9962406015</v>
      </c>
      <c r="O60" s="158">
        <f>IFERROR(__xludf.DUMMYFUNCTION("""COMPUTED_VALUE"""),0.8533834586466166)</f>
        <v>0.8533834586</v>
      </c>
      <c r="P60" s="159">
        <f>IFERROR(__xludf.DUMMYFUNCTION("""COMPUTED_VALUE"""),8.212481426448736)</f>
        <v>8.212481426</v>
      </c>
      <c r="Q60" s="153"/>
      <c r="R60" s="153"/>
      <c r="S60" s="50"/>
      <c r="T60" s="50"/>
      <c r="U60" s="50"/>
      <c r="V60" s="50"/>
      <c r="W60" s="50"/>
      <c r="X60" s="50"/>
      <c r="Y60" s="50"/>
      <c r="Z60" s="50"/>
      <c r="AA60" s="50"/>
      <c r="AB60" s="50"/>
    </row>
    <row r="61">
      <c r="A61" s="166" t="str">
        <f>IFERROR(__xludf.DUMMYFUNCTION("""COMPUTED_VALUE"""),"59")</f>
        <v>59</v>
      </c>
      <c r="B61" s="156" t="str">
        <f>IFERROR(__xludf.DUMMYFUNCTION("""COMPUTED_VALUE"""),"Phan Thanh Thức")</f>
        <v>Phan Thanh Thức</v>
      </c>
      <c r="C61" s="156" t="str">
        <f>IFERROR(__xludf.DUMMYFUNCTION("""COMPUTED_VALUE"""),"BC 396 Âu Cơ-Bùi Thị Xuân-Quy Nhơn-Bình Định")</f>
        <v>BC 396 Âu Cơ-Bùi Thị Xuân-Quy Nhơn-Bình Định</v>
      </c>
      <c r="D61" s="157">
        <f>IFERROR(__xludf.DUMMYFUNCTION("""COMPUTED_VALUE"""),509.0)</f>
        <v>509</v>
      </c>
      <c r="E61" s="158">
        <f>IFERROR(__xludf.DUMMYFUNCTION("""COMPUTED_VALUE"""),1.0)</f>
        <v>1</v>
      </c>
      <c r="F61" s="158">
        <f>IFERROR(__xludf.DUMMYFUNCTION("""COMPUTED_VALUE"""),0.9076620825147348)</f>
        <v>0.9076620825</v>
      </c>
      <c r="G61" s="157">
        <f>IFERROR(__xludf.DUMMYFUNCTION("""COMPUTED_VALUE"""),62.0)</f>
        <v>62</v>
      </c>
      <c r="H61" s="158">
        <f>IFERROR(__xludf.DUMMYFUNCTION("""COMPUTED_VALUE"""),0.967741935483871)</f>
        <v>0.9677419355</v>
      </c>
      <c r="I61" s="158">
        <f>IFERROR(__xludf.DUMMYFUNCTION("""COMPUTED_VALUE"""),0.8387096774193549)</f>
        <v>0.8387096774</v>
      </c>
      <c r="J61" s="157">
        <f>IFERROR(__xludf.DUMMYFUNCTION("""COMPUTED_VALUE"""),50.0)</f>
        <v>50</v>
      </c>
      <c r="K61" s="158">
        <f>IFERROR(__xludf.DUMMYFUNCTION("""COMPUTED_VALUE"""),1.0)</f>
        <v>1</v>
      </c>
      <c r="L61" s="158">
        <f>IFERROR(__xludf.DUMMYFUNCTION("""COMPUTED_VALUE"""),0.32)</f>
        <v>0.32</v>
      </c>
      <c r="M61" s="157">
        <f>IFERROR(__xludf.DUMMYFUNCTION("""COMPUTED_VALUE"""),621.0)</f>
        <v>621</v>
      </c>
      <c r="N61" s="158">
        <f>IFERROR(__xludf.DUMMYFUNCTION("""COMPUTED_VALUE"""),0.9967793880837359)</f>
        <v>0.9967793881</v>
      </c>
      <c r="O61" s="158">
        <f>IFERROR(__xludf.DUMMYFUNCTION("""COMPUTED_VALUE"""),0.8534621578099839)</f>
        <v>0.8534621578</v>
      </c>
      <c r="P61" s="159">
        <f>IFERROR(__xludf.DUMMYFUNCTION("""COMPUTED_VALUE"""),8.709864603481625)</f>
        <v>8.709864603</v>
      </c>
      <c r="Q61" s="153"/>
      <c r="R61" s="153"/>
      <c r="S61" s="50"/>
      <c r="T61" s="50"/>
      <c r="U61" s="50"/>
      <c r="V61" s="50"/>
      <c r="W61" s="50"/>
      <c r="X61" s="50"/>
      <c r="Y61" s="50"/>
      <c r="Z61" s="50"/>
      <c r="AA61" s="50"/>
      <c r="AB61" s="50"/>
    </row>
    <row r="62">
      <c r="A62" s="166" t="str">
        <f>IFERROR(__xludf.DUMMYFUNCTION("""COMPUTED_VALUE"""),"60")</f>
        <v>60</v>
      </c>
      <c r="B62" s="156" t="str">
        <f>IFERROR(__xludf.DUMMYFUNCTION("""COMPUTED_VALUE"""),"Võ Thanh Diệu ")</f>
        <v>Võ Thanh Diệu </v>
      </c>
      <c r="C62" s="156" t="str">
        <f>IFERROR(__xludf.DUMMYFUNCTION("""COMPUTED_VALUE"""),"BC Thôn Chánh Hóa-Xã Cát Tiến-Bình Định")</f>
        <v>BC Thôn Chánh Hóa-Xã Cát Tiến-Bình Định</v>
      </c>
      <c r="D62" s="157">
        <f>IFERROR(__xludf.DUMMYFUNCTION("""COMPUTED_VALUE"""),443.0)</f>
        <v>443</v>
      </c>
      <c r="E62" s="158">
        <f>IFERROR(__xludf.DUMMYFUNCTION("""COMPUTED_VALUE"""),0.9954853273137697)</f>
        <v>0.9954853273</v>
      </c>
      <c r="F62" s="158">
        <f>IFERROR(__xludf.DUMMYFUNCTION("""COMPUTED_VALUE"""),0.9119638826185101)</f>
        <v>0.9119638826</v>
      </c>
      <c r="G62" s="157"/>
      <c r="H62" s="155"/>
      <c r="I62" s="155"/>
      <c r="J62" s="157">
        <f>IFERROR(__xludf.DUMMYFUNCTION("""COMPUTED_VALUE"""),48.0)</f>
        <v>48</v>
      </c>
      <c r="K62" s="158">
        <f>IFERROR(__xludf.DUMMYFUNCTION("""COMPUTED_VALUE"""),1.0)</f>
        <v>1</v>
      </c>
      <c r="L62" s="158">
        <f>IFERROR(__xludf.DUMMYFUNCTION("""COMPUTED_VALUE"""),0.3333333333333333)</f>
        <v>0.3333333333</v>
      </c>
      <c r="M62" s="157">
        <f>IFERROR(__xludf.DUMMYFUNCTION("""COMPUTED_VALUE"""),491.0)</f>
        <v>491</v>
      </c>
      <c r="N62" s="158">
        <f>IFERROR(__xludf.DUMMYFUNCTION("""COMPUTED_VALUE"""),0.9959266802443992)</f>
        <v>0.9959266802</v>
      </c>
      <c r="O62" s="158">
        <f>IFERROR(__xludf.DUMMYFUNCTION("""COMPUTED_VALUE"""),0.8553971486761711)</f>
        <v>0.8553971487</v>
      </c>
      <c r="P62" s="159">
        <f>IFERROR(__xludf.DUMMYFUNCTION("""COMPUTED_VALUE"""),8.759036144578314)</f>
        <v>8.759036145</v>
      </c>
      <c r="Q62" s="153"/>
      <c r="R62" s="153"/>
      <c r="S62" s="50"/>
      <c r="T62" s="50"/>
      <c r="U62" s="50"/>
      <c r="V62" s="50"/>
      <c r="W62" s="50"/>
      <c r="X62" s="50"/>
      <c r="Y62" s="50"/>
      <c r="Z62" s="50"/>
      <c r="AA62" s="50"/>
      <c r="AB62" s="50"/>
    </row>
    <row r="63">
      <c r="A63" s="166" t="str">
        <f>IFERROR(__xludf.DUMMYFUNCTION("""COMPUTED_VALUE"""),"61")</f>
        <v>61</v>
      </c>
      <c r="B63" s="156" t="str">
        <f>IFERROR(__xludf.DUMMYFUNCTION("""COMPUTED_VALUE"""),"Trần Nhật Thương")</f>
        <v>Trần Nhật Thương</v>
      </c>
      <c r="C63" s="156" t="str">
        <f>IFERROR(__xludf.DUMMYFUNCTION("""COMPUTED_VALUE"""),"Điểm xử lý hàng Thôn Xuân Phong Nam-An Lão-Bình Định")</f>
        <v>Điểm xử lý hàng Thôn Xuân Phong Nam-An Lão-Bình Định</v>
      </c>
      <c r="D63" s="157">
        <f>IFERROR(__xludf.DUMMYFUNCTION("""COMPUTED_VALUE"""),193.0)</f>
        <v>193</v>
      </c>
      <c r="E63" s="158">
        <f>IFERROR(__xludf.DUMMYFUNCTION("""COMPUTED_VALUE"""),1.0)</f>
        <v>1</v>
      </c>
      <c r="F63" s="158">
        <f>IFERROR(__xludf.DUMMYFUNCTION("""COMPUTED_VALUE"""),0.9015544041450777)</f>
        <v>0.9015544041</v>
      </c>
      <c r="G63" s="157"/>
      <c r="H63" s="155"/>
      <c r="I63" s="155"/>
      <c r="J63" s="157">
        <f>IFERROR(__xludf.DUMMYFUNCTION("""COMPUTED_VALUE"""),15.0)</f>
        <v>15</v>
      </c>
      <c r="K63" s="158">
        <f>IFERROR(__xludf.DUMMYFUNCTION("""COMPUTED_VALUE"""),1.0)</f>
        <v>1</v>
      </c>
      <c r="L63" s="158">
        <f>IFERROR(__xludf.DUMMYFUNCTION("""COMPUTED_VALUE"""),0.4)</f>
        <v>0.4</v>
      </c>
      <c r="M63" s="157">
        <f>IFERROR(__xludf.DUMMYFUNCTION("""COMPUTED_VALUE"""),208.0)</f>
        <v>208</v>
      </c>
      <c r="N63" s="158">
        <f>IFERROR(__xludf.DUMMYFUNCTION("""COMPUTED_VALUE"""),1.0)</f>
        <v>1</v>
      </c>
      <c r="O63" s="158">
        <f>IFERROR(__xludf.DUMMYFUNCTION("""COMPUTED_VALUE"""),0.8653846153846154)</f>
        <v>0.8653846154</v>
      </c>
      <c r="P63" s="159">
        <f>IFERROR(__xludf.DUMMYFUNCTION("""COMPUTED_VALUE"""),6.235955056179775)</f>
        <v>6.235955056</v>
      </c>
      <c r="Q63" s="153"/>
      <c r="R63" s="153"/>
      <c r="S63" s="50"/>
      <c r="T63" s="50"/>
      <c r="U63" s="50"/>
      <c r="V63" s="50"/>
      <c r="W63" s="50"/>
      <c r="X63" s="50"/>
      <c r="Y63" s="50"/>
      <c r="Z63" s="50"/>
      <c r="AA63" s="50"/>
      <c r="AB63" s="50"/>
    </row>
    <row r="64">
      <c r="A64" s="166" t="str">
        <f>IFERROR(__xludf.DUMMYFUNCTION("""COMPUTED_VALUE"""),"62")</f>
        <v>62</v>
      </c>
      <c r="B64" s="156" t="str">
        <f>IFERROR(__xludf.DUMMYFUNCTION("""COMPUTED_VALUE"""),"Lê Trọng Khiêm")</f>
        <v>Lê Trọng Khiêm</v>
      </c>
      <c r="C64" s="156" t="str">
        <f>IFERROR(__xludf.DUMMYFUNCTION("""COMPUTED_VALUE"""),"BC Đường Tỉnh 643-Xã Tuy An Nam-Phú Yên")</f>
        <v>BC Đường Tỉnh 643-Xã Tuy An Nam-Phú Yên</v>
      </c>
      <c r="D64" s="157">
        <f>IFERROR(__xludf.DUMMYFUNCTION("""COMPUTED_VALUE"""),235.0)</f>
        <v>235</v>
      </c>
      <c r="E64" s="158">
        <f>IFERROR(__xludf.DUMMYFUNCTION("""COMPUTED_VALUE"""),1.0)</f>
        <v>1</v>
      </c>
      <c r="F64" s="158">
        <f>IFERROR(__xludf.DUMMYFUNCTION("""COMPUTED_VALUE"""),0.9148936170212766)</f>
        <v>0.914893617</v>
      </c>
      <c r="G64" s="157">
        <f>IFERROR(__xludf.DUMMYFUNCTION("""COMPUTED_VALUE"""),1.0)</f>
        <v>1</v>
      </c>
      <c r="H64" s="158">
        <f>IFERROR(__xludf.DUMMYFUNCTION("""COMPUTED_VALUE"""),0.0)</f>
        <v>0</v>
      </c>
      <c r="I64" s="158">
        <f>IFERROR(__xludf.DUMMYFUNCTION("""COMPUTED_VALUE"""),0.0)</f>
        <v>0</v>
      </c>
      <c r="J64" s="157">
        <f>IFERROR(__xludf.DUMMYFUNCTION("""COMPUTED_VALUE"""),20.0)</f>
        <v>20</v>
      </c>
      <c r="K64" s="158">
        <f>IFERROR(__xludf.DUMMYFUNCTION("""COMPUTED_VALUE"""),0.95)</f>
        <v>0.95</v>
      </c>
      <c r="L64" s="158">
        <f>IFERROR(__xludf.DUMMYFUNCTION("""COMPUTED_VALUE"""),0.45)</f>
        <v>0.45</v>
      </c>
      <c r="M64" s="157">
        <f>IFERROR(__xludf.DUMMYFUNCTION("""COMPUTED_VALUE"""),256.0)</f>
        <v>256</v>
      </c>
      <c r="N64" s="158">
        <f>IFERROR(__xludf.DUMMYFUNCTION("""COMPUTED_VALUE"""),0.9921875)</f>
        <v>0.9921875</v>
      </c>
      <c r="O64" s="158">
        <f>IFERROR(__xludf.DUMMYFUNCTION("""COMPUTED_VALUE"""),0.875)</f>
        <v>0.875</v>
      </c>
      <c r="P64" s="159">
        <f>IFERROR(__xludf.DUMMYFUNCTION("""COMPUTED_VALUE"""),9.72972972972973)</f>
        <v>9.72972973</v>
      </c>
      <c r="Q64" s="172"/>
      <c r="R64" s="172"/>
      <c r="S64" s="50"/>
      <c r="T64" s="50"/>
      <c r="U64" s="50"/>
      <c r="V64" s="50"/>
      <c r="W64" s="50"/>
      <c r="X64" s="50"/>
      <c r="Y64" s="50"/>
      <c r="Z64" s="50"/>
      <c r="AA64" s="50"/>
      <c r="AB64" s="50"/>
    </row>
    <row r="65">
      <c r="A65" s="166" t="str">
        <f>IFERROR(__xludf.DUMMYFUNCTION("""COMPUTED_VALUE"""),"63")</f>
        <v>63</v>
      </c>
      <c r="B65" s="167" t="str">
        <f>IFERROR(__xludf.DUMMYFUNCTION("""COMPUTED_VALUE"""),"Phan Thanh Thức")</f>
        <v>Phan Thanh Thức</v>
      </c>
      <c r="C65" s="167" t="str">
        <f>IFERROR(__xludf.DUMMYFUNCTION("""COMPUTED_VALUE"""),"BC 767 Hùng Vương-Quy Nhơn-Bình Định")</f>
        <v>BC 767 Hùng Vương-Quy Nhơn-Bình Định</v>
      </c>
      <c r="D65" s="173">
        <f>IFERROR(__xludf.DUMMYFUNCTION("""COMPUTED_VALUE"""),682.0)</f>
        <v>682</v>
      </c>
      <c r="E65" s="174">
        <f>IFERROR(__xludf.DUMMYFUNCTION("""COMPUTED_VALUE"""),0.9970674486803519)</f>
        <v>0.9970674487</v>
      </c>
      <c r="F65" s="174">
        <f>IFERROR(__xludf.DUMMYFUNCTION("""COMPUTED_VALUE"""),0.9134897360703812)</f>
        <v>0.9134897361</v>
      </c>
      <c r="G65" s="173">
        <f>IFERROR(__xludf.DUMMYFUNCTION("""COMPUTED_VALUE"""),63.0)</f>
        <v>63</v>
      </c>
      <c r="H65" s="174">
        <f>IFERROR(__xludf.DUMMYFUNCTION("""COMPUTED_VALUE"""),0.9523809523809523)</f>
        <v>0.9523809524</v>
      </c>
      <c r="I65" s="174">
        <f>IFERROR(__xludf.DUMMYFUNCTION("""COMPUTED_VALUE"""),0.8888888888888888)</f>
        <v>0.8888888889</v>
      </c>
      <c r="J65" s="173">
        <f>IFERROR(__xludf.DUMMYFUNCTION("""COMPUTED_VALUE"""),63.0)</f>
        <v>63</v>
      </c>
      <c r="K65" s="174">
        <f>IFERROR(__xludf.DUMMYFUNCTION("""COMPUTED_VALUE"""),0.9523809523809523)</f>
        <v>0.9523809524</v>
      </c>
      <c r="L65" s="174">
        <f>IFERROR(__xludf.DUMMYFUNCTION("""COMPUTED_VALUE"""),0.47619047619047616)</f>
        <v>0.4761904762</v>
      </c>
      <c r="M65" s="173">
        <f>IFERROR(__xludf.DUMMYFUNCTION("""COMPUTED_VALUE"""),808.0)</f>
        <v>808</v>
      </c>
      <c r="N65" s="174">
        <f>IFERROR(__xludf.DUMMYFUNCTION("""COMPUTED_VALUE"""),0.9900990099009901)</f>
        <v>0.9900990099</v>
      </c>
      <c r="O65" s="174">
        <f>IFERROR(__xludf.DUMMYFUNCTION("""COMPUTED_VALUE"""),0.8774752475247525)</f>
        <v>0.8774752475</v>
      </c>
      <c r="P65" s="175">
        <f>IFERROR(__xludf.DUMMYFUNCTION("""COMPUTED_VALUE"""),9.826783114992722)</f>
        <v>9.826783115</v>
      </c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</row>
    <row r="66">
      <c r="A66" s="36" t="str">
        <f>IFERROR(__xludf.DUMMYFUNCTION("""COMPUTED_VALUE"""),"64")</f>
        <v>64</v>
      </c>
      <c r="B66" s="48" t="str">
        <f>IFERROR(__xludf.DUMMYFUNCTION("""COMPUTED_VALUE"""),"Võ Thanh Diệu ")</f>
        <v>Võ Thanh Diệu </v>
      </c>
      <c r="C66" s="48" t="str">
        <f>IFERROR(__xludf.DUMMYFUNCTION("""COMPUTED_VALUE"""),"BC 269 Tây Sơn-Quy Nhơn-Bình Định")</f>
        <v>BC 269 Tây Sơn-Quy Nhơn-Bình Định</v>
      </c>
      <c r="D66" s="36">
        <f>IFERROR(__xludf.DUMMYFUNCTION("""COMPUTED_VALUE"""),1393.0)</f>
        <v>1393</v>
      </c>
      <c r="E66" s="34">
        <f>IFERROR(__xludf.DUMMYFUNCTION("""COMPUTED_VALUE"""),1.0)</f>
        <v>1</v>
      </c>
      <c r="F66" s="34">
        <f>IFERROR(__xludf.DUMMYFUNCTION("""COMPUTED_VALUE"""),0.9267767408470926)</f>
        <v>0.9267767408</v>
      </c>
      <c r="G66" s="36">
        <f>IFERROR(__xludf.DUMMYFUNCTION("""COMPUTED_VALUE"""),136.0)</f>
        <v>136</v>
      </c>
      <c r="H66" s="34">
        <f>IFERROR(__xludf.DUMMYFUNCTION("""COMPUTED_VALUE"""),0.9485294117647058)</f>
        <v>0.9485294118</v>
      </c>
      <c r="I66" s="34">
        <f>IFERROR(__xludf.DUMMYFUNCTION("""COMPUTED_VALUE"""),0.9044117647058824)</f>
        <v>0.9044117647</v>
      </c>
      <c r="J66" s="36">
        <f>IFERROR(__xludf.DUMMYFUNCTION("""COMPUTED_VALUE"""),114.0)</f>
        <v>114</v>
      </c>
      <c r="K66" s="34">
        <f>IFERROR(__xludf.DUMMYFUNCTION("""COMPUTED_VALUE"""),1.0)</f>
        <v>1</v>
      </c>
      <c r="L66" s="34">
        <f>IFERROR(__xludf.DUMMYFUNCTION("""COMPUTED_VALUE"""),0.39473684210526316)</f>
        <v>0.3947368421</v>
      </c>
      <c r="M66" s="36">
        <f>IFERROR(__xludf.DUMMYFUNCTION("""COMPUTED_VALUE"""),1643.0)</f>
        <v>1643</v>
      </c>
      <c r="N66" s="34">
        <f>IFERROR(__xludf.DUMMYFUNCTION("""COMPUTED_VALUE"""),0.995739500912964)</f>
        <v>0.9957395009</v>
      </c>
      <c r="O66" s="34">
        <f>IFERROR(__xludf.DUMMYFUNCTION("""COMPUTED_VALUE"""),0.8880097382836275)</f>
        <v>0.8880097383</v>
      </c>
      <c r="P66" s="176">
        <f>IFERROR(__xludf.DUMMYFUNCTION("""COMPUTED_VALUE"""),7.721721027064539)</f>
        <v>7.721721027</v>
      </c>
    </row>
    <row r="67">
      <c r="A67" s="130" t="str">
        <f>IFERROR(__xludf.DUMMYFUNCTION("""COMPUTED_VALUE"""),"65")</f>
        <v>65</v>
      </c>
      <c r="B67" s="48" t="str">
        <f>IFERROR(__xludf.DUMMYFUNCTION("""COMPUTED_VALUE"""),"Lê Trọng Khiêm")</f>
        <v>Lê Trọng Khiêm</v>
      </c>
      <c r="C67" s="48" t="str">
        <f>IFERROR(__xludf.DUMMYFUNCTION("""COMPUTED_VALUE"""),"BC 71 Quốc Lộ 1A-Xã Tuy An Bắc-Phú Yên")</f>
        <v>BC 71 Quốc Lộ 1A-Xã Tuy An Bắc-Phú Yên</v>
      </c>
      <c r="D67" s="130">
        <f>IFERROR(__xludf.DUMMYFUNCTION("""COMPUTED_VALUE"""),299.0)</f>
        <v>299</v>
      </c>
      <c r="E67" s="131">
        <f>IFERROR(__xludf.DUMMYFUNCTION("""COMPUTED_VALUE"""),0.9933110367892977)</f>
        <v>0.9933110368</v>
      </c>
      <c r="F67" s="131">
        <f>IFERROR(__xludf.DUMMYFUNCTION("""COMPUTED_VALUE"""),0.939799331103679)</f>
        <v>0.9397993311</v>
      </c>
      <c r="G67" s="130"/>
      <c r="H67" s="130"/>
      <c r="I67" s="130"/>
      <c r="J67" s="130">
        <f>IFERROR(__xludf.DUMMYFUNCTION("""COMPUTED_VALUE"""),28.0)</f>
        <v>28</v>
      </c>
      <c r="K67" s="131">
        <f>IFERROR(__xludf.DUMMYFUNCTION("""COMPUTED_VALUE"""),1.0)</f>
        <v>1</v>
      </c>
      <c r="L67" s="131">
        <f>IFERROR(__xludf.DUMMYFUNCTION("""COMPUTED_VALUE"""),0.35714285714285715)</f>
        <v>0.3571428571</v>
      </c>
      <c r="M67" s="130">
        <f>IFERROR(__xludf.DUMMYFUNCTION("""COMPUTED_VALUE"""),327.0)</f>
        <v>327</v>
      </c>
      <c r="N67" s="131">
        <f>IFERROR(__xludf.DUMMYFUNCTION("""COMPUTED_VALUE"""),0.9938837920489296)</f>
        <v>0.993883792</v>
      </c>
      <c r="O67" s="131">
        <f>IFERROR(__xludf.DUMMYFUNCTION("""COMPUTED_VALUE"""),0.8899082568807339)</f>
        <v>0.8899082569</v>
      </c>
      <c r="P67" s="177">
        <f>IFERROR(__xludf.DUMMYFUNCTION("""COMPUTED_VALUE"""),13.255244755244755)</f>
        <v>13.25524476</v>
      </c>
    </row>
    <row r="68">
      <c r="A68" s="178"/>
      <c r="B68" s="179"/>
      <c r="C68" s="178" t="str">
        <f>IFERROR(__xludf.DUMMYFUNCTION("""COMPUTED_VALUE"""),"Grand Total")</f>
        <v>Grand Total</v>
      </c>
      <c r="D68" s="88">
        <f>IFERROR(__xludf.DUMMYFUNCTION("""COMPUTED_VALUE"""),39865.0)</f>
        <v>39865</v>
      </c>
      <c r="E68" s="90">
        <f>IFERROR(__xludf.DUMMYFUNCTION("""COMPUTED_VALUE"""),0.9852000501693214)</f>
        <v>0.9852000502</v>
      </c>
      <c r="F68" s="90">
        <f>IFERROR(__xludf.DUMMYFUNCTION("""COMPUTED_VALUE"""),0.8303775241439859)</f>
        <v>0.8303775241</v>
      </c>
      <c r="G68" s="88">
        <f>IFERROR(__xludf.DUMMYFUNCTION("""COMPUTED_VALUE"""),4923.0)</f>
        <v>4923</v>
      </c>
      <c r="H68" s="90">
        <f>IFERROR(__xludf.DUMMYFUNCTION("""COMPUTED_VALUE"""),0.7079016859638432)</f>
        <v>0.707901686</v>
      </c>
      <c r="I68" s="90">
        <f>IFERROR(__xludf.DUMMYFUNCTION("""COMPUTED_VALUE"""),0.5679463741620963)</f>
        <v>0.5679463742</v>
      </c>
      <c r="J68" s="88">
        <f>IFERROR(__xludf.DUMMYFUNCTION("""COMPUTED_VALUE"""),10698.0)</f>
        <v>10698</v>
      </c>
      <c r="K68" s="90">
        <f>IFERROR(__xludf.DUMMYFUNCTION("""COMPUTED_VALUE"""),0.9420452421013273)</f>
        <v>0.9420452421</v>
      </c>
      <c r="L68" s="90">
        <f>IFERROR(__xludf.DUMMYFUNCTION("""COMPUTED_VALUE"""),0.4438212750046738)</f>
        <v>0.443821275</v>
      </c>
      <c r="M68" s="88">
        <f>IFERROR(__xludf.DUMMYFUNCTION("""COMPUTED_VALUE"""),55486.0)</f>
        <v>55486</v>
      </c>
      <c r="N68" s="90">
        <f>IFERROR(__xludf.DUMMYFUNCTION("""COMPUTED_VALUE"""),0.9522762498648307)</f>
        <v>0.9522762499</v>
      </c>
      <c r="O68" s="90">
        <f>IFERROR(__xludf.DUMMYFUNCTION("""COMPUTED_VALUE"""),0.7325631690876978)</f>
        <v>0.7325631691</v>
      </c>
      <c r="P68" s="180">
        <f>IFERROR(__xludf.DUMMYFUNCTION("""COMPUTED_VALUE"""),13.028141230523373)</f>
        <v>13.02814123</v>
      </c>
      <c r="Q68" s="181"/>
      <c r="R68" s="181"/>
      <c r="S68" s="181"/>
      <c r="T68" s="181"/>
      <c r="U68" s="181"/>
      <c r="V68" s="181"/>
      <c r="W68" s="181"/>
      <c r="X68" s="181"/>
      <c r="Y68" s="181"/>
      <c r="Z68" s="181"/>
      <c r="AA68" s="181"/>
      <c r="AB68" s="181"/>
    </row>
    <row r="69">
      <c r="A69" s="130"/>
      <c r="D69" s="49"/>
      <c r="G69" s="49"/>
      <c r="J69" s="49"/>
    </row>
    <row r="70">
      <c r="A70" s="130"/>
      <c r="G70" s="49"/>
      <c r="J70" s="49"/>
    </row>
    <row r="71">
      <c r="A71" s="130"/>
      <c r="G71" s="49"/>
      <c r="J71" s="49"/>
    </row>
    <row r="72">
      <c r="A72" s="130"/>
      <c r="G72" s="49"/>
      <c r="J72" s="49"/>
    </row>
    <row r="73">
      <c r="A73" s="130"/>
      <c r="G73" s="49"/>
      <c r="J73" s="49"/>
    </row>
    <row r="74">
      <c r="A74" s="130"/>
      <c r="G74" s="49"/>
      <c r="J74" s="49"/>
    </row>
    <row r="75">
      <c r="A75" s="130"/>
      <c r="G75" s="49"/>
      <c r="J75" s="49"/>
    </row>
    <row r="76">
      <c r="A76" s="130"/>
      <c r="G76" s="49"/>
      <c r="J76" s="49"/>
    </row>
    <row r="77">
      <c r="A77" s="130"/>
      <c r="G77" s="49"/>
    </row>
    <row r="78">
      <c r="A78" s="130"/>
      <c r="G78" s="49"/>
    </row>
    <row r="79">
      <c r="A79" s="130"/>
      <c r="G79" s="49"/>
    </row>
    <row r="80">
      <c r="A80" s="130"/>
      <c r="G80" s="49"/>
    </row>
    <row r="81">
      <c r="A81" s="130"/>
      <c r="G81" s="49"/>
    </row>
    <row r="82">
      <c r="A82" s="130"/>
      <c r="G82" s="49"/>
    </row>
  </sheetData>
  <customSheetViews>
    <customSheetView guid="{4E3CF775-31EE-4796-86C5-8F7171594F01}" filter="1" showAutoFilter="1">
      <autoFilter ref="$A$1:$P$65">
        <filterColumn colId="1">
          <filters>
            <filter val="Nguyễn  Ngọc Hà"/>
            <filter val="AM"/>
            <filter val="Mai Đức Hoàng Long"/>
            <filter val="Nguyễn Thị Bảo Nhi"/>
            <filter val="Phan Thị Mỹ Chi"/>
          </filters>
        </filterColumn>
        <filterColumn colId="2">
          <filters>
            <filter val="BC Vận Hành Thôn Định Trị-Xã Vĩnh Thạnh-Bình Định"/>
            <filter val="BC 09 Quốc Lộ 14-Hoà Phú-Đắk Lắk"/>
            <filter val="Bưu Cục"/>
            <filter val="BC 01 An Bình-Ea KNốp-Ea Kar-Đắk Lắk"/>
            <filter val="BC Hoài Nhơn-Bình Định"/>
            <filter val="BC Ngã Ba Đắk Liêng-Huyện Lắk-Đắk Lắk"/>
            <filter val="BC 297 Hùng Vương-CưMgar-Đắk Lắk"/>
            <filter val="BC 245 Hùng Vương-Ea Súp-Đắk Lắk"/>
            <filter val="BC Số 35 Phạm Văn Đồng-Tăng Bạt Hổ-Hoài Ân-Bình Định"/>
            <filter val="BC 565 Trần Phú-Tuy Phước-Bình Định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KP3 TT Hai Riềng-Sông Hinh-Phú Yên"/>
            <filter val="BC 263 Đống Đa-Quy Nhơn-Bình Định"/>
            <filter val="Điểm xử lý hàng Thôn Xuân Phong Nam-An Lão-Bình Định"/>
            <filter val="BC Đường Tỉnh 643-Xã Tuy An Nam-Phú Yên"/>
            <filter val="BC 204 Trần Hưng Đạo-Buôn Hồ-Đắk Lắk"/>
            <filter val="BC Thôn Tân Lập Quốc Lộ 26-Xã Cư M'ta-M'Đrắk-Đăk Lắk"/>
            <filter val="BC KM92 QL14-Xã Ea Drăng-Đắk Lắk"/>
            <filter val="BC DT644-Sông Cầu-Phú Yên"/>
            <filter val="BC Phạm Văn Đồng-Pơng Đrang-Krông Búk-Đắk Lắk"/>
            <filter val="BC 838 Quang Trung-Phường Hoài Nhơn Tây-Bình Định"/>
            <filter val="BC 39 Nguyễn Huệ-Ayun Pa-Gia Lai"/>
            <filter val="BC Km 30 Tân Hòa-Buôn Đôn-Đắk Lắk"/>
            <filter val="BC 767 Hùng Vương-Quy Nhơn-Bình Định"/>
            <filter val="BC 271 Nguyễn Văn Cừ-Tân Lập-Đắk Lắk"/>
            <filter val="BC 327A Cách Mạng Tháng 8-Pleiku-Gia Lai"/>
            <filter val="BC 153 Hùng Vương-Ia Grai-Gia Lai"/>
            <filter val="BC KP4 Hòa Vinh- Đông Hòa- Phú Yên"/>
            <filter val="BC 132 Hoàng Hoa Thám-Buôn Ma Thuột-Đắk Lắk"/>
            <filter val="BC 499 Phạm Văn Đồng-Pleiku-Gia Lai"/>
            <filter val="BC 138 Hùng Vương-Phú Thiện-Gia Lai"/>
            <filter val="BC 172 Hùng Vương-Chư Prông-Gia Lai"/>
            <filter val="BC 274 Hùng Vương-Chư Pưh-Gia Lai"/>
            <filter val="BC Khu Vực Kim Châu-An Nhơn-Bình Định"/>
            <filter val="BC 941 Giải Phóng-Ea Đrăng-Ea H'Leo-Đắk Lắk"/>
            <filter val="BC 73 Lê Lợi-Chư Pah-Gia Lai"/>
            <filter val="BC Km18-Cư Kuin-Đắk Lắk"/>
            <filter val="BC 03 Trần Hưng Đạo-Krông Pắc-Đắk Lắk"/>
            <filter val="BC Đường 3 Tháng 2-Xã Phù Cát-Bình Định"/>
            <filter val="BC 64 Hùng Vương-Thị Trấn Krông Năng-Đắk Lắk"/>
            <filter val="BC 127B Lê Văn Tám-Thị Trấn Kbang-Huyện Kbang-Gia Lai"/>
            <filter val="BC 138 Trần Phú- Đồng Xuân- Phú Yên"/>
            <filter val="BC 569 Trường Chinh-Pleiku-Gia Lai"/>
            <filter val="BC 44 Quang Trung-Tây Sơn-Bình Định"/>
            <filter val="BC 27 Nguyễn Tất Thành-Tuy Hòa-Phú Yên"/>
            <filter val="BC Thị Trấn Phú Thứ-Tây Hoà-Phú Yên"/>
            <filter val="BC 34 Quang Trung-Eakar-Đắk Lắk"/>
            <filter val="BC 172 Quang Trung-Đức Cơ-Gia Lai"/>
            <filter val="BC 99 Nguyễn Khuyến-Buôn Ma Thuột-Đắk Lắk"/>
            <filter val="BC Ea Phê-Krông Pắk-Đắk Lắk"/>
            <filter val="BC 56 Đường 17 Tháng 3-Chư Sê-Gia Lai"/>
            <filter val="BC 61 Quang Trung-Xã Vân Canh-Bình Định"/>
            <filter val="BC 396 Âu Cơ-Bùi Thị Xuân-Quy Nhơn-Bình Định"/>
            <filter val="BC 236A Nguyễn Huệ-Đak Đoa-Gia Lai"/>
            <filter val="BC Thôn Đông Phước-Phú Hòa-Phú Yên"/>
            <filter val="BC 15 Hoàng Văn Thụ-An Khê-Gia Lai"/>
            <filter val="BC 21 Tây Sơn-Xã Phù Mỹ-Bình Định"/>
            <filter val="BC 274 Hùng Vương-Tuy Hòa-Phú Yên"/>
            <filter val="BC Thôn Chánh Hóa-Xã Cát Tiến-Bình Định"/>
            <filter val="BC 414 Trần Hưng Đạo-Mang Yang-Gia Lai"/>
          </filters>
        </filterColumn>
      </autoFilter>
    </customSheetView>
    <customSheetView guid="{853F9650-C8E8-4F8C-A9B8-29ADB453C663}" filter="1" showAutoFilter="1">
      <autoFilter ref="$A$1:$AB$82">
        <filterColumn colId="1">
          <filters blank="1">
            <filter val="Nguyễn Đình Trung"/>
            <filter val="AM"/>
            <filter val="Mai Đức Hoàng Long"/>
            <filter val="Phan Thị Mỹ Chi"/>
          </filters>
        </filterColumn>
      </autoFilter>
    </customSheetView>
    <customSheetView guid="{D4BF262F-3C2A-4732-A6C9-36F6B9BEA41D}" filter="1" showAutoFilter="1">
      <autoFilter ref="$A$1:$P$65">
        <filterColumn colId="2">
          <filters>
            <filter val="BC 09 Quốc Lộ 14-Hoà Phú-Đắk Lắk"/>
            <filter val="BC 01 An Bình-Ea KNốp-Ea Kar-Đắk Lắk"/>
            <filter val="BC Ngã Ba Đắk Liêng-Huyện Lắk-Đắk Lắk"/>
            <filter val="BC 297 Hùng Vương-CưMgar-Đắk Lắk"/>
            <filter val="BC 245 Hùng Vương-Ea Súp-Đắk Lắk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125 Lý Chính Thắng-Buôn Ma Thuột-Đắk Lắk"/>
            <filter val="BC Đường Tỉnh 643-Xã Tuy An Nam-Phú Yên"/>
            <filter val="BC 204 Trần Hưng Đạo-Buôn Hồ-Đắk Lắk"/>
            <filter val="BC KM92 QL14-Xã Ea Drăng-Đắk Lắk"/>
            <filter val="BC Phạm Văn Đồng-Pơng Đrang-Krông Búk-Đắk Lắk"/>
            <filter val="BC Km 30 Tân Hòa-Buôn Đôn-Đắk Lắk"/>
            <filter val="BC 271 Nguyễn Văn Cừ-Tân Lập-Đắk Lắk"/>
            <filter val="BC 132 Hoàng Hoa Thám-Buôn Ma Thuột-Đắk Lắk"/>
            <filter val="BC 70 Đường 30/4-Ea Tam-Buôn Ma Thuột-Đắk Lắk"/>
            <filter val="BC 941 Giải Phóng-Ea Đrăng-Ea H'Leo-Đắk Lắk"/>
            <filter val="BC Km18-Cư Kuin-Đắk Lắk"/>
            <filter val="BC 03 Trần Hưng Đạo-Krông Pắc-Đắk Lắk"/>
            <filter val="BC 64 Hùng Vương-Thị Trấn Krông Năng-Đắk Lắk"/>
            <filter val="BC 34 Quang Trung-Eakar-Đắk Lắk"/>
            <filter val="BC 99 Nguyễn Khuyến-Buôn Ma Thuột-Đắk Lắk"/>
            <filter val="BC Ea Phê-Krông Pắk-Đắk Lắk"/>
          </filters>
        </filterColumn>
        <filterColumn colId="1">
          <filters>
            <filter val="Nguyễn  Ngọc Hà"/>
            <filter val="Nguyễn Đình Trung"/>
            <filter val="Huỳnh Thị Mới"/>
            <filter val="Phan Thanh Thức"/>
            <filter val="AM"/>
            <filter val="Mai Đức Hoàng Long"/>
            <filter val="Nguyễn Thị Bảo Nhi"/>
            <filter val="Võ Thanh Diệu"/>
            <filter val="Phan Thị Mỹ Chi"/>
            <filter val="Trần Nhật Thương"/>
            <filter val="Nguyễn Công Luận"/>
            <filter val="Ngô  Thị Bích Trâm"/>
            <filter val="Lê Trọng Khiêm"/>
          </filters>
        </filterColumn>
      </autoFilter>
    </customSheetView>
    <customSheetView guid="{F63D09EE-2FCA-4FF0-A9C2-716F2B275002}" filter="1" showAutoFilter="1">
      <autoFilter ref="$A$1:$P$65">
        <filterColumn colId="2">
          <filters>
            <filter val="BC 09 Quốc Lộ 14-Hoà Phú-Đắk Lắk"/>
            <filter val="Bưu Cục"/>
            <filter val="BC Đường Tỉnh 643-Xã Tuy An Nam-Phú Yên"/>
            <filter val="BC 39 Nguyễn Huệ-Ayun Pa-Gia Lai"/>
            <filter val="BC 271 Nguyễn Văn Cừ-Tân Lập-Đắk Lắk"/>
            <filter val="BC 327A Cách Mạng Tháng 8-Pleiku-Gia Lai"/>
            <filter val="BC 153 Hùng Vương-Ia Grai-Gia Lai"/>
            <filter val="BC 499 Phạm Văn Đồng-Pleiku-Gia Lai"/>
            <filter val="BC 138 Hùng Vương-Phú Thiện-Gia Lai"/>
            <filter val="BC 172 Hùng Vương-Chư Prông-Gia Lai"/>
            <filter val="BC 274 Hùng Vương-Chư Pưh-Gia Lai"/>
            <filter val="BC 73 Lê Lợi-Chư Pah-Gia Lai"/>
            <filter val="BC 127B Lê Văn Tám-Thị Trấn Kbang-Huyện Kbang-Gia Lai"/>
            <filter val="BC 569 Trường Chinh-Pleiku-Gia Lai"/>
            <filter val="BC 172 Quang Trung-Đức Cơ-Gia Lai"/>
            <filter val="BC 56 Đường 17 Tháng 3-Chư Sê-Gia Lai"/>
            <filter val="BC 236A Nguyễn Huệ-Đak Đoa-Gia Lai"/>
            <filter val="BC 15 Hoàng Văn Thụ-An Khê-Gia Lai"/>
            <filter val="BC 414 Trần Hưng Đạo-Mang Yang-Gia Lai"/>
          </filters>
        </filterColumn>
      </autoFilter>
    </customSheetView>
    <customSheetView guid="{54AB3151-B227-4998-9851-D1D0E06C5247}" filter="1" showAutoFilter="1">
      <autoFilter ref="$A$1:$P$65">
        <filterColumn colId="2">
          <filters>
            <filter val="BC 09 Quốc Lộ 14-Hoà Phú-Đắk Lắk"/>
            <filter val="BC 01 An Bình-Ea KNốp-Ea Kar-Đắk Lắk"/>
            <filter val="BC Ngã Ba Đắk Liêng-Huyện Lắk-Đắk Lắk"/>
            <filter val="BC 297 Hùng Vương-CưMgar-Đắk Lắk"/>
            <filter val="BC 245 Hùng Vương-Ea Súp-Đắk Lắk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125 Lý Chính Thắng-Buôn Ma Thuột-Đắk Lắk"/>
            <filter val="BC Đường Tỉnh 643-Xã Tuy An Nam-Phú Yên"/>
            <filter val="BC 204 Trần Hưng Đạo-Buôn Hồ-Đắk Lắk"/>
            <filter val="BC KM92 QL14-Xã Ea Drăng-Đắk Lắk"/>
            <filter val="BC Phạm Văn Đồng-Pơng Đrang-Krông Búk-Đắk Lắk"/>
            <filter val="BC Km 30 Tân Hòa-Buôn Đôn-Đắk Lắk"/>
            <filter val="BC 271 Nguyễn Văn Cừ-Tân Lập-Đắk Lắk"/>
            <filter val="BC 132 Hoàng Hoa Thám-Buôn Ma Thuột-Đắk Lắk"/>
            <filter val="BC 70 Đường 30/4-Ea Tam-Buôn Ma Thuột-Đắk Lắk"/>
            <filter val="BC 941 Giải Phóng-Ea Đrăng-Ea H'Leo-Đắk Lắk"/>
            <filter val="BC Km18-Cư Kuin-Đắk Lắk"/>
            <filter val="BC 03 Trần Hưng Đạo-Krông Pắc-Đắk Lắk"/>
            <filter val="BC 64 Hùng Vương-Thị Trấn Krông Năng-Đắk Lắk"/>
            <filter val="BC 34 Quang Trung-Eakar-Đắk Lắk"/>
            <filter val="BC 99 Nguyễn Khuyến-Buôn Ma Thuột-Đắk Lắk"/>
            <filter val="BC Ea Phê-Krông Pắk-Đắk Lắk"/>
          </filters>
        </filterColumn>
      </autoFilter>
    </customSheetView>
  </customSheetViews>
  <mergeCells count="8">
    <mergeCell ref="A1:A2"/>
    <mergeCell ref="B1:B2"/>
    <mergeCell ref="C1:C2"/>
    <mergeCell ref="D1:F1"/>
    <mergeCell ref="G1:I1"/>
    <mergeCell ref="J1:L1"/>
    <mergeCell ref="M1:N1"/>
    <mergeCell ref="O1:P1"/>
  </mergeCells>
  <conditionalFormatting sqref="O3:O56">
    <cfRule type="colorScale" priority="1">
      <colorScale>
        <cfvo type="min"/>
        <cfvo type="max"/>
        <color rgb="FFF4CCCC"/>
        <color rgb="FFFFFFFF"/>
      </colorScale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63"/>
    <col customWidth="1" min="2" max="2" width="17.25"/>
    <col customWidth="1" min="3" max="3" width="45.63"/>
  </cols>
  <sheetData>
    <row r="1">
      <c r="A1" s="137" t="s">
        <v>32</v>
      </c>
      <c r="B1" s="137" t="s">
        <v>15</v>
      </c>
      <c r="C1" s="137" t="s">
        <v>27</v>
      </c>
      <c r="D1" s="138" t="s">
        <v>17</v>
      </c>
      <c r="E1" s="139"/>
      <c r="F1" s="140"/>
      <c r="G1" s="142" t="s">
        <v>18</v>
      </c>
      <c r="H1" s="139"/>
      <c r="I1" s="140"/>
      <c r="J1" s="182" t="s">
        <v>19</v>
      </c>
      <c r="K1" s="140"/>
      <c r="L1" s="183">
        <f>today()-1</f>
        <v>46162</v>
      </c>
    </row>
    <row r="2">
      <c r="A2" s="146"/>
      <c r="B2" s="146"/>
      <c r="C2" s="146"/>
      <c r="D2" s="147" t="s">
        <v>20</v>
      </c>
      <c r="E2" s="147" t="s">
        <v>29</v>
      </c>
      <c r="F2" s="147" t="s">
        <v>30</v>
      </c>
      <c r="G2" s="147" t="s">
        <v>20</v>
      </c>
      <c r="H2" s="147" t="s">
        <v>29</v>
      </c>
      <c r="I2" s="147" t="s">
        <v>30</v>
      </c>
      <c r="J2" s="147" t="s">
        <v>20</v>
      </c>
      <c r="K2" s="147" t="s">
        <v>29</v>
      </c>
      <c r="L2" s="147" t="s">
        <v>30</v>
      </c>
    </row>
    <row r="3">
      <c r="A3" s="184" t="str">
        <f>IFERROR(__xludf.DUMMYFUNCTION("IMPORTRANGE(""https://docs.google.com/spreadsheets/d/1487b2qDJjFxuit1ljyyJ220-vW46d0ImSvFQle7Fw-k/edit?gid=332674877#gid=332674877"",""ca 1 - tồn!J73:U138"")"),"1")</f>
        <v>1</v>
      </c>
      <c r="B3" s="185" t="str">
        <f>IFERROR(__xludf.DUMMYFUNCTION("""COMPUTED_VALUE"""),"Lê Văn Tài")</f>
        <v>Lê Văn Tài</v>
      </c>
      <c r="C3" s="185" t="str">
        <f>IFERROR(__xludf.DUMMYFUNCTION("""COMPUTED_VALUE"""),"BC Phạm Văn Đồng-Pơng Đrang-Krông Búk-Đắk Lắk")</f>
        <v>BC Phạm Văn Đồng-Pơng Đrang-Krông Búk-Đắk Lắk</v>
      </c>
      <c r="D3" s="186">
        <f>IFERROR(__xludf.DUMMYFUNCTION("""COMPUTED_VALUE"""),444.0)</f>
        <v>444</v>
      </c>
      <c r="E3" s="187">
        <f>IFERROR(__xludf.DUMMYFUNCTION("""COMPUTED_VALUE"""),0.8468468468468469)</f>
        <v>0.8468468468</v>
      </c>
      <c r="F3" s="187">
        <f>IFERROR(__xludf.DUMMYFUNCTION("""COMPUTED_VALUE"""),0.5923423423423423)</f>
        <v>0.5923423423</v>
      </c>
      <c r="G3" s="186">
        <f>IFERROR(__xludf.DUMMYFUNCTION("""COMPUTED_VALUE"""),541.0)</f>
        <v>541</v>
      </c>
      <c r="H3" s="187">
        <f>IFERROR(__xludf.DUMMYFUNCTION("""COMPUTED_VALUE"""),0.7744916820702403)</f>
        <v>0.7744916821</v>
      </c>
      <c r="I3" s="187">
        <f>IFERROR(__xludf.DUMMYFUNCTION("""COMPUTED_VALUE"""),0.41035120147874304)</f>
        <v>0.4103512015</v>
      </c>
      <c r="J3" s="186">
        <f>IFERROR(__xludf.DUMMYFUNCTION("""COMPUTED_VALUE"""),985.0)</f>
        <v>985</v>
      </c>
      <c r="K3" s="187">
        <f>IFERROR(__xludf.DUMMYFUNCTION("""COMPUTED_VALUE"""),0.8071065989847716)</f>
        <v>0.807106599</v>
      </c>
      <c r="L3" s="187">
        <f>IFERROR(__xludf.DUMMYFUNCTION("""COMPUTED_VALUE"""),0.49238578680203043)</f>
        <v>0.4923857868</v>
      </c>
    </row>
    <row r="4">
      <c r="A4" s="184" t="str">
        <f>IFERROR(__xludf.DUMMYFUNCTION("""COMPUTED_VALUE"""),"2")</f>
        <v>2</v>
      </c>
      <c r="B4" s="185" t="str">
        <f>IFERROR(__xludf.DUMMYFUNCTION("""COMPUTED_VALUE"""),"Nguyễn Thị Bảo Nhi")</f>
        <v>Nguyễn Thị Bảo Nhi</v>
      </c>
      <c r="C4" s="185" t="str">
        <f>IFERROR(__xludf.DUMMYFUNCTION("""COMPUTED_VALUE"""),"BC 09 Quốc Lộ 14-Hoà Phú-Đắk Lắk")</f>
        <v>BC 09 Quốc Lộ 14-Hoà Phú-Đắk Lắk</v>
      </c>
      <c r="D4" s="186">
        <f>IFERROR(__xludf.DUMMYFUNCTION("""COMPUTED_VALUE"""),301.0)</f>
        <v>301</v>
      </c>
      <c r="E4" s="187">
        <f>IFERROR(__xludf.DUMMYFUNCTION("""COMPUTED_VALUE"""),0.7508305647840532)</f>
        <v>0.7508305648</v>
      </c>
      <c r="F4" s="187">
        <f>IFERROR(__xludf.DUMMYFUNCTION("""COMPUTED_VALUE"""),0.5282392026578073)</f>
        <v>0.5282392027</v>
      </c>
      <c r="G4" s="186">
        <f>IFERROR(__xludf.DUMMYFUNCTION("""COMPUTED_VALUE"""),279.0)</f>
        <v>279</v>
      </c>
      <c r="H4" s="187">
        <f>IFERROR(__xludf.DUMMYFUNCTION("""COMPUTED_VALUE"""),0.8458781362007168)</f>
        <v>0.8458781362</v>
      </c>
      <c r="I4" s="187">
        <f>IFERROR(__xludf.DUMMYFUNCTION("""COMPUTED_VALUE"""),0.4551971326164875)</f>
        <v>0.4551971326</v>
      </c>
      <c r="J4" s="186">
        <f>IFERROR(__xludf.DUMMYFUNCTION("""COMPUTED_VALUE"""),580.0)</f>
        <v>580</v>
      </c>
      <c r="K4" s="187">
        <f>IFERROR(__xludf.DUMMYFUNCTION("""COMPUTED_VALUE"""),0.7965517241379311)</f>
        <v>0.7965517241</v>
      </c>
      <c r="L4" s="187">
        <f>IFERROR(__xludf.DUMMYFUNCTION("""COMPUTED_VALUE"""),0.49310344827586206)</f>
        <v>0.4931034483</v>
      </c>
    </row>
    <row r="5">
      <c r="A5" s="184" t="str">
        <f>IFERROR(__xludf.DUMMYFUNCTION("""COMPUTED_VALUE"""),"3")</f>
        <v>3</v>
      </c>
      <c r="B5" s="185" t="str">
        <f>IFERROR(__xludf.DUMMYFUNCTION("""COMPUTED_VALUE"""),"Nguyễn Văn Sáng")</f>
        <v>Nguyễn Văn Sáng</v>
      </c>
      <c r="C5" s="185" t="str">
        <f>IFERROR(__xludf.DUMMYFUNCTION("""COMPUTED_VALUE"""),"BC 34 Quang Trung-Eakar-Đắk Lắk")</f>
        <v>BC 34 Quang Trung-Eakar-Đắk Lắk</v>
      </c>
      <c r="D5" s="186">
        <f>IFERROR(__xludf.DUMMYFUNCTION("""COMPUTED_VALUE"""),589.0)</f>
        <v>589</v>
      </c>
      <c r="E5" s="187">
        <f>IFERROR(__xludf.DUMMYFUNCTION("""COMPUTED_VALUE"""),0.7792869269949066)</f>
        <v>0.779286927</v>
      </c>
      <c r="F5" s="187">
        <f>IFERROR(__xludf.DUMMYFUNCTION("""COMPUTED_VALUE"""),0.568760611205433)</f>
        <v>0.5687606112</v>
      </c>
      <c r="G5" s="186">
        <f>IFERROR(__xludf.DUMMYFUNCTION("""COMPUTED_VALUE"""),518.0)</f>
        <v>518</v>
      </c>
      <c r="H5" s="187">
        <f>IFERROR(__xludf.DUMMYFUNCTION("""COMPUTED_VALUE"""),0.9884169884169884)</f>
        <v>0.9884169884</v>
      </c>
      <c r="I5" s="187">
        <f>IFERROR(__xludf.DUMMYFUNCTION("""COMPUTED_VALUE"""),0.5115830115830116)</f>
        <v>0.5115830116</v>
      </c>
      <c r="J5" s="186">
        <f>IFERROR(__xludf.DUMMYFUNCTION("""COMPUTED_VALUE"""),1107.0)</f>
        <v>1107</v>
      </c>
      <c r="K5" s="187">
        <f>IFERROR(__xludf.DUMMYFUNCTION("""COMPUTED_VALUE"""),0.8771454381210478)</f>
        <v>0.8771454381</v>
      </c>
      <c r="L5" s="187">
        <f>IFERROR(__xludf.DUMMYFUNCTION("""COMPUTED_VALUE"""),0.5420054200542005)</f>
        <v>0.5420054201</v>
      </c>
    </row>
    <row r="6">
      <c r="A6" s="184" t="str">
        <f>IFERROR(__xludf.DUMMYFUNCTION("""COMPUTED_VALUE"""),"4")</f>
        <v>4</v>
      </c>
      <c r="B6" s="185" t="str">
        <f>IFERROR(__xludf.DUMMYFUNCTION("""COMPUTED_VALUE"""),"Nguyễn  Ngọc Hà")</f>
        <v>Nguyễn  Ngọc Hà</v>
      </c>
      <c r="C6" s="185" t="str">
        <f>IFERROR(__xludf.DUMMYFUNCTION("""COMPUTED_VALUE"""),"BC 01 An Bình-Ea KNốp-Ea Kar-Đắk Lắk")</f>
        <v>BC 01 An Bình-Ea KNốp-Ea Kar-Đắk Lắk</v>
      </c>
      <c r="D6" s="186">
        <f>IFERROR(__xludf.DUMMYFUNCTION("""COMPUTED_VALUE"""),245.0)</f>
        <v>245</v>
      </c>
      <c r="E6" s="187">
        <f>IFERROR(__xludf.DUMMYFUNCTION("""COMPUTED_VALUE"""),0.9959183673469387)</f>
        <v>0.9959183673</v>
      </c>
      <c r="F6" s="187">
        <f>IFERROR(__xludf.DUMMYFUNCTION("""COMPUTED_VALUE"""),0.6938775510204082)</f>
        <v>0.693877551</v>
      </c>
      <c r="G6" s="186">
        <f>IFERROR(__xludf.DUMMYFUNCTION("""COMPUTED_VALUE"""),320.0)</f>
        <v>320</v>
      </c>
      <c r="H6" s="187">
        <f>IFERROR(__xludf.DUMMYFUNCTION("""COMPUTED_VALUE"""),0.896875)</f>
        <v>0.896875</v>
      </c>
      <c r="I6" s="187">
        <f>IFERROR(__xludf.DUMMYFUNCTION("""COMPUTED_VALUE"""),0.428125)</f>
        <v>0.428125</v>
      </c>
      <c r="J6" s="186">
        <f>IFERROR(__xludf.DUMMYFUNCTION("""COMPUTED_VALUE"""),565.0)</f>
        <v>565</v>
      </c>
      <c r="K6" s="187">
        <f>IFERROR(__xludf.DUMMYFUNCTION("""COMPUTED_VALUE"""),0.9398230088495575)</f>
        <v>0.9398230088</v>
      </c>
      <c r="L6" s="187">
        <f>IFERROR(__xludf.DUMMYFUNCTION("""COMPUTED_VALUE"""),0.5433628318584071)</f>
        <v>0.5433628319</v>
      </c>
    </row>
    <row r="7">
      <c r="A7" s="184" t="str">
        <f>IFERROR(__xludf.DUMMYFUNCTION("""COMPUTED_VALUE"""),"5")</f>
        <v>5</v>
      </c>
      <c r="B7" s="185" t="str">
        <f>IFERROR(__xludf.DUMMYFUNCTION("""COMPUTED_VALUE"""),"Lê Văn Tài")</f>
        <v>Lê Văn Tài</v>
      </c>
      <c r="C7" s="185" t="str">
        <f>IFERROR(__xludf.DUMMYFUNCTION("""COMPUTED_VALUE"""),"BC KM92 QL14-Xã Ea Drăng-Đắk Lắk")</f>
        <v>BC KM92 QL14-Xã Ea Drăng-Đắk Lắk</v>
      </c>
      <c r="D7" s="186">
        <f>IFERROR(__xludf.DUMMYFUNCTION("""COMPUTED_VALUE"""),73.0)</f>
        <v>73</v>
      </c>
      <c r="E7" s="187">
        <f>IFERROR(__xludf.DUMMYFUNCTION("""COMPUTED_VALUE"""),0.8082191780821918)</f>
        <v>0.8082191781</v>
      </c>
      <c r="F7" s="187">
        <f>IFERROR(__xludf.DUMMYFUNCTION("""COMPUTED_VALUE"""),0.7123287671232876)</f>
        <v>0.7123287671</v>
      </c>
      <c r="G7" s="186">
        <f>IFERROR(__xludf.DUMMYFUNCTION("""COMPUTED_VALUE"""),86.0)</f>
        <v>86</v>
      </c>
      <c r="H7" s="187">
        <f>IFERROR(__xludf.DUMMYFUNCTION("""COMPUTED_VALUE"""),0.8953488372093024)</f>
        <v>0.8953488372</v>
      </c>
      <c r="I7" s="187">
        <f>IFERROR(__xludf.DUMMYFUNCTION("""COMPUTED_VALUE"""),0.45348837209302323)</f>
        <v>0.4534883721</v>
      </c>
      <c r="J7" s="186">
        <f>IFERROR(__xludf.DUMMYFUNCTION("""COMPUTED_VALUE"""),159.0)</f>
        <v>159</v>
      </c>
      <c r="K7" s="187">
        <f>IFERROR(__xludf.DUMMYFUNCTION("""COMPUTED_VALUE"""),0.8553459119496856)</f>
        <v>0.8553459119</v>
      </c>
      <c r="L7" s="187">
        <f>IFERROR(__xludf.DUMMYFUNCTION("""COMPUTED_VALUE"""),0.5723270440251572)</f>
        <v>0.572327044</v>
      </c>
    </row>
    <row r="8">
      <c r="A8" s="184" t="str">
        <f>IFERROR(__xludf.DUMMYFUNCTION("""COMPUTED_VALUE"""),"6")</f>
        <v>6</v>
      </c>
      <c r="B8" s="185" t="str">
        <f>IFERROR(__xludf.DUMMYFUNCTION("""COMPUTED_VALUE"""),"Nguyễn Thị Bảo Nhi")</f>
        <v>Nguyễn Thị Bảo Nhi</v>
      </c>
      <c r="C8" s="185" t="str">
        <f>IFERROR(__xludf.DUMMYFUNCTION("""COMPUTED_VALUE"""),"BC 70 Đường 30/4-Ea Tam-Buôn Ma Thuột-Đắk Lắk ")</f>
        <v>BC 70 Đường 30/4-Ea Tam-Buôn Ma Thuột-Đắk Lắk </v>
      </c>
      <c r="D8" s="186">
        <f>IFERROR(__xludf.DUMMYFUNCTION("""COMPUTED_VALUE"""),582.0)</f>
        <v>582</v>
      </c>
      <c r="E8" s="187">
        <f>IFERROR(__xludf.DUMMYFUNCTION("""COMPUTED_VALUE"""),0.8900343642611683)</f>
        <v>0.8900343643</v>
      </c>
      <c r="F8" s="187">
        <f>IFERROR(__xludf.DUMMYFUNCTION("""COMPUTED_VALUE"""),0.7457044673539519)</f>
        <v>0.7457044674</v>
      </c>
      <c r="G8" s="186">
        <f>IFERROR(__xludf.DUMMYFUNCTION("""COMPUTED_VALUE"""),481.0)</f>
        <v>481</v>
      </c>
      <c r="H8" s="187">
        <f>IFERROR(__xludf.DUMMYFUNCTION("""COMPUTED_VALUE"""),0.6777546777546778)</f>
        <v>0.6777546778</v>
      </c>
      <c r="I8" s="187">
        <f>IFERROR(__xludf.DUMMYFUNCTION("""COMPUTED_VALUE"""),0.40540540540540543)</f>
        <v>0.4054054054</v>
      </c>
      <c r="J8" s="186">
        <f>IFERROR(__xludf.DUMMYFUNCTION("""COMPUTED_VALUE"""),1063.0)</f>
        <v>1063</v>
      </c>
      <c r="K8" s="187">
        <f>IFERROR(__xludf.DUMMYFUNCTION("""COMPUTED_VALUE"""),0.7939793038570084)</f>
        <v>0.7939793039</v>
      </c>
      <c r="L8" s="187">
        <f>IFERROR(__xludf.DUMMYFUNCTION("""COMPUTED_VALUE"""),0.5917215428033866)</f>
        <v>0.5917215428</v>
      </c>
    </row>
    <row r="9">
      <c r="A9" s="184" t="str">
        <f>IFERROR(__xludf.DUMMYFUNCTION("""COMPUTED_VALUE"""),"7")</f>
        <v>7</v>
      </c>
      <c r="B9" s="185" t="str">
        <f>IFERROR(__xludf.DUMMYFUNCTION("""COMPUTED_VALUE"""),"Lê Văn Tài")</f>
        <v>Lê Văn Tài</v>
      </c>
      <c r="C9" s="185" t="str">
        <f>IFERROR(__xludf.DUMMYFUNCTION("""COMPUTED_VALUE"""),"BC 941 Giải Phóng-Ea Đrăng-Ea H'Leo-Đắk Lắk")</f>
        <v>BC 941 Giải Phóng-Ea Đrăng-Ea H'Leo-Đắk Lắk</v>
      </c>
      <c r="D9" s="186">
        <f>IFERROR(__xludf.DUMMYFUNCTION("""COMPUTED_VALUE"""),844.0)</f>
        <v>844</v>
      </c>
      <c r="E9" s="187">
        <f>IFERROR(__xludf.DUMMYFUNCTION("""COMPUTED_VALUE"""),0.9597156398104265)</f>
        <v>0.9597156398</v>
      </c>
      <c r="F9" s="187">
        <f>IFERROR(__xludf.DUMMYFUNCTION("""COMPUTED_VALUE"""),0.6800947867298578)</f>
        <v>0.6800947867</v>
      </c>
      <c r="G9" s="186">
        <f>IFERROR(__xludf.DUMMYFUNCTION("""COMPUTED_VALUE"""),224.0)</f>
        <v>224</v>
      </c>
      <c r="H9" s="187">
        <f>IFERROR(__xludf.DUMMYFUNCTION("""COMPUTED_VALUE"""),0.9732142857142857)</f>
        <v>0.9732142857</v>
      </c>
      <c r="I9" s="187">
        <f>IFERROR(__xludf.DUMMYFUNCTION("""COMPUTED_VALUE"""),0.36160714285714285)</f>
        <v>0.3616071429</v>
      </c>
      <c r="J9" s="186">
        <f>IFERROR(__xludf.DUMMYFUNCTION("""COMPUTED_VALUE"""),1068.0)</f>
        <v>1068</v>
      </c>
      <c r="K9" s="187">
        <f>IFERROR(__xludf.DUMMYFUNCTION("""COMPUTED_VALUE"""),0.9625468164794008)</f>
        <v>0.9625468165</v>
      </c>
      <c r="L9" s="187">
        <f>IFERROR(__xludf.DUMMYFUNCTION("""COMPUTED_VALUE"""),0.6132958801498127)</f>
        <v>0.6132958801</v>
      </c>
    </row>
    <row r="10">
      <c r="A10" s="184" t="str">
        <f>IFERROR(__xludf.DUMMYFUNCTION("""COMPUTED_VALUE"""),"8")</f>
        <v>8</v>
      </c>
      <c r="B10" s="185" t="str">
        <f>IFERROR(__xludf.DUMMYFUNCTION("""COMPUTED_VALUE"""),"Nguyễn  Hoàng Anh ")</f>
        <v>Nguyễn  Hoàng Anh </v>
      </c>
      <c r="C10" s="185" t="str">
        <f>IFERROR(__xludf.DUMMYFUNCTION("""COMPUTED_VALUE"""),"BC Ngã Ba Đắk Liêng-Huyện Lắk-Đắk Lắk")</f>
        <v>BC Ngã Ba Đắk Liêng-Huyện Lắk-Đắk Lắk</v>
      </c>
      <c r="D10" s="186">
        <f>IFERROR(__xludf.DUMMYFUNCTION("""COMPUTED_VALUE"""),359.0)</f>
        <v>359</v>
      </c>
      <c r="E10" s="187">
        <f>IFERROR(__xludf.DUMMYFUNCTION("""COMPUTED_VALUE"""),1.0)</f>
        <v>1</v>
      </c>
      <c r="F10" s="187">
        <f>IFERROR(__xludf.DUMMYFUNCTION("""COMPUTED_VALUE"""),0.766016713091922)</f>
        <v>0.7660167131</v>
      </c>
      <c r="G10" s="186">
        <f>IFERROR(__xludf.DUMMYFUNCTION("""COMPUTED_VALUE"""),220.0)</f>
        <v>220</v>
      </c>
      <c r="H10" s="187">
        <f>IFERROR(__xludf.DUMMYFUNCTION("""COMPUTED_VALUE"""),0.9590909090909091)</f>
        <v>0.9590909091</v>
      </c>
      <c r="I10" s="187">
        <f>IFERROR(__xludf.DUMMYFUNCTION("""COMPUTED_VALUE"""),0.4090909090909091)</f>
        <v>0.4090909091</v>
      </c>
      <c r="J10" s="186">
        <f>IFERROR(__xludf.DUMMYFUNCTION("""COMPUTED_VALUE"""),579.0)</f>
        <v>579</v>
      </c>
      <c r="K10" s="187">
        <f>IFERROR(__xludf.DUMMYFUNCTION("""COMPUTED_VALUE"""),0.9844559585492227)</f>
        <v>0.9844559585</v>
      </c>
      <c r="L10" s="187">
        <f>IFERROR(__xludf.DUMMYFUNCTION("""COMPUTED_VALUE"""),0.6303972366148531)</f>
        <v>0.6303972366</v>
      </c>
    </row>
    <row r="11">
      <c r="A11" s="184" t="str">
        <f>IFERROR(__xludf.DUMMYFUNCTION("""COMPUTED_VALUE"""),"9")</f>
        <v>9</v>
      </c>
      <c r="B11" s="185" t="str">
        <f>IFERROR(__xludf.DUMMYFUNCTION("""COMPUTED_VALUE"""),"Nguyễn  Hoàng Anh ")</f>
        <v>Nguyễn  Hoàng Anh </v>
      </c>
      <c r="C11" s="185" t="str">
        <f>IFERROR(__xludf.DUMMYFUNCTION("""COMPUTED_VALUE"""),"BC Km18-Cư Kuin-Đắk Lắk")</f>
        <v>BC Km18-Cư Kuin-Đắk Lắk</v>
      </c>
      <c r="D11" s="186">
        <f>IFERROR(__xludf.DUMMYFUNCTION("""COMPUTED_VALUE"""),544.0)</f>
        <v>544</v>
      </c>
      <c r="E11" s="187">
        <f>IFERROR(__xludf.DUMMYFUNCTION("""COMPUTED_VALUE"""),0.9926470588235294)</f>
        <v>0.9926470588</v>
      </c>
      <c r="F11" s="187">
        <f>IFERROR(__xludf.DUMMYFUNCTION("""COMPUTED_VALUE"""),0.7463235294117647)</f>
        <v>0.7463235294</v>
      </c>
      <c r="G11" s="186">
        <f>IFERROR(__xludf.DUMMYFUNCTION("""COMPUTED_VALUE"""),250.0)</f>
        <v>250</v>
      </c>
      <c r="H11" s="187">
        <f>IFERROR(__xludf.DUMMYFUNCTION("""COMPUTED_VALUE"""),0.964)</f>
        <v>0.964</v>
      </c>
      <c r="I11" s="187">
        <f>IFERROR(__xludf.DUMMYFUNCTION("""COMPUTED_VALUE"""),0.404)</f>
        <v>0.404</v>
      </c>
      <c r="J11" s="186">
        <f>IFERROR(__xludf.DUMMYFUNCTION("""COMPUTED_VALUE"""),794.0)</f>
        <v>794</v>
      </c>
      <c r="K11" s="187">
        <f>IFERROR(__xludf.DUMMYFUNCTION("""COMPUTED_VALUE"""),0.9836272040302267)</f>
        <v>0.983627204</v>
      </c>
      <c r="L11" s="187">
        <f>IFERROR(__xludf.DUMMYFUNCTION("""COMPUTED_VALUE"""),0.6385390428211587)</f>
        <v>0.6385390428</v>
      </c>
    </row>
    <row r="12">
      <c r="A12" s="184" t="str">
        <f>IFERROR(__xludf.DUMMYFUNCTION("""COMPUTED_VALUE"""),"10")</f>
        <v>10</v>
      </c>
      <c r="B12" s="185" t="str">
        <f>IFERROR(__xludf.DUMMYFUNCTION("""COMPUTED_VALUE"""),"Mai Đức Hoàng Long")</f>
        <v>Mai Đức Hoàng Long</v>
      </c>
      <c r="C12" s="185" t="str">
        <f>IFERROR(__xludf.DUMMYFUNCTION("""COMPUTED_VALUE"""),"BC 204 Trần Hưng Đạo-Buôn Hồ-Đắk Lắk")</f>
        <v>BC 204 Trần Hưng Đạo-Buôn Hồ-Đắk Lắk</v>
      </c>
      <c r="D12" s="186">
        <f>IFERROR(__xludf.DUMMYFUNCTION("""COMPUTED_VALUE"""),499.0)</f>
        <v>499</v>
      </c>
      <c r="E12" s="187">
        <f>IFERROR(__xludf.DUMMYFUNCTION("""COMPUTED_VALUE"""),0.9939879759519038)</f>
        <v>0.993987976</v>
      </c>
      <c r="F12" s="187">
        <f>IFERROR(__xludf.DUMMYFUNCTION("""COMPUTED_VALUE"""),0.7374749498997996)</f>
        <v>0.7374749499</v>
      </c>
      <c r="G12" s="186">
        <f>IFERROR(__xludf.DUMMYFUNCTION("""COMPUTED_VALUE"""),326.0)</f>
        <v>326</v>
      </c>
      <c r="H12" s="187">
        <f>IFERROR(__xludf.DUMMYFUNCTION("""COMPUTED_VALUE"""),0.9447852760736196)</f>
        <v>0.9447852761</v>
      </c>
      <c r="I12" s="187">
        <f>IFERROR(__xludf.DUMMYFUNCTION("""COMPUTED_VALUE"""),0.4938650306748466)</f>
        <v>0.4938650307</v>
      </c>
      <c r="J12" s="186">
        <f>IFERROR(__xludf.DUMMYFUNCTION("""COMPUTED_VALUE"""),825.0)</f>
        <v>825</v>
      </c>
      <c r="K12" s="187">
        <f>IFERROR(__xludf.DUMMYFUNCTION("""COMPUTED_VALUE"""),0.9745454545454545)</f>
        <v>0.9745454545</v>
      </c>
      <c r="L12" s="187">
        <f>IFERROR(__xludf.DUMMYFUNCTION("""COMPUTED_VALUE"""),0.6412121212121212)</f>
        <v>0.6412121212</v>
      </c>
    </row>
    <row r="13">
      <c r="A13" s="188" t="str">
        <f>IFERROR(__xludf.DUMMYFUNCTION("""COMPUTED_VALUE"""),"11")</f>
        <v>11</v>
      </c>
      <c r="B13" s="189" t="str">
        <f>IFERROR(__xludf.DUMMYFUNCTION("""COMPUTED_VALUE"""),"Nguyễn Công Luận")</f>
        <v>Nguyễn Công Luận</v>
      </c>
      <c r="C13" s="189" t="str">
        <f>IFERROR(__xludf.DUMMYFUNCTION("""COMPUTED_VALUE"""),"BC 172 Quang Trung-Đức Cơ-Gia Lai")</f>
        <v>BC 172 Quang Trung-Đức Cơ-Gia Lai</v>
      </c>
      <c r="D13" s="190">
        <f>IFERROR(__xludf.DUMMYFUNCTION("""COMPUTED_VALUE"""),487.0)</f>
        <v>487</v>
      </c>
      <c r="E13" s="191">
        <f>IFERROR(__xludf.DUMMYFUNCTION("""COMPUTED_VALUE"""),0.9897330595482546)</f>
        <v>0.9897330595</v>
      </c>
      <c r="F13" s="191">
        <f>IFERROR(__xludf.DUMMYFUNCTION("""COMPUTED_VALUE"""),0.8090349075975359)</f>
        <v>0.8090349076</v>
      </c>
      <c r="G13" s="190">
        <f>IFERROR(__xludf.DUMMYFUNCTION("""COMPUTED_VALUE"""),238.0)</f>
        <v>238</v>
      </c>
      <c r="H13" s="191">
        <f>IFERROR(__xludf.DUMMYFUNCTION("""COMPUTED_VALUE"""),0.8739495798319328)</f>
        <v>0.8739495798</v>
      </c>
      <c r="I13" s="191">
        <f>IFERROR(__xludf.DUMMYFUNCTION("""COMPUTED_VALUE"""),0.31512605042016806)</f>
        <v>0.3151260504</v>
      </c>
      <c r="J13" s="190">
        <f>IFERROR(__xludf.DUMMYFUNCTION("""COMPUTED_VALUE"""),725.0)</f>
        <v>725</v>
      </c>
      <c r="K13" s="191">
        <f>IFERROR(__xludf.DUMMYFUNCTION("""COMPUTED_VALUE"""),0.9517241379310345)</f>
        <v>0.9517241379</v>
      </c>
      <c r="L13" s="191">
        <f>IFERROR(__xludf.DUMMYFUNCTION("""COMPUTED_VALUE"""),0.646896551724138)</f>
        <v>0.6468965517</v>
      </c>
    </row>
    <row r="14">
      <c r="A14" s="188" t="str">
        <f>IFERROR(__xludf.DUMMYFUNCTION("""COMPUTED_VALUE"""),"12")</f>
        <v>12</v>
      </c>
      <c r="B14" s="189" t="str">
        <f>IFERROR(__xludf.DUMMYFUNCTION("""COMPUTED_VALUE"""),"Nguyễn Văn Sáng")</f>
        <v>Nguyễn Văn Sáng</v>
      </c>
      <c r="C14" s="189" t="str">
        <f>IFERROR(__xludf.DUMMYFUNCTION("""COMPUTED_VALUE"""),"BC Ea Phê-Krông Pắk-Đắk Lắk")</f>
        <v>BC Ea Phê-Krông Pắk-Đắk Lắk</v>
      </c>
      <c r="D14" s="190">
        <f>IFERROR(__xludf.DUMMYFUNCTION("""COMPUTED_VALUE"""),460.0)</f>
        <v>460</v>
      </c>
      <c r="E14" s="191">
        <f>IFERROR(__xludf.DUMMYFUNCTION("""COMPUTED_VALUE"""),0.991304347826087)</f>
        <v>0.9913043478</v>
      </c>
      <c r="F14" s="191">
        <f>IFERROR(__xludf.DUMMYFUNCTION("""COMPUTED_VALUE"""),0.7543478260869565)</f>
        <v>0.7543478261</v>
      </c>
      <c r="G14" s="190">
        <f>IFERROR(__xludf.DUMMYFUNCTION("""COMPUTED_VALUE"""),202.0)</f>
        <v>202</v>
      </c>
      <c r="H14" s="191">
        <f>IFERROR(__xludf.DUMMYFUNCTION("""COMPUTED_VALUE"""),0.9752475247524752)</f>
        <v>0.9752475248</v>
      </c>
      <c r="I14" s="191">
        <f>IFERROR(__xludf.DUMMYFUNCTION("""COMPUTED_VALUE"""),0.44554455445544555)</f>
        <v>0.4455445545</v>
      </c>
      <c r="J14" s="190">
        <f>IFERROR(__xludf.DUMMYFUNCTION("""COMPUTED_VALUE"""),662.0)</f>
        <v>662</v>
      </c>
      <c r="K14" s="191">
        <f>IFERROR(__xludf.DUMMYFUNCTION("""COMPUTED_VALUE"""),0.986404833836858)</f>
        <v>0.9864048338</v>
      </c>
      <c r="L14" s="191">
        <f>IFERROR(__xludf.DUMMYFUNCTION("""COMPUTED_VALUE"""),0.6601208459214502)</f>
        <v>0.6601208459</v>
      </c>
    </row>
    <row r="15">
      <c r="A15" s="188" t="str">
        <f>IFERROR(__xludf.DUMMYFUNCTION("""COMPUTED_VALUE"""),"13")</f>
        <v>13</v>
      </c>
      <c r="B15" s="189" t="str">
        <f>IFERROR(__xludf.DUMMYFUNCTION("""COMPUTED_VALUE"""),"Ngô  Thị Bích Trâm ")</f>
        <v>Ngô  Thị Bích Trâm </v>
      </c>
      <c r="C15" s="189" t="str">
        <f>IFERROR(__xludf.DUMMYFUNCTION("""COMPUTED_VALUE"""),"BC 236A Nguyễn Huệ-Đak Đoa-Gia Lai")</f>
        <v>BC 236A Nguyễn Huệ-Đak Đoa-Gia Lai</v>
      </c>
      <c r="D15" s="190">
        <f>IFERROR(__xludf.DUMMYFUNCTION("""COMPUTED_VALUE"""),968.0)</f>
        <v>968</v>
      </c>
      <c r="E15" s="191">
        <f>IFERROR(__xludf.DUMMYFUNCTION("""COMPUTED_VALUE"""),0.993801652892562)</f>
        <v>0.9938016529</v>
      </c>
      <c r="F15" s="191">
        <f>IFERROR(__xludf.DUMMYFUNCTION("""COMPUTED_VALUE"""),0.7324380165289256)</f>
        <v>0.7324380165</v>
      </c>
      <c r="G15" s="190">
        <f>IFERROR(__xludf.DUMMYFUNCTION("""COMPUTED_VALUE"""),190.0)</f>
        <v>190</v>
      </c>
      <c r="H15" s="191">
        <f>IFERROR(__xludf.DUMMYFUNCTION("""COMPUTED_VALUE"""),0.9736842105263158)</f>
        <v>0.9736842105</v>
      </c>
      <c r="I15" s="191">
        <f>IFERROR(__xludf.DUMMYFUNCTION("""COMPUTED_VALUE"""),0.3631578947368421)</f>
        <v>0.3631578947</v>
      </c>
      <c r="J15" s="190">
        <f>IFERROR(__xludf.DUMMYFUNCTION("""COMPUTED_VALUE"""),1158.0)</f>
        <v>1158</v>
      </c>
      <c r="K15" s="191">
        <f>IFERROR(__xludf.DUMMYFUNCTION("""COMPUTED_VALUE"""),0.9905008635578584)</f>
        <v>0.9905008636</v>
      </c>
      <c r="L15" s="191">
        <f>IFERROR(__xludf.DUMMYFUNCTION("""COMPUTED_VALUE"""),0.6718480138169257)</f>
        <v>0.6718480138</v>
      </c>
    </row>
    <row r="16">
      <c r="A16" s="188" t="str">
        <f>IFERROR(__xludf.DUMMYFUNCTION("""COMPUTED_VALUE"""),"14")</f>
        <v>14</v>
      </c>
      <c r="B16" s="189" t="str">
        <f>IFERROR(__xludf.DUMMYFUNCTION("""COMPUTED_VALUE"""),"Nguyễn Văn Sáng")</f>
        <v>Nguyễn Văn Sáng</v>
      </c>
      <c r="C16" s="189" t="str">
        <f>IFERROR(__xludf.DUMMYFUNCTION("""COMPUTED_VALUE"""),"BC 99 Nguyễn Khuyến-Buôn Ma Thuột-Đắk Lắk")</f>
        <v>BC 99 Nguyễn Khuyến-Buôn Ma Thuột-Đắk Lắk</v>
      </c>
      <c r="D16" s="190">
        <f>IFERROR(__xludf.DUMMYFUNCTION("""COMPUTED_VALUE"""),544.0)</f>
        <v>544</v>
      </c>
      <c r="E16" s="191">
        <f>IFERROR(__xludf.DUMMYFUNCTION("""COMPUTED_VALUE"""),0.9926470588235294)</f>
        <v>0.9926470588</v>
      </c>
      <c r="F16" s="191">
        <f>IFERROR(__xludf.DUMMYFUNCTION("""COMPUTED_VALUE"""),0.8106617647058824)</f>
        <v>0.8106617647</v>
      </c>
      <c r="G16" s="190">
        <f>IFERROR(__xludf.DUMMYFUNCTION("""COMPUTED_VALUE"""),265.0)</f>
        <v>265</v>
      </c>
      <c r="H16" s="191">
        <f>IFERROR(__xludf.DUMMYFUNCTION("""COMPUTED_VALUE"""),0.9773584905660377)</f>
        <v>0.9773584906</v>
      </c>
      <c r="I16" s="191">
        <f>IFERROR(__xludf.DUMMYFUNCTION("""COMPUTED_VALUE"""),0.42641509433962266)</f>
        <v>0.4264150943</v>
      </c>
      <c r="J16" s="190">
        <f>IFERROR(__xludf.DUMMYFUNCTION("""COMPUTED_VALUE"""),809.0)</f>
        <v>809</v>
      </c>
      <c r="K16" s="191">
        <f>IFERROR(__xludf.DUMMYFUNCTION("""COMPUTED_VALUE"""),0.9876390605686032)</f>
        <v>0.9876390606</v>
      </c>
      <c r="L16" s="191">
        <f>IFERROR(__xludf.DUMMYFUNCTION("""COMPUTED_VALUE"""),0.6847960444993819)</f>
        <v>0.6847960445</v>
      </c>
    </row>
    <row r="17">
      <c r="A17" s="188" t="str">
        <f>IFERROR(__xludf.DUMMYFUNCTION("""COMPUTED_VALUE"""),"15")</f>
        <v>15</v>
      </c>
      <c r="B17" s="189" t="str">
        <f>IFERROR(__xludf.DUMMYFUNCTION("""COMPUTED_VALUE"""),"Nguyễn Công Luận")</f>
        <v>Nguyễn Công Luận</v>
      </c>
      <c r="C17" s="189" t="str">
        <f>IFERROR(__xludf.DUMMYFUNCTION("""COMPUTED_VALUE"""),"BC 39 Nguyễn Huệ-Ayun Pa-Gia Lai")</f>
        <v>BC 39 Nguyễn Huệ-Ayun Pa-Gia Lai</v>
      </c>
      <c r="D17" s="190">
        <f>IFERROR(__xludf.DUMMYFUNCTION("""COMPUTED_VALUE"""),524.0)</f>
        <v>524</v>
      </c>
      <c r="E17" s="191">
        <f>IFERROR(__xludf.DUMMYFUNCTION("""COMPUTED_VALUE"""),1.0)</f>
        <v>1</v>
      </c>
      <c r="F17" s="191">
        <f>IFERROR(__xludf.DUMMYFUNCTION("""COMPUTED_VALUE"""),0.7938931297709924)</f>
        <v>0.7938931298</v>
      </c>
      <c r="G17" s="190">
        <f>IFERROR(__xludf.DUMMYFUNCTION("""COMPUTED_VALUE"""),193.0)</f>
        <v>193</v>
      </c>
      <c r="H17" s="191">
        <f>IFERROR(__xludf.DUMMYFUNCTION("""COMPUTED_VALUE"""),0.9689119170984456)</f>
        <v>0.9689119171</v>
      </c>
      <c r="I17" s="191">
        <f>IFERROR(__xludf.DUMMYFUNCTION("""COMPUTED_VALUE"""),0.38860103626943004)</f>
        <v>0.3886010363</v>
      </c>
      <c r="J17" s="190">
        <f>IFERROR(__xludf.DUMMYFUNCTION("""COMPUTED_VALUE"""),717.0)</f>
        <v>717</v>
      </c>
      <c r="K17" s="191">
        <f>IFERROR(__xludf.DUMMYFUNCTION("""COMPUTED_VALUE"""),0.9916317991631799)</f>
        <v>0.9916317992</v>
      </c>
      <c r="L17" s="191">
        <f>IFERROR(__xludf.DUMMYFUNCTION("""COMPUTED_VALUE"""),0.6847977684797768)</f>
        <v>0.6847977685</v>
      </c>
    </row>
    <row r="18">
      <c r="A18" s="188" t="str">
        <f>IFERROR(__xludf.DUMMYFUNCTION("""COMPUTED_VALUE"""),"16")</f>
        <v>16</v>
      </c>
      <c r="B18" s="189" t="str">
        <f>IFERROR(__xludf.DUMMYFUNCTION("""COMPUTED_VALUE"""),"Nguyễn Thị Bảo Nhi")</f>
        <v>Nguyễn Thị Bảo Nhi</v>
      </c>
      <c r="C18" s="189" t="str">
        <f>IFERROR(__xludf.DUMMYFUNCTION("""COMPUTED_VALUE"""),"BC Km 30 Tân Hòa-Buôn Đôn-Đắk Lắk")</f>
        <v>BC Km 30 Tân Hòa-Buôn Đôn-Đắk Lắk</v>
      </c>
      <c r="D18" s="190">
        <f>IFERROR(__xludf.DUMMYFUNCTION("""COMPUTED_VALUE"""),243.0)</f>
        <v>243</v>
      </c>
      <c r="E18" s="191">
        <f>IFERROR(__xludf.DUMMYFUNCTION("""COMPUTED_VALUE"""),1.0)</f>
        <v>1</v>
      </c>
      <c r="F18" s="191">
        <f>IFERROR(__xludf.DUMMYFUNCTION("""COMPUTED_VALUE"""),0.7983539094650206)</f>
        <v>0.7983539095</v>
      </c>
      <c r="G18" s="190">
        <f>IFERROR(__xludf.DUMMYFUNCTION("""COMPUTED_VALUE"""),101.0)</f>
        <v>101</v>
      </c>
      <c r="H18" s="191">
        <f>IFERROR(__xludf.DUMMYFUNCTION("""COMPUTED_VALUE"""),0.9801980198019802)</f>
        <v>0.9801980198</v>
      </c>
      <c r="I18" s="191">
        <f>IFERROR(__xludf.DUMMYFUNCTION("""COMPUTED_VALUE"""),0.45544554455445546)</f>
        <v>0.4554455446</v>
      </c>
      <c r="J18" s="190">
        <f>IFERROR(__xludf.DUMMYFUNCTION("""COMPUTED_VALUE"""),344.0)</f>
        <v>344</v>
      </c>
      <c r="K18" s="191">
        <f>IFERROR(__xludf.DUMMYFUNCTION("""COMPUTED_VALUE"""),0.9941860465116279)</f>
        <v>0.9941860465</v>
      </c>
      <c r="L18" s="191">
        <f>IFERROR(__xludf.DUMMYFUNCTION("""COMPUTED_VALUE"""),0.6976744186046512)</f>
        <v>0.6976744186</v>
      </c>
    </row>
    <row r="19">
      <c r="A19" s="188" t="str">
        <f>IFERROR(__xludf.DUMMYFUNCTION("""COMPUTED_VALUE"""),"17")</f>
        <v>17</v>
      </c>
      <c r="B19" s="189" t="str">
        <f>IFERROR(__xludf.DUMMYFUNCTION("""COMPUTED_VALUE"""),"Nguyễn  Ngọc Hà")</f>
        <v>Nguyễn  Ngọc Hà</v>
      </c>
      <c r="C19" s="189" t="str">
        <f>IFERROR(__xludf.DUMMYFUNCTION("""COMPUTED_VALUE"""),"BC Thôn Tân Lập Quốc Lộ 26-Xã Cư M'ta-M'Đrắk-Đăk Lắk")</f>
        <v>BC Thôn Tân Lập Quốc Lộ 26-Xã Cư M'ta-M'Đrắk-Đăk Lắk</v>
      </c>
      <c r="D19" s="190">
        <f>IFERROR(__xludf.DUMMYFUNCTION("""COMPUTED_VALUE"""),347.0)</f>
        <v>347</v>
      </c>
      <c r="E19" s="191">
        <f>IFERROR(__xludf.DUMMYFUNCTION("""COMPUTED_VALUE"""),1.0)</f>
        <v>1</v>
      </c>
      <c r="F19" s="191">
        <f>IFERROR(__xludf.DUMMYFUNCTION("""COMPUTED_VALUE"""),0.7867435158501441)</f>
        <v>0.7867435159</v>
      </c>
      <c r="G19" s="190">
        <f>IFERROR(__xludf.DUMMYFUNCTION("""COMPUTED_VALUE"""),145.0)</f>
        <v>145</v>
      </c>
      <c r="H19" s="191">
        <f>IFERROR(__xludf.DUMMYFUNCTION("""COMPUTED_VALUE"""),0.9517241379310345)</f>
        <v>0.9517241379</v>
      </c>
      <c r="I19" s="191">
        <f>IFERROR(__xludf.DUMMYFUNCTION("""COMPUTED_VALUE"""),0.4896551724137931)</f>
        <v>0.4896551724</v>
      </c>
      <c r="J19" s="190">
        <f>IFERROR(__xludf.DUMMYFUNCTION("""COMPUTED_VALUE"""),492.0)</f>
        <v>492</v>
      </c>
      <c r="K19" s="191">
        <f>IFERROR(__xludf.DUMMYFUNCTION("""COMPUTED_VALUE"""),0.9857723577235772)</f>
        <v>0.9857723577</v>
      </c>
      <c r="L19" s="191">
        <f>IFERROR(__xludf.DUMMYFUNCTION("""COMPUTED_VALUE"""),0.6991869918699187)</f>
        <v>0.6991869919</v>
      </c>
    </row>
    <row r="20">
      <c r="A20" s="188" t="str">
        <f>IFERROR(__xludf.DUMMYFUNCTION("""COMPUTED_VALUE"""),"18")</f>
        <v>18</v>
      </c>
      <c r="B20" s="189" t="str">
        <f>IFERROR(__xludf.DUMMYFUNCTION("""COMPUTED_VALUE"""),"Nguyễn Thị Bảo Nhi")</f>
        <v>Nguyễn Thị Bảo Nhi</v>
      </c>
      <c r="C20" s="189" t="str">
        <f>IFERROR(__xludf.DUMMYFUNCTION("""COMPUTED_VALUE"""),"BC 245 Hùng Vương-Ea Súp-Đắk Lắk")</f>
        <v>BC 245 Hùng Vương-Ea Súp-Đắk Lắk</v>
      </c>
      <c r="D20" s="190">
        <f>IFERROR(__xludf.DUMMYFUNCTION("""COMPUTED_VALUE"""),319.0)</f>
        <v>319</v>
      </c>
      <c r="E20" s="191">
        <f>IFERROR(__xludf.DUMMYFUNCTION("""COMPUTED_VALUE"""),1.0)</f>
        <v>1</v>
      </c>
      <c r="F20" s="191">
        <f>IFERROR(__xludf.DUMMYFUNCTION("""COMPUTED_VALUE"""),0.7836990595611285)</f>
        <v>0.7836990596</v>
      </c>
      <c r="G20" s="190">
        <f>IFERROR(__xludf.DUMMYFUNCTION("""COMPUTED_VALUE"""),114.0)</f>
        <v>114</v>
      </c>
      <c r="H20" s="191">
        <f>IFERROR(__xludf.DUMMYFUNCTION("""COMPUTED_VALUE"""),0.9912280701754386)</f>
        <v>0.9912280702</v>
      </c>
      <c r="I20" s="191">
        <f>IFERROR(__xludf.DUMMYFUNCTION("""COMPUTED_VALUE"""),0.47368421052631576)</f>
        <v>0.4736842105</v>
      </c>
      <c r="J20" s="190">
        <f>IFERROR(__xludf.DUMMYFUNCTION("""COMPUTED_VALUE"""),433.0)</f>
        <v>433</v>
      </c>
      <c r="K20" s="191">
        <f>IFERROR(__xludf.DUMMYFUNCTION("""COMPUTED_VALUE"""),0.9976905311778291)</f>
        <v>0.9976905312</v>
      </c>
      <c r="L20" s="191">
        <f>IFERROR(__xludf.DUMMYFUNCTION("""COMPUTED_VALUE"""),0.7020785219399538)</f>
        <v>0.7020785219</v>
      </c>
    </row>
    <row r="21">
      <c r="A21" s="188" t="str">
        <f>IFERROR(__xludf.DUMMYFUNCTION("""COMPUTED_VALUE"""),"19")</f>
        <v>19</v>
      </c>
      <c r="B21" s="189" t="str">
        <f>IFERROR(__xludf.DUMMYFUNCTION("""COMPUTED_VALUE"""),"Mai Đức Hoàng Long")</f>
        <v>Mai Đức Hoàng Long</v>
      </c>
      <c r="C21" s="189" t="str">
        <f>IFERROR(__xludf.DUMMYFUNCTION("""COMPUTED_VALUE"""),"BC 64 Hùng Vương-Thị Trấn Krông Năng-Đắk Lắk")</f>
        <v>BC 64 Hùng Vương-Thị Trấn Krông Năng-Đắk Lắk</v>
      </c>
      <c r="D21" s="190">
        <f>IFERROR(__xludf.DUMMYFUNCTION("""COMPUTED_VALUE"""),416.0)</f>
        <v>416</v>
      </c>
      <c r="E21" s="191">
        <f>IFERROR(__xludf.DUMMYFUNCTION("""COMPUTED_VALUE"""),0.9951923076923077)</f>
        <v>0.9951923077</v>
      </c>
      <c r="F21" s="191">
        <f>IFERROR(__xludf.DUMMYFUNCTION("""COMPUTED_VALUE"""),0.7908653846153846)</f>
        <v>0.7908653846</v>
      </c>
      <c r="G21" s="192">
        <f>IFERROR(__xludf.DUMMYFUNCTION("""COMPUTED_VALUE"""),145.0)</f>
        <v>145</v>
      </c>
      <c r="H21" s="191">
        <f>IFERROR(__xludf.DUMMYFUNCTION("""COMPUTED_VALUE"""),0.9793103448275862)</f>
        <v>0.9793103448</v>
      </c>
      <c r="I21" s="191">
        <f>IFERROR(__xludf.DUMMYFUNCTION("""COMPUTED_VALUE"""),0.4482758620689655)</f>
        <v>0.4482758621</v>
      </c>
      <c r="J21" s="190">
        <f>IFERROR(__xludf.DUMMYFUNCTION("""COMPUTED_VALUE"""),561.0)</f>
        <v>561</v>
      </c>
      <c r="K21" s="191">
        <f>IFERROR(__xludf.DUMMYFUNCTION("""COMPUTED_VALUE"""),0.9910873440285205)</f>
        <v>0.991087344</v>
      </c>
      <c r="L21" s="191">
        <f>IFERROR(__xludf.DUMMYFUNCTION("""COMPUTED_VALUE"""),0.7023172905525846)</f>
        <v>0.7023172906</v>
      </c>
    </row>
    <row r="22">
      <c r="A22" s="188" t="str">
        <f>IFERROR(__xludf.DUMMYFUNCTION("""COMPUTED_VALUE"""),"20")</f>
        <v>20</v>
      </c>
      <c r="B22" s="189" t="str">
        <f>IFERROR(__xludf.DUMMYFUNCTION("""COMPUTED_VALUE"""),"Mai Đức Hoàng Long")</f>
        <v>Mai Đức Hoàng Long</v>
      </c>
      <c r="C22" s="189" t="str">
        <f>IFERROR(__xludf.DUMMYFUNCTION("""COMPUTED_VALUE"""),"BC 159 Tân Quảng-EaTóh-Krông Năng-Đắk Lắk")</f>
        <v>BC 159 Tân Quảng-EaTóh-Krông Năng-Đắk Lắk</v>
      </c>
      <c r="D22" s="190">
        <f>IFERROR(__xludf.DUMMYFUNCTION("""COMPUTED_VALUE"""),158.0)</f>
        <v>158</v>
      </c>
      <c r="E22" s="191">
        <f>IFERROR(__xludf.DUMMYFUNCTION("""COMPUTED_VALUE"""),0.9936708860759493)</f>
        <v>0.9936708861</v>
      </c>
      <c r="F22" s="191">
        <f>IFERROR(__xludf.DUMMYFUNCTION("""COMPUTED_VALUE"""),0.7911392405063291)</f>
        <v>0.7911392405</v>
      </c>
      <c r="G22" s="192">
        <f>IFERROR(__xludf.DUMMYFUNCTION("""COMPUTED_VALUE"""),71.0)</f>
        <v>71</v>
      </c>
      <c r="H22" s="191">
        <f>IFERROR(__xludf.DUMMYFUNCTION("""COMPUTED_VALUE"""),0.9859154929577465)</f>
        <v>0.985915493</v>
      </c>
      <c r="I22" s="191">
        <f>IFERROR(__xludf.DUMMYFUNCTION("""COMPUTED_VALUE"""),0.5211267605633803)</f>
        <v>0.5211267606</v>
      </c>
      <c r="J22" s="190">
        <f>IFERROR(__xludf.DUMMYFUNCTION("""COMPUTED_VALUE"""),229.0)</f>
        <v>229</v>
      </c>
      <c r="K22" s="191">
        <f>IFERROR(__xludf.DUMMYFUNCTION("""COMPUTED_VALUE"""),0.9912663755458515)</f>
        <v>0.9912663755</v>
      </c>
      <c r="L22" s="191">
        <f>IFERROR(__xludf.DUMMYFUNCTION("""COMPUTED_VALUE"""),0.7074235807860262)</f>
        <v>0.7074235808</v>
      </c>
    </row>
    <row r="23">
      <c r="A23" s="188" t="str">
        <f>IFERROR(__xludf.DUMMYFUNCTION("""COMPUTED_VALUE"""),"21")</f>
        <v>21</v>
      </c>
      <c r="B23" s="189" t="str">
        <f>IFERROR(__xludf.DUMMYFUNCTION("""COMPUTED_VALUE"""),"Nguyễn Văn Sáng")</f>
        <v>Nguyễn Văn Sáng</v>
      </c>
      <c r="C23" s="189" t="str">
        <f>IFERROR(__xludf.DUMMYFUNCTION("""COMPUTED_VALUE"""),"BC 03 Trần Hưng Đạo-Krông Pắc-Đắk Lắk")</f>
        <v>BC 03 Trần Hưng Đạo-Krông Pắc-Đắk Lắk</v>
      </c>
      <c r="D23" s="190">
        <f>IFERROR(__xludf.DUMMYFUNCTION("""COMPUTED_VALUE"""),720.0)</f>
        <v>720</v>
      </c>
      <c r="E23" s="191">
        <f>IFERROR(__xludf.DUMMYFUNCTION("""COMPUTED_VALUE"""),0.9916666666666667)</f>
        <v>0.9916666667</v>
      </c>
      <c r="F23" s="191">
        <f>IFERROR(__xludf.DUMMYFUNCTION("""COMPUTED_VALUE"""),0.8097222222222222)</f>
        <v>0.8097222222</v>
      </c>
      <c r="G23" s="190">
        <f>IFERROR(__xludf.DUMMYFUNCTION("""COMPUTED_VALUE"""),225.0)</f>
        <v>225</v>
      </c>
      <c r="H23" s="191">
        <f>IFERROR(__xludf.DUMMYFUNCTION("""COMPUTED_VALUE"""),0.9911111111111112)</f>
        <v>0.9911111111</v>
      </c>
      <c r="I23" s="191">
        <f>IFERROR(__xludf.DUMMYFUNCTION("""COMPUTED_VALUE"""),0.38222222222222224)</f>
        <v>0.3822222222</v>
      </c>
      <c r="J23" s="190">
        <f>IFERROR(__xludf.DUMMYFUNCTION("""COMPUTED_VALUE"""),945.0)</f>
        <v>945</v>
      </c>
      <c r="K23" s="191">
        <f>IFERROR(__xludf.DUMMYFUNCTION("""COMPUTED_VALUE"""),0.9915343915343915)</f>
        <v>0.9915343915</v>
      </c>
      <c r="L23" s="191">
        <f>IFERROR(__xludf.DUMMYFUNCTION("""COMPUTED_VALUE"""),0.707936507936508)</f>
        <v>0.7079365079</v>
      </c>
    </row>
    <row r="24">
      <c r="A24" s="188" t="str">
        <f>IFERROR(__xludf.DUMMYFUNCTION("""COMPUTED_VALUE"""),"22")</f>
        <v>22</v>
      </c>
      <c r="B24" s="189" t="str">
        <f>IFERROR(__xludf.DUMMYFUNCTION("""COMPUTED_VALUE"""),"Huỳnh Thị Mới ")</f>
        <v>Huỳnh Thị Mới </v>
      </c>
      <c r="C24" s="189" t="str">
        <f>IFERROR(__xludf.DUMMYFUNCTION("""COMPUTED_VALUE"""),"BC KP3 TT Hai Riềng-Sông Hinh-Phú Yên")</f>
        <v>BC KP3 TT Hai Riềng-Sông Hinh-Phú Yên</v>
      </c>
      <c r="D24" s="190">
        <f>IFERROR(__xludf.DUMMYFUNCTION("""COMPUTED_VALUE"""),717.0)</f>
        <v>717</v>
      </c>
      <c r="E24" s="191">
        <f>IFERROR(__xludf.DUMMYFUNCTION("""COMPUTED_VALUE"""),0.99302649930265)</f>
        <v>0.9930264993</v>
      </c>
      <c r="F24" s="191">
        <f>IFERROR(__xludf.DUMMYFUNCTION("""COMPUTED_VALUE"""),0.7642956764295676)</f>
        <v>0.7642956764</v>
      </c>
      <c r="G24" s="190">
        <f>IFERROR(__xludf.DUMMYFUNCTION("""COMPUTED_VALUE"""),142.0)</f>
        <v>142</v>
      </c>
      <c r="H24" s="191">
        <f>IFERROR(__xludf.DUMMYFUNCTION("""COMPUTED_VALUE"""),0.9788732394366197)</f>
        <v>0.9788732394</v>
      </c>
      <c r="I24" s="191">
        <f>IFERROR(__xludf.DUMMYFUNCTION("""COMPUTED_VALUE"""),0.44366197183098594)</f>
        <v>0.4436619718</v>
      </c>
      <c r="J24" s="190">
        <f>IFERROR(__xludf.DUMMYFUNCTION("""COMPUTED_VALUE"""),859.0)</f>
        <v>859</v>
      </c>
      <c r="K24" s="191">
        <f>IFERROR(__xludf.DUMMYFUNCTION("""COMPUTED_VALUE"""),0.9906868451688009)</f>
        <v>0.9906868452</v>
      </c>
      <c r="L24" s="191">
        <f>IFERROR(__xludf.DUMMYFUNCTION("""COMPUTED_VALUE"""),0.7112922002328289)</f>
        <v>0.7112922002</v>
      </c>
    </row>
    <row r="25">
      <c r="A25" s="188" t="str">
        <f>IFERROR(__xludf.DUMMYFUNCTION("""COMPUTED_VALUE"""),"23")</f>
        <v>23</v>
      </c>
      <c r="B25" s="189" t="str">
        <f>IFERROR(__xludf.DUMMYFUNCTION("""COMPUTED_VALUE"""),"Nguyễn  Hoàng Anh ")</f>
        <v>Nguyễn  Hoàng Anh </v>
      </c>
      <c r="C25" s="189" t="str">
        <f>IFERROR(__xludf.DUMMYFUNCTION("""COMPUTED_VALUE"""),"BC 271 Nguyễn Văn Cừ-Tân Lập-Đắk Lắk")</f>
        <v>BC 271 Nguyễn Văn Cừ-Tân Lập-Đắk Lắk</v>
      </c>
      <c r="D25" s="190">
        <f>IFERROR(__xludf.DUMMYFUNCTION("""COMPUTED_VALUE"""),593.0)</f>
        <v>593</v>
      </c>
      <c r="E25" s="191">
        <f>IFERROR(__xludf.DUMMYFUNCTION("""COMPUTED_VALUE"""),0.984822934232715)</f>
        <v>0.9848229342</v>
      </c>
      <c r="F25" s="191">
        <f>IFERROR(__xludf.DUMMYFUNCTION("""COMPUTED_VALUE"""),0.8026981450252951)</f>
        <v>0.802698145</v>
      </c>
      <c r="G25" s="190">
        <f>IFERROR(__xludf.DUMMYFUNCTION("""COMPUTED_VALUE"""),218.0)</f>
        <v>218</v>
      </c>
      <c r="H25" s="191">
        <f>IFERROR(__xludf.DUMMYFUNCTION("""COMPUTED_VALUE"""),0.9862385321100917)</f>
        <v>0.9862385321</v>
      </c>
      <c r="I25" s="191">
        <f>IFERROR(__xludf.DUMMYFUNCTION("""COMPUTED_VALUE"""),0.463302752293578)</f>
        <v>0.4633027523</v>
      </c>
      <c r="J25" s="190">
        <f>IFERROR(__xludf.DUMMYFUNCTION("""COMPUTED_VALUE"""),811.0)</f>
        <v>811</v>
      </c>
      <c r="K25" s="191">
        <f>IFERROR(__xludf.DUMMYFUNCTION("""COMPUTED_VALUE"""),0.9852034525277436)</f>
        <v>0.9852034525</v>
      </c>
      <c r="L25" s="191">
        <f>IFERROR(__xludf.DUMMYFUNCTION("""COMPUTED_VALUE"""),0.7114673242909988)</f>
        <v>0.7114673243</v>
      </c>
    </row>
    <row r="26">
      <c r="A26" s="188" t="str">
        <f>IFERROR(__xludf.DUMMYFUNCTION("""COMPUTED_VALUE"""),"24")</f>
        <v>24</v>
      </c>
      <c r="B26" s="189" t="str">
        <f>IFERROR(__xludf.DUMMYFUNCTION("""COMPUTED_VALUE"""),"Nguyễn  Ngọc Hà")</f>
        <v>Nguyễn  Ngọc Hà</v>
      </c>
      <c r="C26" s="189" t="str">
        <f>IFERROR(__xludf.DUMMYFUNCTION("""COMPUTED_VALUE"""),"BC 125 Lý Chính Thắng-Buôn Ma Thuột-Đắk Lắk")</f>
        <v>BC 125 Lý Chính Thắng-Buôn Ma Thuột-Đắk Lắk</v>
      </c>
      <c r="D26" s="190">
        <f>IFERROR(__xludf.DUMMYFUNCTION("""COMPUTED_VALUE"""),445.0)</f>
        <v>445</v>
      </c>
      <c r="E26" s="191">
        <f>IFERROR(__xludf.DUMMYFUNCTION("""COMPUTED_VALUE"""),0.9595505617977528)</f>
        <v>0.9595505618</v>
      </c>
      <c r="F26" s="191">
        <f>IFERROR(__xludf.DUMMYFUNCTION("""COMPUTED_VALUE"""),0.8382022471910112)</f>
        <v>0.8382022472</v>
      </c>
      <c r="G26" s="190">
        <f>IFERROR(__xludf.DUMMYFUNCTION("""COMPUTED_VALUE"""),417.0)</f>
        <v>417</v>
      </c>
      <c r="H26" s="191">
        <f>IFERROR(__xludf.DUMMYFUNCTION("""COMPUTED_VALUE"""),0.9640287769784173)</f>
        <v>0.964028777</v>
      </c>
      <c r="I26" s="191">
        <f>IFERROR(__xludf.DUMMYFUNCTION("""COMPUTED_VALUE"""),0.5995203836930456)</f>
        <v>0.5995203837</v>
      </c>
      <c r="J26" s="190">
        <f>IFERROR(__xludf.DUMMYFUNCTION("""COMPUTED_VALUE"""),862.0)</f>
        <v>862</v>
      </c>
      <c r="K26" s="191">
        <f>IFERROR(__xludf.DUMMYFUNCTION("""COMPUTED_VALUE"""),0.9617169373549884)</f>
        <v>0.9617169374</v>
      </c>
      <c r="L26" s="191">
        <f>IFERROR(__xludf.DUMMYFUNCTION("""COMPUTED_VALUE"""),0.722737819025522)</f>
        <v>0.722737819</v>
      </c>
    </row>
    <row r="27">
      <c r="A27" s="188" t="str">
        <f>IFERROR(__xludf.DUMMYFUNCTION("""COMPUTED_VALUE"""),"25")</f>
        <v>25</v>
      </c>
      <c r="B27" s="189" t="str">
        <f>IFERROR(__xludf.DUMMYFUNCTION("""COMPUTED_VALUE"""),"Nguyễn Công Luận")</f>
        <v>Nguyễn Công Luận</v>
      </c>
      <c r="C27" s="189" t="str">
        <f>IFERROR(__xludf.DUMMYFUNCTION("""COMPUTED_VALUE"""),"BC 138 Hùng Vương-Phú Thiện-Gia Lai")</f>
        <v>BC 138 Hùng Vương-Phú Thiện-Gia Lai</v>
      </c>
      <c r="D27" s="190">
        <f>IFERROR(__xludf.DUMMYFUNCTION("""COMPUTED_VALUE"""),608.0)</f>
        <v>608</v>
      </c>
      <c r="E27" s="191">
        <f>IFERROR(__xludf.DUMMYFUNCTION("""COMPUTED_VALUE"""),0.9983552631578947)</f>
        <v>0.9983552632</v>
      </c>
      <c r="F27" s="191">
        <f>IFERROR(__xludf.DUMMYFUNCTION("""COMPUTED_VALUE"""),0.805921052631579)</f>
        <v>0.8059210526</v>
      </c>
      <c r="G27" s="190">
        <f>IFERROR(__xludf.DUMMYFUNCTION("""COMPUTED_VALUE"""),133.0)</f>
        <v>133</v>
      </c>
      <c r="H27" s="191">
        <f>IFERROR(__xludf.DUMMYFUNCTION("""COMPUTED_VALUE"""),0.9548872180451128)</f>
        <v>0.954887218</v>
      </c>
      <c r="I27" s="191">
        <f>IFERROR(__xludf.DUMMYFUNCTION("""COMPUTED_VALUE"""),0.3458646616541353)</f>
        <v>0.3458646617</v>
      </c>
      <c r="J27" s="190">
        <f>IFERROR(__xludf.DUMMYFUNCTION("""COMPUTED_VALUE"""),741.0)</f>
        <v>741</v>
      </c>
      <c r="K27" s="191">
        <f>IFERROR(__xludf.DUMMYFUNCTION("""COMPUTED_VALUE"""),0.99055330634278)</f>
        <v>0.9905533063</v>
      </c>
      <c r="L27" s="191">
        <f>IFERROR(__xludf.DUMMYFUNCTION("""COMPUTED_VALUE"""),0.7233468286099866)</f>
        <v>0.7233468286</v>
      </c>
    </row>
    <row r="28">
      <c r="A28" s="188" t="str">
        <f>IFERROR(__xludf.DUMMYFUNCTION("""COMPUTED_VALUE"""),"26")</f>
        <v>26</v>
      </c>
      <c r="B28" s="189" t="str">
        <f>IFERROR(__xludf.DUMMYFUNCTION("""COMPUTED_VALUE"""),"Phan Thị Mỹ Chi")</f>
        <v>Phan Thị Mỹ Chi</v>
      </c>
      <c r="C28" s="189" t="str">
        <f>IFERROR(__xludf.DUMMYFUNCTION("""COMPUTED_VALUE"""),"BC 153 Hùng Vương-Ia Grai-Gia Lai")</f>
        <v>BC 153 Hùng Vương-Ia Grai-Gia Lai</v>
      </c>
      <c r="D28" s="190">
        <f>IFERROR(__xludf.DUMMYFUNCTION("""COMPUTED_VALUE"""),511.0)</f>
        <v>511</v>
      </c>
      <c r="E28" s="191">
        <f>IFERROR(__xludf.DUMMYFUNCTION("""COMPUTED_VALUE"""),0.9843444227005871)</f>
        <v>0.9843444227</v>
      </c>
      <c r="F28" s="191">
        <f>IFERROR(__xludf.DUMMYFUNCTION("""COMPUTED_VALUE"""),0.8277886497064579)</f>
        <v>0.8277886497</v>
      </c>
      <c r="G28" s="190">
        <f>IFERROR(__xludf.DUMMYFUNCTION("""COMPUTED_VALUE"""),132.0)</f>
        <v>132</v>
      </c>
      <c r="H28" s="191">
        <f>IFERROR(__xludf.DUMMYFUNCTION("""COMPUTED_VALUE"""),0.9696969696969697)</f>
        <v>0.9696969697</v>
      </c>
      <c r="I28" s="191">
        <f>IFERROR(__xludf.DUMMYFUNCTION("""COMPUTED_VALUE"""),0.3560606060606061)</f>
        <v>0.3560606061</v>
      </c>
      <c r="J28" s="190">
        <f>IFERROR(__xludf.DUMMYFUNCTION("""COMPUTED_VALUE"""),643.0)</f>
        <v>643</v>
      </c>
      <c r="K28" s="191">
        <f>IFERROR(__xludf.DUMMYFUNCTION("""COMPUTED_VALUE"""),0.9813374805598756)</f>
        <v>0.9813374806</v>
      </c>
      <c r="L28" s="191">
        <f>IFERROR(__xludf.DUMMYFUNCTION("""COMPUTED_VALUE"""),0.7309486780715396)</f>
        <v>0.7309486781</v>
      </c>
    </row>
    <row r="29">
      <c r="A29" s="188" t="str">
        <f>IFERROR(__xludf.DUMMYFUNCTION("""COMPUTED_VALUE"""),"27")</f>
        <v>27</v>
      </c>
      <c r="B29" s="189" t="str">
        <f>IFERROR(__xludf.DUMMYFUNCTION("""COMPUTED_VALUE"""),"Nguyễn Văn Sáng")</f>
        <v>Nguyễn Văn Sáng</v>
      </c>
      <c r="C29" s="189" t="str">
        <f>IFERROR(__xludf.DUMMYFUNCTION("""COMPUTED_VALUE"""),"BC 132 Hoàng Hoa Thám-Buôn Ma Thuột-Đắk Lắk")</f>
        <v>BC 132 Hoàng Hoa Thám-Buôn Ma Thuột-Đắk Lắk</v>
      </c>
      <c r="D29" s="190">
        <f>IFERROR(__xludf.DUMMYFUNCTION("""COMPUTED_VALUE"""),521.0)</f>
        <v>521</v>
      </c>
      <c r="E29" s="191">
        <f>IFERROR(__xludf.DUMMYFUNCTION("""COMPUTED_VALUE"""),0.9788867562380038)</f>
        <v>0.9788867562</v>
      </c>
      <c r="F29" s="191">
        <f>IFERROR(__xludf.DUMMYFUNCTION("""COMPUTED_VALUE"""),0.8291746641074856)</f>
        <v>0.8291746641</v>
      </c>
      <c r="G29" s="190">
        <f>IFERROR(__xludf.DUMMYFUNCTION("""COMPUTED_VALUE"""),288.0)</f>
        <v>288</v>
      </c>
      <c r="H29" s="191">
        <f>IFERROR(__xludf.DUMMYFUNCTION("""COMPUTED_VALUE"""),0.9861111111111112)</f>
        <v>0.9861111111</v>
      </c>
      <c r="I29" s="191">
        <f>IFERROR(__xludf.DUMMYFUNCTION("""COMPUTED_VALUE"""),0.5625)</f>
        <v>0.5625</v>
      </c>
      <c r="J29" s="190">
        <f>IFERROR(__xludf.DUMMYFUNCTION("""COMPUTED_VALUE"""),809.0)</f>
        <v>809</v>
      </c>
      <c r="K29" s="191">
        <f>IFERROR(__xludf.DUMMYFUNCTION("""COMPUTED_VALUE"""),0.9814585908529048)</f>
        <v>0.9814585909</v>
      </c>
      <c r="L29" s="191">
        <f>IFERROR(__xludf.DUMMYFUNCTION("""COMPUTED_VALUE"""),0.7342398022249691)</f>
        <v>0.7342398022</v>
      </c>
    </row>
    <row r="30">
      <c r="A30" s="188" t="str">
        <f>IFERROR(__xludf.DUMMYFUNCTION("""COMPUTED_VALUE"""),"28")</f>
        <v>28</v>
      </c>
      <c r="B30" s="189" t="str">
        <f>IFERROR(__xludf.DUMMYFUNCTION("""COMPUTED_VALUE"""),"Lê Văn Tài")</f>
        <v>Lê Văn Tài</v>
      </c>
      <c r="C30" s="189" t="str">
        <f>IFERROR(__xludf.DUMMYFUNCTION("""COMPUTED_VALUE"""),"BC 297 Hùng Vương-CưMgar-Đắk Lắk")</f>
        <v>BC 297 Hùng Vương-CưMgar-Đắk Lắk</v>
      </c>
      <c r="D30" s="190">
        <f>IFERROR(__xludf.DUMMYFUNCTION("""COMPUTED_VALUE"""),931.0)</f>
        <v>931</v>
      </c>
      <c r="E30" s="191">
        <f>IFERROR(__xludf.DUMMYFUNCTION("""COMPUTED_VALUE"""),0.9957035445757251)</f>
        <v>0.9957035446</v>
      </c>
      <c r="F30" s="191">
        <f>IFERROR(__xludf.DUMMYFUNCTION("""COMPUTED_VALUE"""),0.8216970998925887)</f>
        <v>0.8216970999</v>
      </c>
      <c r="G30" s="190">
        <f>IFERROR(__xludf.DUMMYFUNCTION("""COMPUTED_VALUE"""),254.0)</f>
        <v>254</v>
      </c>
      <c r="H30" s="191">
        <f>IFERROR(__xludf.DUMMYFUNCTION("""COMPUTED_VALUE"""),0.9881889763779528)</f>
        <v>0.9881889764</v>
      </c>
      <c r="I30" s="191">
        <f>IFERROR(__xludf.DUMMYFUNCTION("""COMPUTED_VALUE"""),0.43700787401574803)</f>
        <v>0.437007874</v>
      </c>
      <c r="J30" s="190">
        <f>IFERROR(__xludf.DUMMYFUNCTION("""COMPUTED_VALUE"""),1185.0)</f>
        <v>1185</v>
      </c>
      <c r="K30" s="191">
        <f>IFERROR(__xludf.DUMMYFUNCTION("""COMPUTED_VALUE"""),0.9940928270042194)</f>
        <v>0.994092827</v>
      </c>
      <c r="L30" s="191">
        <f>IFERROR(__xludf.DUMMYFUNCTION("""COMPUTED_VALUE"""),0.739240506329114)</f>
        <v>0.7392405063</v>
      </c>
    </row>
    <row r="31">
      <c r="A31" s="188" t="str">
        <f>IFERROR(__xludf.DUMMYFUNCTION("""COMPUTED_VALUE"""),"29")</f>
        <v>29</v>
      </c>
      <c r="B31" s="189" t="str">
        <f>IFERROR(__xludf.DUMMYFUNCTION("""COMPUTED_VALUE"""),"Nguyễn Thị Bảo Nhi")</f>
        <v>Nguyễn Thị Bảo Nhi</v>
      </c>
      <c r="C31" s="189" t="str">
        <f>IFERROR(__xludf.DUMMYFUNCTION("""COMPUTED_VALUE"""),"BC Thị Trấn Buôn Trấp-Krông A Na-Đắk Lắk")</f>
        <v>BC Thị Trấn Buôn Trấp-Krông A Na-Đắk Lắk</v>
      </c>
      <c r="D31" s="190">
        <f>IFERROR(__xludf.DUMMYFUNCTION("""COMPUTED_VALUE"""),448.0)</f>
        <v>448</v>
      </c>
      <c r="E31" s="191">
        <f>IFERROR(__xludf.DUMMYFUNCTION("""COMPUTED_VALUE"""),0.9977678571428571)</f>
        <v>0.9977678571</v>
      </c>
      <c r="F31" s="191">
        <f>IFERROR(__xludf.DUMMYFUNCTION("""COMPUTED_VALUE"""),0.8660714285714286)</f>
        <v>0.8660714286</v>
      </c>
      <c r="G31" s="190">
        <f>IFERROR(__xludf.DUMMYFUNCTION("""COMPUTED_VALUE"""),151.0)</f>
        <v>151</v>
      </c>
      <c r="H31" s="191">
        <f>IFERROR(__xludf.DUMMYFUNCTION("""COMPUTED_VALUE"""),0.9867549668874173)</f>
        <v>0.9867549669</v>
      </c>
      <c r="I31" s="191">
        <f>IFERROR(__xludf.DUMMYFUNCTION("""COMPUTED_VALUE"""),0.3973509933774834)</f>
        <v>0.3973509934</v>
      </c>
      <c r="J31" s="190">
        <f>IFERROR(__xludf.DUMMYFUNCTION("""COMPUTED_VALUE"""),599.0)</f>
        <v>599</v>
      </c>
      <c r="K31" s="191">
        <f>IFERROR(__xludf.DUMMYFUNCTION("""COMPUTED_VALUE"""),0.994991652754591)</f>
        <v>0.9949916528</v>
      </c>
      <c r="L31" s="191">
        <f>IFERROR(__xludf.DUMMYFUNCTION("""COMPUTED_VALUE"""),0.7479131886477463)</f>
        <v>0.7479131886</v>
      </c>
    </row>
    <row r="32">
      <c r="A32" s="188" t="str">
        <f>IFERROR(__xludf.DUMMYFUNCTION("""COMPUTED_VALUE"""),"30")</f>
        <v>30</v>
      </c>
      <c r="B32" s="189" t="str">
        <f>IFERROR(__xludf.DUMMYFUNCTION("""COMPUTED_VALUE"""),"Lê Trọng Khiêm")</f>
        <v>Lê Trọng Khiêm</v>
      </c>
      <c r="C32" s="189" t="str">
        <f>IFERROR(__xludf.DUMMYFUNCTION("""COMPUTED_VALUE"""),"BC 138 Trần Phú- Đồng Xuân- Phú Yên")</f>
        <v>BC 138 Trần Phú- Đồng Xuân- Phú Yên</v>
      </c>
      <c r="D32" s="190">
        <f>IFERROR(__xludf.DUMMYFUNCTION("""COMPUTED_VALUE"""),408.0)</f>
        <v>408</v>
      </c>
      <c r="E32" s="191">
        <f>IFERROR(__xludf.DUMMYFUNCTION("""COMPUTED_VALUE"""),0.8995098039215687)</f>
        <v>0.8995098039</v>
      </c>
      <c r="F32" s="191">
        <f>IFERROR(__xludf.DUMMYFUNCTION("""COMPUTED_VALUE"""),0.803921568627451)</f>
        <v>0.8039215686</v>
      </c>
      <c r="G32" s="190">
        <f>IFERROR(__xludf.DUMMYFUNCTION("""COMPUTED_VALUE"""),90.0)</f>
        <v>90</v>
      </c>
      <c r="H32" s="191">
        <f>IFERROR(__xludf.DUMMYFUNCTION("""COMPUTED_VALUE"""),0.9888888888888889)</f>
        <v>0.9888888889</v>
      </c>
      <c r="I32" s="191">
        <f>IFERROR(__xludf.DUMMYFUNCTION("""COMPUTED_VALUE"""),0.5444444444444444)</f>
        <v>0.5444444444</v>
      </c>
      <c r="J32" s="190">
        <f>IFERROR(__xludf.DUMMYFUNCTION("""COMPUTED_VALUE"""),498.0)</f>
        <v>498</v>
      </c>
      <c r="K32" s="191">
        <f>IFERROR(__xludf.DUMMYFUNCTION("""COMPUTED_VALUE"""),0.9156626506024096)</f>
        <v>0.9156626506</v>
      </c>
      <c r="L32" s="191">
        <f>IFERROR(__xludf.DUMMYFUNCTION("""COMPUTED_VALUE"""),0.7570281124497992)</f>
        <v>0.7570281124</v>
      </c>
    </row>
    <row r="33">
      <c r="A33" s="188" t="str">
        <f>IFERROR(__xludf.DUMMYFUNCTION("""COMPUTED_VALUE"""),"31")</f>
        <v>31</v>
      </c>
      <c r="B33" s="189" t="str">
        <f>IFERROR(__xludf.DUMMYFUNCTION("""COMPUTED_VALUE"""),"Phan Thanh Thức")</f>
        <v>Phan Thanh Thức</v>
      </c>
      <c r="C33" s="189" t="str">
        <f>IFERROR(__xludf.DUMMYFUNCTION("""COMPUTED_VALUE"""),"BC Khu Vực Kim Châu-An Nhơn-Bình Định")</f>
        <v>BC Khu Vực Kim Châu-An Nhơn-Bình Định</v>
      </c>
      <c r="D33" s="190">
        <f>IFERROR(__xludf.DUMMYFUNCTION("""COMPUTED_VALUE"""),1438.0)</f>
        <v>1438</v>
      </c>
      <c r="E33" s="191">
        <f>IFERROR(__xludf.DUMMYFUNCTION("""COMPUTED_VALUE"""),0.9937413073713491)</f>
        <v>0.9937413074</v>
      </c>
      <c r="F33" s="191">
        <f>IFERROR(__xludf.DUMMYFUNCTION("""COMPUTED_VALUE"""),0.825452016689847)</f>
        <v>0.8254520167</v>
      </c>
      <c r="G33" s="190">
        <f>IFERROR(__xludf.DUMMYFUNCTION("""COMPUTED_VALUE"""),285.0)</f>
        <v>285</v>
      </c>
      <c r="H33" s="191">
        <f>IFERROR(__xludf.DUMMYFUNCTION("""COMPUTED_VALUE"""),0.968421052631579)</f>
        <v>0.9684210526</v>
      </c>
      <c r="I33" s="191">
        <f>IFERROR(__xludf.DUMMYFUNCTION("""COMPUTED_VALUE"""),0.42105263157894735)</f>
        <v>0.4210526316</v>
      </c>
      <c r="J33" s="190">
        <f>IFERROR(__xludf.DUMMYFUNCTION("""COMPUTED_VALUE"""),1723.0)</f>
        <v>1723</v>
      </c>
      <c r="K33" s="191">
        <f>IFERROR(__xludf.DUMMYFUNCTION("""COMPUTED_VALUE"""),0.9895531050493326)</f>
        <v>0.989553105</v>
      </c>
      <c r="L33" s="191">
        <f>IFERROR(__xludf.DUMMYFUNCTION("""COMPUTED_VALUE"""),0.7585606500290192)</f>
        <v>0.75856065</v>
      </c>
    </row>
    <row r="34">
      <c r="A34" s="188" t="str">
        <f>IFERROR(__xludf.DUMMYFUNCTION("""COMPUTED_VALUE"""),"32")</f>
        <v>32</v>
      </c>
      <c r="B34" s="189" t="str">
        <f>IFERROR(__xludf.DUMMYFUNCTION("""COMPUTED_VALUE"""),"Nguyễn  Hoàng Anh ")</f>
        <v>Nguyễn  Hoàng Anh </v>
      </c>
      <c r="C34" s="189" t="str">
        <f>IFERROR(__xludf.DUMMYFUNCTION("""COMPUTED_VALUE"""),"BC TDP3 Thị Trấn Krông Kmart-Krông Bông-Đắk Lắk")</f>
        <v>BC TDP3 Thị Trấn Krông Kmart-Krông Bông-Đắk Lắk</v>
      </c>
      <c r="D34" s="190">
        <f>IFERROR(__xludf.DUMMYFUNCTION("""COMPUTED_VALUE"""),454.0)</f>
        <v>454</v>
      </c>
      <c r="E34" s="191">
        <f>IFERROR(__xludf.DUMMYFUNCTION("""COMPUTED_VALUE"""),1.0)</f>
        <v>1</v>
      </c>
      <c r="F34" s="191">
        <f>IFERROR(__xludf.DUMMYFUNCTION("""COMPUTED_VALUE"""),0.8568281938325991)</f>
        <v>0.8568281938</v>
      </c>
      <c r="G34" s="190">
        <f>IFERROR(__xludf.DUMMYFUNCTION("""COMPUTED_VALUE"""),113.0)</f>
        <v>113</v>
      </c>
      <c r="H34" s="191">
        <f>IFERROR(__xludf.DUMMYFUNCTION("""COMPUTED_VALUE"""),0.9911504424778761)</f>
        <v>0.9911504425</v>
      </c>
      <c r="I34" s="191">
        <f>IFERROR(__xludf.DUMMYFUNCTION("""COMPUTED_VALUE"""),0.37168141592920356)</f>
        <v>0.3716814159</v>
      </c>
      <c r="J34" s="190">
        <f>IFERROR(__xludf.DUMMYFUNCTION("""COMPUTED_VALUE"""),567.0)</f>
        <v>567</v>
      </c>
      <c r="K34" s="191">
        <f>IFERROR(__xludf.DUMMYFUNCTION("""COMPUTED_VALUE"""),0.9982363315696648)</f>
        <v>0.9982363316</v>
      </c>
      <c r="L34" s="191">
        <f>IFERROR(__xludf.DUMMYFUNCTION("""COMPUTED_VALUE"""),0.7601410934744268)</f>
        <v>0.7601410935</v>
      </c>
    </row>
    <row r="35">
      <c r="A35" s="188" t="str">
        <f>IFERROR(__xludf.DUMMYFUNCTION("""COMPUTED_VALUE"""),"33")</f>
        <v>33</v>
      </c>
      <c r="B35" s="189" t="str">
        <f>IFERROR(__xludf.DUMMYFUNCTION("""COMPUTED_VALUE"""),"Nguyễn Đình Trung")</f>
        <v>Nguyễn Đình Trung</v>
      </c>
      <c r="C35" s="189" t="str">
        <f>IFERROR(__xludf.DUMMYFUNCTION("""COMPUTED_VALUE"""),"BC 414 Trần Hưng Đạo-Mang Yang-Gia Lai")</f>
        <v>BC 414 Trần Hưng Đạo-Mang Yang-Gia Lai</v>
      </c>
      <c r="D35" s="190">
        <f>IFERROR(__xludf.DUMMYFUNCTION("""COMPUTED_VALUE"""),457.0)</f>
        <v>457</v>
      </c>
      <c r="E35" s="191">
        <f>IFERROR(__xludf.DUMMYFUNCTION("""COMPUTED_VALUE"""),0.9978118161925602)</f>
        <v>0.9978118162</v>
      </c>
      <c r="F35" s="191">
        <f>IFERROR(__xludf.DUMMYFUNCTION("""COMPUTED_VALUE"""),0.824945295404814)</f>
        <v>0.8249452954</v>
      </c>
      <c r="G35" s="190">
        <f>IFERROR(__xludf.DUMMYFUNCTION("""COMPUTED_VALUE"""),77.0)</f>
        <v>77</v>
      </c>
      <c r="H35" s="191">
        <f>IFERROR(__xludf.DUMMYFUNCTION("""COMPUTED_VALUE"""),0.948051948051948)</f>
        <v>0.9480519481</v>
      </c>
      <c r="I35" s="191">
        <f>IFERROR(__xludf.DUMMYFUNCTION("""COMPUTED_VALUE"""),0.4025974025974026)</f>
        <v>0.4025974026</v>
      </c>
      <c r="J35" s="190">
        <f>IFERROR(__xludf.DUMMYFUNCTION("""COMPUTED_VALUE"""),534.0)</f>
        <v>534</v>
      </c>
      <c r="K35" s="191">
        <f>IFERROR(__xludf.DUMMYFUNCTION("""COMPUTED_VALUE"""),0.9906367041198502)</f>
        <v>0.9906367041</v>
      </c>
      <c r="L35" s="191">
        <f>IFERROR(__xludf.DUMMYFUNCTION("""COMPUTED_VALUE"""),0.7640449438202247)</f>
        <v>0.7640449438</v>
      </c>
    </row>
    <row r="36">
      <c r="A36" s="188" t="str">
        <f>IFERROR(__xludf.DUMMYFUNCTION("""COMPUTED_VALUE"""),"34")</f>
        <v>34</v>
      </c>
      <c r="B36" s="189" t="str">
        <f>IFERROR(__xludf.DUMMYFUNCTION("""COMPUTED_VALUE"""),"Ngô  Thị Bích Trâm ")</f>
        <v>Ngô  Thị Bích Trâm </v>
      </c>
      <c r="C36" s="189" t="str">
        <f>IFERROR(__xludf.DUMMYFUNCTION("""COMPUTED_VALUE"""),"BC 499 Phạm Văn Đồng-Pleiku-Gia Lai")</f>
        <v>BC 499 Phạm Văn Đồng-Pleiku-Gia Lai</v>
      </c>
      <c r="D36" s="190">
        <f>IFERROR(__xludf.DUMMYFUNCTION("""COMPUTED_VALUE"""),1078.0)</f>
        <v>1078</v>
      </c>
      <c r="E36" s="191">
        <f>IFERROR(__xludf.DUMMYFUNCTION("""COMPUTED_VALUE"""),0.9962894248608535)</f>
        <v>0.9962894249</v>
      </c>
      <c r="F36" s="191">
        <f>IFERROR(__xludf.DUMMYFUNCTION("""COMPUTED_VALUE"""),0.8256029684601113)</f>
        <v>0.8256029685</v>
      </c>
      <c r="G36" s="190">
        <f>IFERROR(__xludf.DUMMYFUNCTION("""COMPUTED_VALUE"""),165.0)</f>
        <v>165</v>
      </c>
      <c r="H36" s="191">
        <f>IFERROR(__xludf.DUMMYFUNCTION("""COMPUTED_VALUE"""),0.9515151515151515)</f>
        <v>0.9515151515</v>
      </c>
      <c r="I36" s="191">
        <f>IFERROR(__xludf.DUMMYFUNCTION("""COMPUTED_VALUE"""),0.3939393939393939)</f>
        <v>0.3939393939</v>
      </c>
      <c r="J36" s="190">
        <f>IFERROR(__xludf.DUMMYFUNCTION("""COMPUTED_VALUE"""),1243.0)</f>
        <v>1243</v>
      </c>
      <c r="K36" s="191">
        <f>IFERROR(__xludf.DUMMYFUNCTION("""COMPUTED_VALUE"""),0.9903459372485921)</f>
        <v>0.9903459372</v>
      </c>
      <c r="L36" s="191">
        <f>IFERROR(__xludf.DUMMYFUNCTION("""COMPUTED_VALUE"""),0.7683024939662108)</f>
        <v>0.768302494</v>
      </c>
    </row>
    <row r="37">
      <c r="A37" s="188" t="str">
        <f>IFERROR(__xludf.DUMMYFUNCTION("""COMPUTED_VALUE"""),"35")</f>
        <v>35</v>
      </c>
      <c r="B37" s="189" t="str">
        <f>IFERROR(__xludf.DUMMYFUNCTION("""COMPUTED_VALUE"""),"Huỳnh Thị Mới ")</f>
        <v>Huỳnh Thị Mới </v>
      </c>
      <c r="C37" s="189" t="str">
        <f>IFERROR(__xludf.DUMMYFUNCTION("""COMPUTED_VALUE"""),"BC 274 Hùng Vương-Tuy Hòa-Phú Yên")</f>
        <v>BC 274 Hùng Vương-Tuy Hòa-Phú Yên</v>
      </c>
      <c r="D37" s="190">
        <f>IFERROR(__xludf.DUMMYFUNCTION("""COMPUTED_VALUE"""),1156.0)</f>
        <v>1156</v>
      </c>
      <c r="E37" s="191">
        <f>IFERROR(__xludf.DUMMYFUNCTION("""COMPUTED_VALUE"""),0.9982698961937716)</f>
        <v>0.9982698962</v>
      </c>
      <c r="F37" s="191">
        <f>IFERROR(__xludf.DUMMYFUNCTION("""COMPUTED_VALUE"""),0.8321799307958477)</f>
        <v>0.8321799308</v>
      </c>
      <c r="G37" s="190">
        <f>IFERROR(__xludf.DUMMYFUNCTION("""COMPUTED_VALUE"""),198.0)</f>
        <v>198</v>
      </c>
      <c r="H37" s="191">
        <f>IFERROR(__xludf.DUMMYFUNCTION("""COMPUTED_VALUE"""),0.98989898989899)</f>
        <v>0.9898989899</v>
      </c>
      <c r="I37" s="191">
        <f>IFERROR(__xludf.DUMMYFUNCTION("""COMPUTED_VALUE"""),0.41919191919191917)</f>
        <v>0.4191919192</v>
      </c>
      <c r="J37" s="190">
        <f>IFERROR(__xludf.DUMMYFUNCTION("""COMPUTED_VALUE"""),1354.0)</f>
        <v>1354</v>
      </c>
      <c r="K37" s="191">
        <f>IFERROR(__xludf.DUMMYFUNCTION("""COMPUTED_VALUE"""),0.9970457902511078)</f>
        <v>0.9970457903</v>
      </c>
      <c r="L37" s="191">
        <f>IFERROR(__xludf.DUMMYFUNCTION("""COMPUTED_VALUE"""),0.7717872968980798)</f>
        <v>0.7717872969</v>
      </c>
    </row>
    <row r="38">
      <c r="A38" s="188" t="str">
        <f>IFERROR(__xludf.DUMMYFUNCTION("""COMPUTED_VALUE"""),"36")</f>
        <v>36</v>
      </c>
      <c r="B38" s="189" t="str">
        <f>IFERROR(__xludf.DUMMYFUNCTION("""COMPUTED_VALUE"""),"Nguyễn Công Luận")</f>
        <v>Nguyễn Công Luận</v>
      </c>
      <c r="C38" s="189" t="str">
        <f>IFERROR(__xludf.DUMMYFUNCTION("""COMPUTED_VALUE"""),"BC 56 Đường 17 Tháng 3-Chư Sê-Gia Lai")</f>
        <v>BC 56 Đường 17 Tháng 3-Chư Sê-Gia Lai</v>
      </c>
      <c r="D38" s="190">
        <f>IFERROR(__xludf.DUMMYFUNCTION("""COMPUTED_VALUE"""),882.0)</f>
        <v>882</v>
      </c>
      <c r="E38" s="191">
        <f>IFERROR(__xludf.DUMMYFUNCTION("""COMPUTED_VALUE"""),0.9988662131519275)</f>
        <v>0.9988662132</v>
      </c>
      <c r="F38" s="191">
        <f>IFERROR(__xludf.DUMMYFUNCTION("""COMPUTED_VALUE"""),0.8242630385487528)</f>
        <v>0.8242630385</v>
      </c>
      <c r="G38" s="190">
        <f>IFERROR(__xludf.DUMMYFUNCTION("""COMPUTED_VALUE"""),139.0)</f>
        <v>139</v>
      </c>
      <c r="H38" s="191">
        <f>IFERROR(__xludf.DUMMYFUNCTION("""COMPUTED_VALUE"""),0.9640287769784173)</f>
        <v>0.964028777</v>
      </c>
      <c r="I38" s="191">
        <f>IFERROR(__xludf.DUMMYFUNCTION("""COMPUTED_VALUE"""),0.45323741007194246)</f>
        <v>0.4532374101</v>
      </c>
      <c r="J38" s="190">
        <f>IFERROR(__xludf.DUMMYFUNCTION("""COMPUTED_VALUE"""),1021.0)</f>
        <v>1021</v>
      </c>
      <c r="K38" s="191">
        <f>IFERROR(__xludf.DUMMYFUNCTION("""COMPUTED_VALUE"""),0.9941234084231146)</f>
        <v>0.9941234084</v>
      </c>
      <c r="L38" s="191">
        <f>IFERROR(__xludf.DUMMYFUNCTION("""COMPUTED_VALUE"""),0.7737512242899118)</f>
        <v>0.7737512243</v>
      </c>
    </row>
    <row r="39">
      <c r="A39" s="188" t="str">
        <f>IFERROR(__xludf.DUMMYFUNCTION("""COMPUTED_VALUE"""),"37")</f>
        <v>37</v>
      </c>
      <c r="B39" s="189" t="str">
        <f>IFERROR(__xludf.DUMMYFUNCTION("""COMPUTED_VALUE"""),"Võ Thanh Diệu ")</f>
        <v>Võ Thanh Diệu </v>
      </c>
      <c r="C39" s="189" t="str">
        <f>IFERROR(__xludf.DUMMYFUNCTION("""COMPUTED_VALUE"""),"BC Vận Hành Thôn Định Trị-Xã Vĩnh Thạnh-Bình Định")</f>
        <v>BC Vận Hành Thôn Định Trị-Xã Vĩnh Thạnh-Bình Định</v>
      </c>
      <c r="D39" s="190">
        <f>IFERROR(__xludf.DUMMYFUNCTION("""COMPUTED_VALUE"""),116.0)</f>
        <v>116</v>
      </c>
      <c r="E39" s="191">
        <f>IFERROR(__xludf.DUMMYFUNCTION("""COMPUTED_VALUE"""),0.9482758620689655)</f>
        <v>0.9482758621</v>
      </c>
      <c r="F39" s="191">
        <f>IFERROR(__xludf.DUMMYFUNCTION("""COMPUTED_VALUE"""),0.853448275862069)</f>
        <v>0.8534482759</v>
      </c>
      <c r="G39" s="190">
        <f>IFERROR(__xludf.DUMMYFUNCTION("""COMPUTED_VALUE"""),18.0)</f>
        <v>18</v>
      </c>
      <c r="H39" s="191">
        <f>IFERROR(__xludf.DUMMYFUNCTION("""COMPUTED_VALUE"""),1.0)</f>
        <v>1</v>
      </c>
      <c r="I39" s="191">
        <f>IFERROR(__xludf.DUMMYFUNCTION("""COMPUTED_VALUE"""),0.2777777777777778)</f>
        <v>0.2777777778</v>
      </c>
      <c r="J39" s="190">
        <f>IFERROR(__xludf.DUMMYFUNCTION("""COMPUTED_VALUE"""),134.0)</f>
        <v>134</v>
      </c>
      <c r="K39" s="191">
        <f>IFERROR(__xludf.DUMMYFUNCTION("""COMPUTED_VALUE"""),0.9552238805970149)</f>
        <v>0.9552238806</v>
      </c>
      <c r="L39" s="191">
        <f>IFERROR(__xludf.DUMMYFUNCTION("""COMPUTED_VALUE"""),0.7761194029850746)</f>
        <v>0.776119403</v>
      </c>
    </row>
    <row r="40">
      <c r="A40" s="188" t="str">
        <f>IFERROR(__xludf.DUMMYFUNCTION("""COMPUTED_VALUE"""),"38")</f>
        <v>38</v>
      </c>
      <c r="B40" s="189" t="str">
        <f>IFERROR(__xludf.DUMMYFUNCTION("""COMPUTED_VALUE"""),"Ngô  Thị Bích Trâm ")</f>
        <v>Ngô  Thị Bích Trâm </v>
      </c>
      <c r="C40" s="189" t="str">
        <f>IFERROR(__xludf.DUMMYFUNCTION("""COMPUTED_VALUE"""),"BC 172 Hùng Vương-Chư Prông-Gia Lai")</f>
        <v>BC 172 Hùng Vương-Chư Prông-Gia Lai</v>
      </c>
      <c r="D40" s="190">
        <f>IFERROR(__xludf.DUMMYFUNCTION("""COMPUTED_VALUE"""),557.0)</f>
        <v>557</v>
      </c>
      <c r="E40" s="191">
        <f>IFERROR(__xludf.DUMMYFUNCTION("""COMPUTED_VALUE"""),0.9946140035906643)</f>
        <v>0.9946140036</v>
      </c>
      <c r="F40" s="191">
        <f>IFERROR(__xludf.DUMMYFUNCTION("""COMPUTED_VALUE"""),0.874326750448833)</f>
        <v>0.8743267504</v>
      </c>
      <c r="G40" s="190">
        <f>IFERROR(__xludf.DUMMYFUNCTION("""COMPUTED_VALUE"""),143.0)</f>
        <v>143</v>
      </c>
      <c r="H40" s="191">
        <f>IFERROR(__xludf.DUMMYFUNCTION("""COMPUTED_VALUE"""),0.9230769230769231)</f>
        <v>0.9230769231</v>
      </c>
      <c r="I40" s="191">
        <f>IFERROR(__xludf.DUMMYFUNCTION("""COMPUTED_VALUE"""),0.4125874125874126)</f>
        <v>0.4125874126</v>
      </c>
      <c r="J40" s="190">
        <f>IFERROR(__xludf.DUMMYFUNCTION("""COMPUTED_VALUE"""),700.0)</f>
        <v>700</v>
      </c>
      <c r="K40" s="191">
        <f>IFERROR(__xludf.DUMMYFUNCTION("""COMPUTED_VALUE"""),0.98)</f>
        <v>0.98</v>
      </c>
      <c r="L40" s="191">
        <f>IFERROR(__xludf.DUMMYFUNCTION("""COMPUTED_VALUE"""),0.78)</f>
        <v>0.78</v>
      </c>
    </row>
    <row r="41">
      <c r="A41" s="188" t="str">
        <f>IFERROR(__xludf.DUMMYFUNCTION("""COMPUTED_VALUE"""),"39")</f>
        <v>39</v>
      </c>
      <c r="B41" s="189" t="str">
        <f>IFERROR(__xludf.DUMMYFUNCTION("""COMPUTED_VALUE"""),"Nguyễn Công Luận")</f>
        <v>Nguyễn Công Luận</v>
      </c>
      <c r="C41" s="189" t="str">
        <f>IFERROR(__xludf.DUMMYFUNCTION("""COMPUTED_VALUE"""),"BC 274 Hùng Vương-Chư Pưh-Gia Lai")</f>
        <v>BC 274 Hùng Vương-Chư Pưh-Gia Lai</v>
      </c>
      <c r="D41" s="190">
        <f>IFERROR(__xludf.DUMMYFUNCTION("""COMPUTED_VALUE"""),339.0)</f>
        <v>339</v>
      </c>
      <c r="E41" s="191">
        <f>IFERROR(__xludf.DUMMYFUNCTION("""COMPUTED_VALUE"""),1.0)</f>
        <v>1</v>
      </c>
      <c r="F41" s="191">
        <f>IFERROR(__xludf.DUMMYFUNCTION("""COMPUTED_VALUE"""),0.8672566371681416)</f>
        <v>0.8672566372</v>
      </c>
      <c r="G41" s="190">
        <f>IFERROR(__xludf.DUMMYFUNCTION("""COMPUTED_VALUE"""),65.0)</f>
        <v>65</v>
      </c>
      <c r="H41" s="191">
        <f>IFERROR(__xludf.DUMMYFUNCTION("""COMPUTED_VALUE"""),0.8615384615384616)</f>
        <v>0.8615384615</v>
      </c>
      <c r="I41" s="191">
        <f>IFERROR(__xludf.DUMMYFUNCTION("""COMPUTED_VALUE"""),0.38461538461538464)</f>
        <v>0.3846153846</v>
      </c>
      <c r="J41" s="190">
        <f>IFERROR(__xludf.DUMMYFUNCTION("""COMPUTED_VALUE"""),404.0)</f>
        <v>404</v>
      </c>
      <c r="K41" s="191">
        <f>IFERROR(__xludf.DUMMYFUNCTION("""COMPUTED_VALUE"""),0.9777227722772277)</f>
        <v>0.9777227723</v>
      </c>
      <c r="L41" s="191">
        <f>IFERROR(__xludf.DUMMYFUNCTION("""COMPUTED_VALUE"""),0.7896039603960396)</f>
        <v>0.7896039604</v>
      </c>
    </row>
    <row r="42">
      <c r="A42" s="188" t="str">
        <f>IFERROR(__xludf.DUMMYFUNCTION("""COMPUTED_VALUE"""),"40")</f>
        <v>40</v>
      </c>
      <c r="B42" s="189" t="str">
        <f>IFERROR(__xludf.DUMMYFUNCTION("""COMPUTED_VALUE"""),"Nguyễn Đình Trung")</f>
        <v>Nguyễn Đình Trung</v>
      </c>
      <c r="C42" s="189" t="str">
        <f>IFERROR(__xludf.DUMMYFUNCTION("""COMPUTED_VALUE"""),"BC 327A Cách Mạng Tháng 8-Pleiku-Gia Lai")</f>
        <v>BC 327A Cách Mạng Tháng 8-Pleiku-Gia Lai</v>
      </c>
      <c r="D42" s="190">
        <f>IFERROR(__xludf.DUMMYFUNCTION("""COMPUTED_VALUE"""),923.0)</f>
        <v>923</v>
      </c>
      <c r="E42" s="191">
        <f>IFERROR(__xludf.DUMMYFUNCTION("""COMPUTED_VALUE"""),0.9869989165763814)</f>
        <v>0.9869989166</v>
      </c>
      <c r="F42" s="191">
        <f>IFERROR(__xludf.DUMMYFUNCTION("""COMPUTED_VALUE"""),0.8591549295774648)</f>
        <v>0.8591549296</v>
      </c>
      <c r="G42" s="190">
        <f>IFERROR(__xludf.DUMMYFUNCTION("""COMPUTED_VALUE"""),136.0)</f>
        <v>136</v>
      </c>
      <c r="H42" s="191">
        <f>IFERROR(__xludf.DUMMYFUNCTION("""COMPUTED_VALUE"""),0.9632352941176471)</f>
        <v>0.9632352941</v>
      </c>
      <c r="I42" s="191">
        <f>IFERROR(__xludf.DUMMYFUNCTION("""COMPUTED_VALUE"""),0.3382352941176471)</f>
        <v>0.3382352941</v>
      </c>
      <c r="J42" s="190">
        <f>IFERROR(__xludf.DUMMYFUNCTION("""COMPUTED_VALUE"""),1059.0)</f>
        <v>1059</v>
      </c>
      <c r="K42" s="191">
        <f>IFERROR(__xludf.DUMMYFUNCTION("""COMPUTED_VALUE"""),0.983947119924457)</f>
        <v>0.9839471199</v>
      </c>
      <c r="L42" s="191">
        <f>IFERROR(__xludf.DUMMYFUNCTION("""COMPUTED_VALUE"""),0.7922568460812087)</f>
        <v>0.7922568461</v>
      </c>
    </row>
    <row r="43">
      <c r="A43" s="188" t="str">
        <f>IFERROR(__xludf.DUMMYFUNCTION("""COMPUTED_VALUE"""),"41")</f>
        <v>41</v>
      </c>
      <c r="B43" s="189" t="str">
        <f>IFERROR(__xludf.DUMMYFUNCTION("""COMPUTED_VALUE"""),"Phan Thanh Thức")</f>
        <v>Phan Thanh Thức</v>
      </c>
      <c r="C43" s="189" t="str">
        <f>IFERROR(__xludf.DUMMYFUNCTION("""COMPUTED_VALUE"""),"BC 61 Quang Trung-Xã Vân Canh-Bình Định")</f>
        <v>BC 61 Quang Trung-Xã Vân Canh-Bình Định</v>
      </c>
      <c r="D43" s="190">
        <f>IFERROR(__xludf.DUMMYFUNCTION("""COMPUTED_VALUE"""),122.0)</f>
        <v>122</v>
      </c>
      <c r="E43" s="191">
        <f>IFERROR(__xludf.DUMMYFUNCTION("""COMPUTED_VALUE"""),1.0)</f>
        <v>1</v>
      </c>
      <c r="F43" s="191">
        <f>IFERROR(__xludf.DUMMYFUNCTION("""COMPUTED_VALUE"""),0.8770491803278688)</f>
        <v>0.8770491803</v>
      </c>
      <c r="G43" s="190">
        <f>IFERROR(__xludf.DUMMYFUNCTION("""COMPUTED_VALUE"""),30.0)</f>
        <v>30</v>
      </c>
      <c r="H43" s="191">
        <f>IFERROR(__xludf.DUMMYFUNCTION("""COMPUTED_VALUE"""),1.0)</f>
        <v>1</v>
      </c>
      <c r="I43" s="191">
        <f>IFERROR(__xludf.DUMMYFUNCTION("""COMPUTED_VALUE"""),0.4666666666666667)</f>
        <v>0.4666666667</v>
      </c>
      <c r="J43" s="190">
        <f>IFERROR(__xludf.DUMMYFUNCTION("""COMPUTED_VALUE"""),152.0)</f>
        <v>152</v>
      </c>
      <c r="K43" s="191">
        <f>IFERROR(__xludf.DUMMYFUNCTION("""COMPUTED_VALUE"""),1.0)</f>
        <v>1</v>
      </c>
      <c r="L43" s="191">
        <f>IFERROR(__xludf.DUMMYFUNCTION("""COMPUTED_VALUE"""),0.7960526315789473)</f>
        <v>0.7960526316</v>
      </c>
    </row>
    <row r="44">
      <c r="A44" s="188" t="str">
        <f>IFERROR(__xludf.DUMMYFUNCTION("""COMPUTED_VALUE"""),"42")</f>
        <v>42</v>
      </c>
      <c r="B44" s="189" t="str">
        <f>IFERROR(__xludf.DUMMYFUNCTION("""COMPUTED_VALUE"""),"Phan Thanh Thức")</f>
        <v>Phan Thanh Thức</v>
      </c>
      <c r="C44" s="189" t="str">
        <f>IFERROR(__xludf.DUMMYFUNCTION("""COMPUTED_VALUE"""),"BC 565 Trần Phú-Tuy Phước-Bình Định")</f>
        <v>BC 565 Trần Phú-Tuy Phước-Bình Định</v>
      </c>
      <c r="D44" s="190">
        <f>IFERROR(__xludf.DUMMYFUNCTION("""COMPUTED_VALUE"""),1013.0)</f>
        <v>1013</v>
      </c>
      <c r="E44" s="191">
        <f>IFERROR(__xludf.DUMMYFUNCTION("""COMPUTED_VALUE"""),0.9970384995064165)</f>
        <v>0.9970384995</v>
      </c>
      <c r="F44" s="191">
        <f>IFERROR(__xludf.DUMMYFUNCTION("""COMPUTED_VALUE"""),0.8469891411648569)</f>
        <v>0.8469891412</v>
      </c>
      <c r="G44" s="190">
        <f>IFERROR(__xludf.DUMMYFUNCTION("""COMPUTED_VALUE"""),172.0)</f>
        <v>172</v>
      </c>
      <c r="H44" s="191">
        <f>IFERROR(__xludf.DUMMYFUNCTION("""COMPUTED_VALUE"""),1.0)</f>
        <v>1</v>
      </c>
      <c r="I44" s="191">
        <f>IFERROR(__xludf.DUMMYFUNCTION("""COMPUTED_VALUE"""),0.5116279069767442)</f>
        <v>0.511627907</v>
      </c>
      <c r="J44" s="190">
        <f>IFERROR(__xludf.DUMMYFUNCTION("""COMPUTED_VALUE"""),1185.0)</f>
        <v>1185</v>
      </c>
      <c r="K44" s="191">
        <f>IFERROR(__xludf.DUMMYFUNCTION("""COMPUTED_VALUE"""),0.9974683544303797)</f>
        <v>0.9974683544</v>
      </c>
      <c r="L44" s="191">
        <f>IFERROR(__xludf.DUMMYFUNCTION("""COMPUTED_VALUE"""),0.7983122362869198)</f>
        <v>0.7983122363</v>
      </c>
    </row>
    <row r="45">
      <c r="A45" s="188" t="str">
        <f>IFERROR(__xludf.DUMMYFUNCTION("""COMPUTED_VALUE"""),"43")</f>
        <v>43</v>
      </c>
      <c r="B45" s="189" t="str">
        <f>IFERROR(__xludf.DUMMYFUNCTION("""COMPUTED_VALUE"""),"Võ Thanh Diệu ")</f>
        <v>Võ Thanh Diệu </v>
      </c>
      <c r="C45" s="189" t="str">
        <f>IFERROR(__xludf.DUMMYFUNCTION("""COMPUTED_VALUE"""),"BC Đường 3 Tháng 2-Xã Phù Cát-Bình Định")</f>
        <v>BC Đường 3 Tháng 2-Xã Phù Cát-Bình Định</v>
      </c>
      <c r="D45" s="190">
        <f>IFERROR(__xludf.DUMMYFUNCTION("""COMPUTED_VALUE"""),854.0)</f>
        <v>854</v>
      </c>
      <c r="E45" s="191">
        <f>IFERROR(__xludf.DUMMYFUNCTION("""COMPUTED_VALUE"""),0.9988290398126464)</f>
        <v>0.9988290398</v>
      </c>
      <c r="F45" s="191">
        <f>IFERROR(__xludf.DUMMYFUNCTION("""COMPUTED_VALUE"""),0.8384074941451991)</f>
        <v>0.8384074941</v>
      </c>
      <c r="G45" s="190">
        <f>IFERROR(__xludf.DUMMYFUNCTION("""COMPUTED_VALUE"""),108.0)</f>
        <v>108</v>
      </c>
      <c r="H45" s="191">
        <f>IFERROR(__xludf.DUMMYFUNCTION("""COMPUTED_VALUE"""),0.9814814814814815)</f>
        <v>0.9814814815</v>
      </c>
      <c r="I45" s="191">
        <f>IFERROR(__xludf.DUMMYFUNCTION("""COMPUTED_VALUE"""),0.5092592592592593)</f>
        <v>0.5092592593</v>
      </c>
      <c r="J45" s="190">
        <f>IFERROR(__xludf.DUMMYFUNCTION("""COMPUTED_VALUE"""),962.0)</f>
        <v>962</v>
      </c>
      <c r="K45" s="191">
        <f>IFERROR(__xludf.DUMMYFUNCTION("""COMPUTED_VALUE"""),0.9968814968814969)</f>
        <v>0.9968814969</v>
      </c>
      <c r="L45" s="191">
        <f>IFERROR(__xludf.DUMMYFUNCTION("""COMPUTED_VALUE"""),0.8014553014553014)</f>
        <v>0.8014553015</v>
      </c>
    </row>
    <row r="46">
      <c r="A46" s="188" t="str">
        <f>IFERROR(__xludf.DUMMYFUNCTION("""COMPUTED_VALUE"""),"44")</f>
        <v>44</v>
      </c>
      <c r="B46" s="189" t="str">
        <f>IFERROR(__xludf.DUMMYFUNCTION("""COMPUTED_VALUE"""),"Lê Trọng Khiêm")</f>
        <v>Lê Trọng Khiêm</v>
      </c>
      <c r="C46" s="189" t="str">
        <f>IFERROR(__xludf.DUMMYFUNCTION("""COMPUTED_VALUE"""),"BC Thôn Đông Phước-Phú Hòa-Phú Yên")</f>
        <v>BC Thôn Đông Phước-Phú Hòa-Phú Yên</v>
      </c>
      <c r="D46" s="190">
        <f>IFERROR(__xludf.DUMMYFUNCTION("""COMPUTED_VALUE"""),622.0)</f>
        <v>622</v>
      </c>
      <c r="E46" s="191">
        <f>IFERROR(__xludf.DUMMYFUNCTION("""COMPUTED_VALUE"""),0.9983922829581994)</f>
        <v>0.998392283</v>
      </c>
      <c r="F46" s="191">
        <f>IFERROR(__xludf.DUMMYFUNCTION("""COMPUTED_VALUE"""),0.8810289389067524)</f>
        <v>0.8810289389</v>
      </c>
      <c r="G46" s="190">
        <f>IFERROR(__xludf.DUMMYFUNCTION("""COMPUTED_VALUE"""),81.0)</f>
        <v>81</v>
      </c>
      <c r="H46" s="191">
        <f>IFERROR(__xludf.DUMMYFUNCTION("""COMPUTED_VALUE"""),0.9259259259259259)</f>
        <v>0.9259259259</v>
      </c>
      <c r="I46" s="191">
        <f>IFERROR(__xludf.DUMMYFUNCTION("""COMPUTED_VALUE"""),0.25925925925925924)</f>
        <v>0.2592592593</v>
      </c>
      <c r="J46" s="190">
        <f>IFERROR(__xludf.DUMMYFUNCTION("""COMPUTED_VALUE"""),703.0)</f>
        <v>703</v>
      </c>
      <c r="K46" s="191">
        <f>IFERROR(__xludf.DUMMYFUNCTION("""COMPUTED_VALUE"""),0.9900426742532006)</f>
        <v>0.9900426743</v>
      </c>
      <c r="L46" s="191">
        <f>IFERROR(__xludf.DUMMYFUNCTION("""COMPUTED_VALUE"""),0.8093883357041252)</f>
        <v>0.8093883357</v>
      </c>
    </row>
    <row r="47">
      <c r="A47" s="188" t="str">
        <f>IFERROR(__xludf.DUMMYFUNCTION("""COMPUTED_VALUE"""),"45")</f>
        <v>45</v>
      </c>
      <c r="B47" s="189" t="str">
        <f>IFERROR(__xludf.DUMMYFUNCTION("""COMPUTED_VALUE"""),"Huỳnh Thị Mới ")</f>
        <v>Huỳnh Thị Mới </v>
      </c>
      <c r="C47" s="189" t="str">
        <f>IFERROR(__xludf.DUMMYFUNCTION("""COMPUTED_VALUE"""),"BC KP4 Hòa Vinh- Đông Hòa- Phú Yên")</f>
        <v>BC KP4 Hòa Vinh- Đông Hòa- Phú Yên</v>
      </c>
      <c r="D47" s="190">
        <f>IFERROR(__xludf.DUMMYFUNCTION("""COMPUTED_VALUE"""),918.0)</f>
        <v>918</v>
      </c>
      <c r="E47" s="191">
        <f>IFERROR(__xludf.DUMMYFUNCTION("""COMPUTED_VALUE"""),0.9989106753812637)</f>
        <v>0.9989106754</v>
      </c>
      <c r="F47" s="191">
        <f>IFERROR(__xludf.DUMMYFUNCTION("""COMPUTED_VALUE"""),0.8627450980392157)</f>
        <v>0.862745098</v>
      </c>
      <c r="G47" s="190">
        <f>IFERROR(__xludf.DUMMYFUNCTION("""COMPUTED_VALUE"""),178.0)</f>
        <v>178</v>
      </c>
      <c r="H47" s="191">
        <f>IFERROR(__xludf.DUMMYFUNCTION("""COMPUTED_VALUE"""),0.9831460674157303)</f>
        <v>0.9831460674</v>
      </c>
      <c r="I47" s="191">
        <f>IFERROR(__xludf.DUMMYFUNCTION("""COMPUTED_VALUE"""),0.550561797752809)</f>
        <v>0.5505617978</v>
      </c>
      <c r="J47" s="190">
        <f>IFERROR(__xludf.DUMMYFUNCTION("""COMPUTED_VALUE"""),1096.0)</f>
        <v>1096</v>
      </c>
      <c r="K47" s="191">
        <f>IFERROR(__xludf.DUMMYFUNCTION("""COMPUTED_VALUE"""),0.9963503649635036)</f>
        <v>0.996350365</v>
      </c>
      <c r="L47" s="191">
        <f>IFERROR(__xludf.DUMMYFUNCTION("""COMPUTED_VALUE"""),0.8120437956204379)</f>
        <v>0.8120437956</v>
      </c>
    </row>
    <row r="48">
      <c r="A48" s="188" t="str">
        <f>IFERROR(__xludf.DUMMYFUNCTION("""COMPUTED_VALUE"""),"46")</f>
        <v>46</v>
      </c>
      <c r="B48" s="189" t="str">
        <f>IFERROR(__xludf.DUMMYFUNCTION("""COMPUTED_VALUE"""),"Phan Thanh Thức")</f>
        <v>Phan Thanh Thức</v>
      </c>
      <c r="C48" s="189" t="str">
        <f>IFERROR(__xludf.DUMMYFUNCTION("""COMPUTED_VALUE"""),"BC 263 Đống Đa-Quy Nhơn-Bình Định")</f>
        <v>BC 263 Đống Đa-Quy Nhơn-Bình Định</v>
      </c>
      <c r="D48" s="190">
        <f>IFERROR(__xludf.DUMMYFUNCTION("""COMPUTED_VALUE"""),1608.0)</f>
        <v>1608</v>
      </c>
      <c r="E48" s="191">
        <f>IFERROR(__xludf.DUMMYFUNCTION("""COMPUTED_VALUE"""),0.9987562189054726)</f>
        <v>0.9987562189</v>
      </c>
      <c r="F48" s="191">
        <f>IFERROR(__xludf.DUMMYFUNCTION("""COMPUTED_VALUE"""),0.8700248756218906)</f>
        <v>0.8700248756</v>
      </c>
      <c r="G48" s="190">
        <f>IFERROR(__xludf.DUMMYFUNCTION("""COMPUTED_VALUE"""),253.0)</f>
        <v>253</v>
      </c>
      <c r="H48" s="191">
        <f>IFERROR(__xludf.DUMMYFUNCTION("""COMPUTED_VALUE"""),0.9802371541501976)</f>
        <v>0.9802371542</v>
      </c>
      <c r="I48" s="191">
        <f>IFERROR(__xludf.DUMMYFUNCTION("""COMPUTED_VALUE"""),0.45454545454545453)</f>
        <v>0.4545454545</v>
      </c>
      <c r="J48" s="190">
        <f>IFERROR(__xludf.DUMMYFUNCTION("""COMPUTED_VALUE"""),1861.0)</f>
        <v>1861</v>
      </c>
      <c r="K48" s="191">
        <f>IFERROR(__xludf.DUMMYFUNCTION("""COMPUTED_VALUE"""),0.9962385814078453)</f>
        <v>0.9962385814</v>
      </c>
      <c r="L48" s="191">
        <f>IFERROR(__xludf.DUMMYFUNCTION("""COMPUTED_VALUE"""),0.8135411069317571)</f>
        <v>0.8135411069</v>
      </c>
    </row>
    <row r="49">
      <c r="A49" s="188" t="str">
        <f>IFERROR(__xludf.DUMMYFUNCTION("""COMPUTED_VALUE"""),"47")</f>
        <v>47</v>
      </c>
      <c r="B49" s="189" t="str">
        <f>IFERROR(__xludf.DUMMYFUNCTION("""COMPUTED_VALUE"""),"Võ Thanh Diệu ")</f>
        <v>Võ Thanh Diệu </v>
      </c>
      <c r="C49" s="189" t="str">
        <f>IFERROR(__xludf.DUMMYFUNCTION("""COMPUTED_VALUE"""),"BC 44 Quang Trung-Tây Sơn-Bình Định")</f>
        <v>BC 44 Quang Trung-Tây Sơn-Bình Định</v>
      </c>
      <c r="D49" s="190">
        <f>IFERROR(__xludf.DUMMYFUNCTION("""COMPUTED_VALUE"""),871.0)</f>
        <v>871</v>
      </c>
      <c r="E49" s="191">
        <f>IFERROR(__xludf.DUMMYFUNCTION("""COMPUTED_VALUE"""),1.0)</f>
        <v>1</v>
      </c>
      <c r="F49" s="191">
        <f>IFERROR(__xludf.DUMMYFUNCTION("""COMPUTED_VALUE"""),0.8427095292766934)</f>
        <v>0.8427095293</v>
      </c>
      <c r="G49" s="190">
        <f>IFERROR(__xludf.DUMMYFUNCTION("""COMPUTED_VALUE"""),120.0)</f>
        <v>120</v>
      </c>
      <c r="H49" s="191">
        <f>IFERROR(__xludf.DUMMYFUNCTION("""COMPUTED_VALUE"""),1.0)</f>
        <v>1</v>
      </c>
      <c r="I49" s="191">
        <f>IFERROR(__xludf.DUMMYFUNCTION("""COMPUTED_VALUE"""),0.6166666666666667)</f>
        <v>0.6166666667</v>
      </c>
      <c r="J49" s="190">
        <f>IFERROR(__xludf.DUMMYFUNCTION("""COMPUTED_VALUE"""),991.0)</f>
        <v>991</v>
      </c>
      <c r="K49" s="191">
        <f>IFERROR(__xludf.DUMMYFUNCTION("""COMPUTED_VALUE"""),1.0)</f>
        <v>1</v>
      </c>
      <c r="L49" s="191">
        <f>IFERROR(__xludf.DUMMYFUNCTION("""COMPUTED_VALUE"""),0.8153380423814329)</f>
        <v>0.8153380424</v>
      </c>
    </row>
    <row r="50">
      <c r="A50" s="188" t="str">
        <f>IFERROR(__xludf.DUMMYFUNCTION("""COMPUTED_VALUE"""),"48")</f>
        <v>48</v>
      </c>
      <c r="B50" s="189" t="str">
        <f>IFERROR(__xludf.DUMMYFUNCTION("""COMPUTED_VALUE"""),"Nguyễn Đình Trung")</f>
        <v>Nguyễn Đình Trung</v>
      </c>
      <c r="C50" s="189" t="str">
        <f>IFERROR(__xludf.DUMMYFUNCTION("""COMPUTED_VALUE"""),"BC 15 Hoàng Văn Thụ-An Khê-Gia Lai")</f>
        <v>BC 15 Hoàng Văn Thụ-An Khê-Gia Lai</v>
      </c>
      <c r="D50" s="190">
        <f>IFERROR(__xludf.DUMMYFUNCTION("""COMPUTED_VALUE"""),910.0)</f>
        <v>910</v>
      </c>
      <c r="E50" s="191">
        <f>IFERROR(__xludf.DUMMYFUNCTION("""COMPUTED_VALUE"""),0.9956043956043956)</f>
        <v>0.9956043956</v>
      </c>
      <c r="F50" s="191">
        <f>IFERROR(__xludf.DUMMYFUNCTION("""COMPUTED_VALUE"""),0.9076923076923077)</f>
        <v>0.9076923077</v>
      </c>
      <c r="G50" s="190">
        <f>IFERROR(__xludf.DUMMYFUNCTION("""COMPUTED_VALUE"""),135.0)</f>
        <v>135</v>
      </c>
      <c r="H50" s="191">
        <f>IFERROR(__xludf.DUMMYFUNCTION("""COMPUTED_VALUE"""),0.9555555555555556)</f>
        <v>0.9555555556</v>
      </c>
      <c r="I50" s="191">
        <f>IFERROR(__xludf.DUMMYFUNCTION("""COMPUTED_VALUE"""),0.25925925925925924)</f>
        <v>0.2592592593</v>
      </c>
      <c r="J50" s="190">
        <f>IFERROR(__xludf.DUMMYFUNCTION("""COMPUTED_VALUE"""),1045.0)</f>
        <v>1045</v>
      </c>
      <c r="K50" s="191">
        <f>IFERROR(__xludf.DUMMYFUNCTION("""COMPUTED_VALUE"""),0.9904306220095693)</f>
        <v>0.990430622</v>
      </c>
      <c r="L50" s="191">
        <f>IFERROR(__xludf.DUMMYFUNCTION("""COMPUTED_VALUE"""),0.8239234449760765)</f>
        <v>0.823923445</v>
      </c>
    </row>
    <row r="51">
      <c r="A51" s="188" t="str">
        <f>IFERROR(__xludf.DUMMYFUNCTION("""COMPUTED_VALUE"""),"49")</f>
        <v>49</v>
      </c>
      <c r="B51" s="189" t="str">
        <f>IFERROR(__xludf.DUMMYFUNCTION("""COMPUTED_VALUE"""),"Phan Thị Mỹ Chi")</f>
        <v>Phan Thị Mỹ Chi</v>
      </c>
      <c r="C51" s="189" t="str">
        <f>IFERROR(__xludf.DUMMYFUNCTION("""COMPUTED_VALUE"""),"BC 569 Trường Chinh-Pleiku-Gia Lai")</f>
        <v>BC 569 Trường Chinh-Pleiku-Gia Lai</v>
      </c>
      <c r="D51" s="190">
        <f>IFERROR(__xludf.DUMMYFUNCTION("""COMPUTED_VALUE"""),1028.0)</f>
        <v>1028</v>
      </c>
      <c r="E51" s="191">
        <f>IFERROR(__xludf.DUMMYFUNCTION("""COMPUTED_VALUE"""),0.9970817120622568)</f>
        <v>0.9970817121</v>
      </c>
      <c r="F51" s="191">
        <f>IFERROR(__xludf.DUMMYFUNCTION("""COMPUTED_VALUE"""),0.872568093385214)</f>
        <v>0.8725680934</v>
      </c>
      <c r="G51" s="190">
        <f>IFERROR(__xludf.DUMMYFUNCTION("""COMPUTED_VALUE"""),132.0)</f>
        <v>132</v>
      </c>
      <c r="H51" s="191">
        <f>IFERROR(__xludf.DUMMYFUNCTION("""COMPUTED_VALUE"""),0.9621212121212122)</f>
        <v>0.9621212121</v>
      </c>
      <c r="I51" s="191">
        <f>IFERROR(__xludf.DUMMYFUNCTION("""COMPUTED_VALUE"""),0.44696969696969696)</f>
        <v>0.446969697</v>
      </c>
      <c r="J51" s="190">
        <f>IFERROR(__xludf.DUMMYFUNCTION("""COMPUTED_VALUE"""),1160.0)</f>
        <v>1160</v>
      </c>
      <c r="K51" s="191">
        <f>IFERROR(__xludf.DUMMYFUNCTION("""COMPUTED_VALUE"""),0.993103448275862)</f>
        <v>0.9931034483</v>
      </c>
      <c r="L51" s="191">
        <f>IFERROR(__xludf.DUMMYFUNCTION("""COMPUTED_VALUE"""),0.8241379310344827)</f>
        <v>0.824137931</v>
      </c>
    </row>
    <row r="52">
      <c r="A52" s="188" t="str">
        <f>IFERROR(__xludf.DUMMYFUNCTION("""COMPUTED_VALUE"""),"50")</f>
        <v>50</v>
      </c>
      <c r="B52" s="189" t="str">
        <f>IFERROR(__xludf.DUMMYFUNCTION("""COMPUTED_VALUE"""),"Phan Thị Mỹ Chi")</f>
        <v>Phan Thị Mỹ Chi</v>
      </c>
      <c r="C52" s="189" t="str">
        <f>IFERROR(__xludf.DUMMYFUNCTION("""COMPUTED_VALUE"""),"BC 73 Lê Lợi-Chư Pah-Gia Lai")</f>
        <v>BC 73 Lê Lợi-Chư Pah-Gia Lai</v>
      </c>
      <c r="D52" s="190">
        <f>IFERROR(__xludf.DUMMYFUNCTION("""COMPUTED_VALUE"""),510.0)</f>
        <v>510</v>
      </c>
      <c r="E52" s="191">
        <f>IFERROR(__xludf.DUMMYFUNCTION("""COMPUTED_VALUE"""),0.9980392156862745)</f>
        <v>0.9980392157</v>
      </c>
      <c r="F52" s="191">
        <f>IFERROR(__xludf.DUMMYFUNCTION("""COMPUTED_VALUE"""),0.8901960784313725)</f>
        <v>0.8901960784</v>
      </c>
      <c r="G52" s="190">
        <f>IFERROR(__xludf.DUMMYFUNCTION("""COMPUTED_VALUE"""),65.0)</f>
        <v>65</v>
      </c>
      <c r="H52" s="191">
        <f>IFERROR(__xludf.DUMMYFUNCTION("""COMPUTED_VALUE"""),0.9846153846153847)</f>
        <v>0.9846153846</v>
      </c>
      <c r="I52" s="191">
        <f>IFERROR(__xludf.DUMMYFUNCTION("""COMPUTED_VALUE"""),0.3384615384615385)</f>
        <v>0.3384615385</v>
      </c>
      <c r="J52" s="190">
        <f>IFERROR(__xludf.DUMMYFUNCTION("""COMPUTED_VALUE"""),575.0)</f>
        <v>575</v>
      </c>
      <c r="K52" s="191">
        <f>IFERROR(__xludf.DUMMYFUNCTION("""COMPUTED_VALUE"""),0.9965217391304347)</f>
        <v>0.9965217391</v>
      </c>
      <c r="L52" s="191">
        <f>IFERROR(__xludf.DUMMYFUNCTION("""COMPUTED_VALUE"""),0.8278260869565217)</f>
        <v>0.827826087</v>
      </c>
    </row>
    <row r="53">
      <c r="A53" s="188" t="str">
        <f>IFERROR(__xludf.DUMMYFUNCTION("""COMPUTED_VALUE"""),"51")</f>
        <v>51</v>
      </c>
      <c r="B53" s="189" t="str">
        <f>IFERROR(__xludf.DUMMYFUNCTION("""COMPUTED_VALUE"""),"Huỳnh Thị Mới ")</f>
        <v>Huỳnh Thị Mới </v>
      </c>
      <c r="C53" s="189" t="str">
        <f>IFERROR(__xludf.DUMMYFUNCTION("""COMPUTED_VALUE"""),"BC Thị Trấn Phú Thứ-Tây Hoà-Phú Yên")</f>
        <v>BC Thị Trấn Phú Thứ-Tây Hoà-Phú Yên</v>
      </c>
      <c r="D53" s="190">
        <f>IFERROR(__xludf.DUMMYFUNCTION("""COMPUTED_VALUE"""),676.0)</f>
        <v>676</v>
      </c>
      <c r="E53" s="191">
        <f>IFERROR(__xludf.DUMMYFUNCTION("""COMPUTED_VALUE"""),0.9970414201183432)</f>
        <v>0.9970414201</v>
      </c>
      <c r="F53" s="191">
        <f>IFERROR(__xludf.DUMMYFUNCTION("""COMPUTED_VALUE"""),0.8668639053254438)</f>
        <v>0.8668639053</v>
      </c>
      <c r="G53" s="190">
        <f>IFERROR(__xludf.DUMMYFUNCTION("""COMPUTED_VALUE"""),157.0)</f>
        <v>157</v>
      </c>
      <c r="H53" s="191">
        <f>IFERROR(__xludf.DUMMYFUNCTION("""COMPUTED_VALUE"""),0.9745222929936306)</f>
        <v>0.974522293</v>
      </c>
      <c r="I53" s="191">
        <f>IFERROR(__xludf.DUMMYFUNCTION("""COMPUTED_VALUE"""),0.6751592356687898)</f>
        <v>0.6751592357</v>
      </c>
      <c r="J53" s="190">
        <f>IFERROR(__xludf.DUMMYFUNCTION("""COMPUTED_VALUE"""),833.0)</f>
        <v>833</v>
      </c>
      <c r="K53" s="191">
        <f>IFERROR(__xludf.DUMMYFUNCTION("""COMPUTED_VALUE"""),0.992797118847539)</f>
        <v>0.9927971188</v>
      </c>
      <c r="L53" s="191">
        <f>IFERROR(__xludf.DUMMYFUNCTION("""COMPUTED_VALUE"""),0.8307322929171669)</f>
        <v>0.8307322929</v>
      </c>
    </row>
    <row r="54">
      <c r="A54" s="188" t="str">
        <f>IFERROR(__xludf.DUMMYFUNCTION("""COMPUTED_VALUE"""),"52")</f>
        <v>52</v>
      </c>
      <c r="B54" s="189" t="str">
        <f>IFERROR(__xludf.DUMMYFUNCTION("""COMPUTED_VALUE"""),"Trần Nhật Thương")</f>
        <v>Trần Nhật Thương</v>
      </c>
      <c r="C54" s="189" t="str">
        <f>IFERROR(__xludf.DUMMYFUNCTION("""COMPUTED_VALUE"""),"BC 21 Tây Sơn-Xã Phù Mỹ-Bình Định")</f>
        <v>BC 21 Tây Sơn-Xã Phù Mỹ-Bình Định</v>
      </c>
      <c r="D54" s="190">
        <f>IFERROR(__xludf.DUMMYFUNCTION("""COMPUTED_VALUE"""),1041.0)</f>
        <v>1041</v>
      </c>
      <c r="E54" s="191">
        <f>IFERROR(__xludf.DUMMYFUNCTION("""COMPUTED_VALUE"""),0.9971181556195965)</f>
        <v>0.9971181556</v>
      </c>
      <c r="F54" s="191">
        <f>IFERROR(__xludf.DUMMYFUNCTION("""COMPUTED_VALUE"""),0.8712776176753122)</f>
        <v>0.8712776177</v>
      </c>
      <c r="G54" s="190">
        <f>IFERROR(__xludf.DUMMYFUNCTION("""COMPUTED_VALUE"""),199.0)</f>
        <v>199</v>
      </c>
      <c r="H54" s="191">
        <f>IFERROR(__xludf.DUMMYFUNCTION("""COMPUTED_VALUE"""),0.9748743718592965)</f>
        <v>0.9748743719</v>
      </c>
      <c r="I54" s="191">
        <f>IFERROR(__xludf.DUMMYFUNCTION("""COMPUTED_VALUE"""),0.6231155778894473)</f>
        <v>0.6231155779</v>
      </c>
      <c r="J54" s="190">
        <f>IFERROR(__xludf.DUMMYFUNCTION("""COMPUTED_VALUE"""),1240.0)</f>
        <v>1240</v>
      </c>
      <c r="K54" s="191">
        <f>IFERROR(__xludf.DUMMYFUNCTION("""COMPUTED_VALUE"""),0.9935483870967742)</f>
        <v>0.9935483871</v>
      </c>
      <c r="L54" s="191">
        <f>IFERROR(__xludf.DUMMYFUNCTION("""COMPUTED_VALUE"""),0.8314516129032258)</f>
        <v>0.8314516129</v>
      </c>
    </row>
    <row r="55">
      <c r="A55" s="188" t="str">
        <f>IFERROR(__xludf.DUMMYFUNCTION("""COMPUTED_VALUE"""),"53")</f>
        <v>53</v>
      </c>
      <c r="B55" s="189" t="str">
        <f>IFERROR(__xludf.DUMMYFUNCTION("""COMPUTED_VALUE"""),"Trần Nhật Thương")</f>
        <v>Trần Nhật Thương</v>
      </c>
      <c r="C55" s="189" t="str">
        <f>IFERROR(__xludf.DUMMYFUNCTION("""COMPUTED_VALUE"""),"BC 838 Quang Trung-Phường Hoài Nhơn Tây-Bình Định")</f>
        <v>BC 838 Quang Trung-Phường Hoài Nhơn Tây-Bình Định</v>
      </c>
      <c r="D55" s="190">
        <f>IFERROR(__xludf.DUMMYFUNCTION("""COMPUTED_VALUE"""),762.0)</f>
        <v>762</v>
      </c>
      <c r="E55" s="191">
        <f>IFERROR(__xludf.DUMMYFUNCTION("""COMPUTED_VALUE"""),1.0)</f>
        <v>1</v>
      </c>
      <c r="F55" s="191">
        <f>IFERROR(__xludf.DUMMYFUNCTION("""COMPUTED_VALUE"""),0.8779527559055118)</f>
        <v>0.8779527559</v>
      </c>
      <c r="G55" s="190">
        <f>IFERROR(__xludf.DUMMYFUNCTION("""COMPUTED_VALUE"""),89.0)</f>
        <v>89</v>
      </c>
      <c r="H55" s="191">
        <f>IFERROR(__xludf.DUMMYFUNCTION("""COMPUTED_VALUE"""),1.0)</f>
        <v>1</v>
      </c>
      <c r="I55" s="191">
        <f>IFERROR(__xludf.DUMMYFUNCTION("""COMPUTED_VALUE"""),0.43820224719101125)</f>
        <v>0.4382022472</v>
      </c>
      <c r="J55" s="190">
        <f>IFERROR(__xludf.DUMMYFUNCTION("""COMPUTED_VALUE"""),851.0)</f>
        <v>851</v>
      </c>
      <c r="K55" s="191">
        <f>IFERROR(__xludf.DUMMYFUNCTION("""COMPUTED_VALUE"""),1.0)</f>
        <v>1</v>
      </c>
      <c r="L55" s="191">
        <f>IFERROR(__xludf.DUMMYFUNCTION("""COMPUTED_VALUE"""),0.8319623971797885)</f>
        <v>0.8319623972</v>
      </c>
    </row>
    <row r="56">
      <c r="A56" s="188" t="str">
        <f>IFERROR(__xludf.DUMMYFUNCTION("""COMPUTED_VALUE"""),"54")</f>
        <v>54</v>
      </c>
      <c r="B56" s="189" t="str">
        <f>IFERROR(__xludf.DUMMYFUNCTION("""COMPUTED_VALUE"""),"Nguyễn Đình Trung")</f>
        <v>Nguyễn Đình Trung</v>
      </c>
      <c r="C56" s="189" t="str">
        <f>IFERROR(__xludf.DUMMYFUNCTION("""COMPUTED_VALUE"""),"BC 127B Lê Văn Tám-Thị Trấn Kbang-Huyện Kbang-Gia Lai")</f>
        <v>BC 127B Lê Văn Tám-Thị Trấn Kbang-Huyện Kbang-Gia Lai</v>
      </c>
      <c r="D56" s="190">
        <f>IFERROR(__xludf.DUMMYFUNCTION("""COMPUTED_VALUE"""),275.0)</f>
        <v>275</v>
      </c>
      <c r="E56" s="191">
        <f>IFERROR(__xludf.DUMMYFUNCTION("""COMPUTED_VALUE"""),0.9963636363636363)</f>
        <v>0.9963636364</v>
      </c>
      <c r="F56" s="191">
        <f>IFERROR(__xludf.DUMMYFUNCTION("""COMPUTED_VALUE"""),0.8981818181818182)</f>
        <v>0.8981818182</v>
      </c>
      <c r="G56" s="190">
        <f>IFERROR(__xludf.DUMMYFUNCTION("""COMPUTED_VALUE"""),46.0)</f>
        <v>46</v>
      </c>
      <c r="H56" s="191">
        <f>IFERROR(__xludf.DUMMYFUNCTION("""COMPUTED_VALUE"""),0.9782608695652174)</f>
        <v>0.9782608696</v>
      </c>
      <c r="I56" s="191">
        <f>IFERROR(__xludf.DUMMYFUNCTION("""COMPUTED_VALUE"""),0.4782608695652174)</f>
        <v>0.4782608696</v>
      </c>
      <c r="J56" s="190">
        <f>IFERROR(__xludf.DUMMYFUNCTION("""COMPUTED_VALUE"""),321.0)</f>
        <v>321</v>
      </c>
      <c r="K56" s="191">
        <f>IFERROR(__xludf.DUMMYFUNCTION("""COMPUTED_VALUE"""),0.9937694704049844)</f>
        <v>0.9937694704</v>
      </c>
      <c r="L56" s="191">
        <f>IFERROR(__xludf.DUMMYFUNCTION("""COMPUTED_VALUE"""),0.838006230529595)</f>
        <v>0.8380062305</v>
      </c>
    </row>
    <row r="57">
      <c r="A57" s="188" t="str">
        <f>IFERROR(__xludf.DUMMYFUNCTION("""COMPUTED_VALUE"""),"55")</f>
        <v>55</v>
      </c>
      <c r="B57" s="189" t="str">
        <f>IFERROR(__xludf.DUMMYFUNCTION("""COMPUTED_VALUE"""),"Lê Trọng Khiêm")</f>
        <v>Lê Trọng Khiêm</v>
      </c>
      <c r="C57" s="189" t="str">
        <f>IFERROR(__xludf.DUMMYFUNCTION("""COMPUTED_VALUE"""),"BC 27 Nguyễn Tất Thành-Tuy Hòa-Phú Yên")</f>
        <v>BC 27 Nguyễn Tất Thành-Tuy Hòa-Phú Yên</v>
      </c>
      <c r="D57" s="190">
        <f>IFERROR(__xludf.DUMMYFUNCTION("""COMPUTED_VALUE"""),634.0)</f>
        <v>634</v>
      </c>
      <c r="E57" s="191">
        <f>IFERROR(__xludf.DUMMYFUNCTION("""COMPUTED_VALUE"""),1.0)</f>
        <v>1</v>
      </c>
      <c r="F57" s="191">
        <f>IFERROR(__xludf.DUMMYFUNCTION("""COMPUTED_VALUE"""),0.8943217665615142)</f>
        <v>0.8943217666</v>
      </c>
      <c r="G57" s="190">
        <f>IFERROR(__xludf.DUMMYFUNCTION("""COMPUTED_VALUE"""),76.0)</f>
        <v>76</v>
      </c>
      <c r="H57" s="191">
        <f>IFERROR(__xludf.DUMMYFUNCTION("""COMPUTED_VALUE"""),0.9736842105263158)</f>
        <v>0.9736842105</v>
      </c>
      <c r="I57" s="191">
        <f>IFERROR(__xludf.DUMMYFUNCTION("""COMPUTED_VALUE"""),0.3815789473684211)</f>
        <v>0.3815789474</v>
      </c>
      <c r="J57" s="190">
        <f>IFERROR(__xludf.DUMMYFUNCTION("""COMPUTED_VALUE"""),710.0)</f>
        <v>710</v>
      </c>
      <c r="K57" s="191">
        <f>IFERROR(__xludf.DUMMYFUNCTION("""COMPUTED_VALUE"""),0.9971830985915493)</f>
        <v>0.9971830986</v>
      </c>
      <c r="L57" s="191">
        <f>IFERROR(__xludf.DUMMYFUNCTION("""COMPUTED_VALUE"""),0.8394366197183099)</f>
        <v>0.8394366197</v>
      </c>
    </row>
    <row r="58">
      <c r="A58" s="188" t="str">
        <f>IFERROR(__xludf.DUMMYFUNCTION("""COMPUTED_VALUE"""),"56")</f>
        <v>56</v>
      </c>
      <c r="B58" s="189" t="str">
        <f>IFERROR(__xludf.DUMMYFUNCTION("""COMPUTED_VALUE"""),"Lê Trọng Khiêm")</f>
        <v>Lê Trọng Khiêm</v>
      </c>
      <c r="C58" s="189" t="str">
        <f>IFERROR(__xludf.DUMMYFUNCTION("""COMPUTED_VALUE"""),"BC DT644-Sông Cầu-Phú Yên")</f>
        <v>BC DT644-Sông Cầu-Phú Yên</v>
      </c>
      <c r="D58" s="190">
        <f>IFERROR(__xludf.DUMMYFUNCTION("""COMPUTED_VALUE"""),1057.0)</f>
        <v>1057</v>
      </c>
      <c r="E58" s="191">
        <f>IFERROR(__xludf.DUMMYFUNCTION("""COMPUTED_VALUE"""),0.9981078524124882)</f>
        <v>0.9981078524</v>
      </c>
      <c r="F58" s="191">
        <f>IFERROR(__xludf.DUMMYFUNCTION("""COMPUTED_VALUE"""),0.8987701040681173)</f>
        <v>0.8987701041</v>
      </c>
      <c r="G58" s="190">
        <f>IFERROR(__xludf.DUMMYFUNCTION("""COMPUTED_VALUE"""),105.0)</f>
        <v>105</v>
      </c>
      <c r="H58" s="191">
        <f>IFERROR(__xludf.DUMMYFUNCTION("""COMPUTED_VALUE"""),0.9904761904761905)</f>
        <v>0.9904761905</v>
      </c>
      <c r="I58" s="191">
        <f>IFERROR(__xludf.DUMMYFUNCTION("""COMPUTED_VALUE"""),0.3523809523809524)</f>
        <v>0.3523809524</v>
      </c>
      <c r="J58" s="190">
        <f>IFERROR(__xludf.DUMMYFUNCTION("""COMPUTED_VALUE"""),1162.0)</f>
        <v>1162</v>
      </c>
      <c r="K58" s="191">
        <f>IFERROR(__xludf.DUMMYFUNCTION("""COMPUTED_VALUE"""),0.9974182444061962)</f>
        <v>0.9974182444</v>
      </c>
      <c r="L58" s="191">
        <f>IFERROR(__xludf.DUMMYFUNCTION("""COMPUTED_VALUE"""),0.8493975903614458)</f>
        <v>0.8493975904</v>
      </c>
    </row>
    <row r="59">
      <c r="A59" s="193" t="str">
        <f>IFERROR(__xludf.DUMMYFUNCTION("""COMPUTED_VALUE"""),"57")</f>
        <v>57</v>
      </c>
      <c r="B59" s="194" t="str">
        <f>IFERROR(__xludf.DUMMYFUNCTION("""COMPUTED_VALUE"""),"Trần Nhật Thương")</f>
        <v>Trần Nhật Thương</v>
      </c>
      <c r="C59" s="194" t="str">
        <f>IFERROR(__xludf.DUMMYFUNCTION("""COMPUTED_VALUE"""),"BC Số 35 Phạm Văn Đồng-Tăng Bạt Hổ-Hoài Ân-Bình Định")</f>
        <v>BC Số 35 Phạm Văn Đồng-Tăng Bạt Hổ-Hoài Ân-Bình Định</v>
      </c>
      <c r="D59" s="195">
        <f>IFERROR(__xludf.DUMMYFUNCTION("""COMPUTED_VALUE"""),294.0)</f>
        <v>294</v>
      </c>
      <c r="E59" s="196">
        <f>IFERROR(__xludf.DUMMYFUNCTION("""COMPUTED_VALUE"""),0.9965986394557823)</f>
        <v>0.9965986395</v>
      </c>
      <c r="F59" s="196">
        <f>IFERROR(__xludf.DUMMYFUNCTION("""COMPUTED_VALUE"""),0.9149659863945578)</f>
        <v>0.9149659864</v>
      </c>
      <c r="G59" s="195">
        <f>IFERROR(__xludf.DUMMYFUNCTION("""COMPUTED_VALUE"""),40.0)</f>
        <v>40</v>
      </c>
      <c r="H59" s="196">
        <f>IFERROR(__xludf.DUMMYFUNCTION("""COMPUTED_VALUE"""),0.975)</f>
        <v>0.975</v>
      </c>
      <c r="I59" s="196">
        <f>IFERROR(__xludf.DUMMYFUNCTION("""COMPUTED_VALUE"""),0.4)</f>
        <v>0.4</v>
      </c>
      <c r="J59" s="195">
        <f>IFERROR(__xludf.DUMMYFUNCTION("""COMPUTED_VALUE"""),334.0)</f>
        <v>334</v>
      </c>
      <c r="K59" s="196">
        <f>IFERROR(__xludf.DUMMYFUNCTION("""COMPUTED_VALUE"""),0.9940119760479041)</f>
        <v>0.994011976</v>
      </c>
      <c r="L59" s="196">
        <f>IFERROR(__xludf.DUMMYFUNCTION("""COMPUTED_VALUE"""),0.8532934131736527)</f>
        <v>0.8532934132</v>
      </c>
      <c r="N59" s="50"/>
      <c r="O59" s="50"/>
      <c r="P59" s="50"/>
      <c r="Q59" s="50"/>
      <c r="R59" s="50"/>
      <c r="S59" s="50"/>
      <c r="T59" s="50"/>
      <c r="U59" s="50"/>
    </row>
    <row r="60">
      <c r="A60" s="193" t="str">
        <f>IFERROR(__xludf.DUMMYFUNCTION("""COMPUTED_VALUE"""),"58")</f>
        <v>58</v>
      </c>
      <c r="B60" s="194" t="str">
        <f>IFERROR(__xludf.DUMMYFUNCTION("""COMPUTED_VALUE"""),"Phan Thanh Thức")</f>
        <v>Phan Thanh Thức</v>
      </c>
      <c r="C60" s="194" t="str">
        <f>IFERROR(__xludf.DUMMYFUNCTION("""COMPUTED_VALUE"""),"BC 396 Âu Cơ-Bùi Thị Xuân-Quy Nhơn-Bình Định")</f>
        <v>BC 396 Âu Cơ-Bùi Thị Xuân-Quy Nhơn-Bình Định</v>
      </c>
      <c r="D60" s="195">
        <f>IFERROR(__xludf.DUMMYFUNCTION("""COMPUTED_VALUE"""),509.0)</f>
        <v>509</v>
      </c>
      <c r="E60" s="196">
        <f>IFERROR(__xludf.DUMMYFUNCTION("""COMPUTED_VALUE"""),1.0)</f>
        <v>1</v>
      </c>
      <c r="F60" s="196">
        <f>IFERROR(__xludf.DUMMYFUNCTION("""COMPUTED_VALUE"""),0.9076620825147348)</f>
        <v>0.9076620825</v>
      </c>
      <c r="G60" s="195">
        <f>IFERROR(__xludf.DUMMYFUNCTION("""COMPUTED_VALUE"""),50.0)</f>
        <v>50</v>
      </c>
      <c r="H60" s="196">
        <f>IFERROR(__xludf.DUMMYFUNCTION("""COMPUTED_VALUE"""),1.0)</f>
        <v>1</v>
      </c>
      <c r="I60" s="196">
        <f>IFERROR(__xludf.DUMMYFUNCTION("""COMPUTED_VALUE"""),0.32)</f>
        <v>0.32</v>
      </c>
      <c r="J60" s="195">
        <f>IFERROR(__xludf.DUMMYFUNCTION("""COMPUTED_VALUE"""),559.0)</f>
        <v>559</v>
      </c>
      <c r="K60" s="196">
        <f>IFERROR(__xludf.DUMMYFUNCTION("""COMPUTED_VALUE"""),1.0)</f>
        <v>1</v>
      </c>
      <c r="L60" s="196">
        <f>IFERROR(__xludf.DUMMYFUNCTION("""COMPUTED_VALUE"""),0.855098389982111)</f>
        <v>0.85509839</v>
      </c>
      <c r="M60" s="50"/>
      <c r="N60" s="50"/>
      <c r="O60" s="50"/>
      <c r="P60" s="50"/>
      <c r="Q60" s="50"/>
      <c r="R60" s="50"/>
      <c r="S60" s="50"/>
      <c r="T60" s="50"/>
      <c r="U60" s="50"/>
    </row>
    <row r="61">
      <c r="A61" s="155" t="str">
        <f>IFERROR(__xludf.DUMMYFUNCTION("""COMPUTED_VALUE"""),"59")</f>
        <v>59</v>
      </c>
      <c r="B61" s="165" t="str">
        <f>IFERROR(__xludf.DUMMYFUNCTION("""COMPUTED_VALUE"""),"Võ Thanh Diệu ")</f>
        <v>Võ Thanh Diệu </v>
      </c>
      <c r="C61" s="165" t="str">
        <f>IFERROR(__xludf.DUMMYFUNCTION("""COMPUTED_VALUE"""),"BC Thôn Chánh Hóa-Xã Cát Tiến-Bình Định")</f>
        <v>BC Thôn Chánh Hóa-Xã Cát Tiến-Bình Định</v>
      </c>
      <c r="D61" s="157">
        <f>IFERROR(__xludf.DUMMYFUNCTION("""COMPUTED_VALUE"""),443.0)</f>
        <v>443</v>
      </c>
      <c r="E61" s="158">
        <f>IFERROR(__xludf.DUMMYFUNCTION("""COMPUTED_VALUE"""),0.9954853273137697)</f>
        <v>0.9954853273</v>
      </c>
      <c r="F61" s="158">
        <f>IFERROR(__xludf.DUMMYFUNCTION("""COMPUTED_VALUE"""),0.9119638826185101)</f>
        <v>0.9119638826</v>
      </c>
      <c r="G61" s="157">
        <f>IFERROR(__xludf.DUMMYFUNCTION("""COMPUTED_VALUE"""),48.0)</f>
        <v>48</v>
      </c>
      <c r="H61" s="158">
        <f>IFERROR(__xludf.DUMMYFUNCTION("""COMPUTED_VALUE"""),1.0)</f>
        <v>1</v>
      </c>
      <c r="I61" s="158">
        <f>IFERROR(__xludf.DUMMYFUNCTION("""COMPUTED_VALUE"""),0.3333333333333333)</f>
        <v>0.3333333333</v>
      </c>
      <c r="J61" s="157">
        <f>IFERROR(__xludf.DUMMYFUNCTION("""COMPUTED_VALUE"""),491.0)</f>
        <v>491</v>
      </c>
      <c r="K61" s="158">
        <f>IFERROR(__xludf.DUMMYFUNCTION("""COMPUTED_VALUE"""),0.9959266802443992)</f>
        <v>0.9959266802</v>
      </c>
      <c r="L61" s="158">
        <f>IFERROR(__xludf.DUMMYFUNCTION("""COMPUTED_VALUE"""),0.8553971486761711)</f>
        <v>0.8553971487</v>
      </c>
      <c r="M61" s="50"/>
      <c r="N61" s="197"/>
      <c r="O61" s="197"/>
      <c r="P61" s="197"/>
      <c r="Q61" s="197"/>
      <c r="R61" s="197"/>
      <c r="S61" s="197"/>
      <c r="T61" s="197"/>
      <c r="U61" s="197"/>
    </row>
    <row r="62">
      <c r="A62" s="160" t="str">
        <f>IFERROR(__xludf.DUMMYFUNCTION("""COMPUTED_VALUE"""),"60")</f>
        <v>60</v>
      </c>
      <c r="B62" s="198" t="str">
        <f>IFERROR(__xludf.DUMMYFUNCTION("""COMPUTED_VALUE"""),"Trần Nhật Thương")</f>
        <v>Trần Nhật Thương</v>
      </c>
      <c r="C62" s="198" t="str">
        <f>IFERROR(__xludf.DUMMYFUNCTION("""COMPUTED_VALUE"""),"BC Hoài Nhơn-Bình Định")</f>
        <v>BC Hoài Nhơn-Bình Định</v>
      </c>
      <c r="D62" s="162">
        <f>IFERROR(__xludf.DUMMYFUNCTION("""COMPUTED_VALUE"""),668.0)</f>
        <v>668</v>
      </c>
      <c r="E62" s="163">
        <f>IFERROR(__xludf.DUMMYFUNCTION("""COMPUTED_VALUE"""),0.9970059880239521)</f>
        <v>0.997005988</v>
      </c>
      <c r="F62" s="163">
        <f>IFERROR(__xludf.DUMMYFUNCTION("""COMPUTED_VALUE"""),0.9011976047904192)</f>
        <v>0.9011976048</v>
      </c>
      <c r="G62" s="162">
        <f>IFERROR(__xludf.DUMMYFUNCTION("""COMPUTED_VALUE"""),76.0)</f>
        <v>76</v>
      </c>
      <c r="H62" s="163">
        <f>IFERROR(__xludf.DUMMYFUNCTION("""COMPUTED_VALUE"""),0.9868421052631579)</f>
        <v>0.9868421053</v>
      </c>
      <c r="I62" s="163">
        <f>IFERROR(__xludf.DUMMYFUNCTION("""COMPUTED_VALUE"""),0.4605263157894737)</f>
        <v>0.4605263158</v>
      </c>
      <c r="J62" s="162">
        <f>IFERROR(__xludf.DUMMYFUNCTION("""COMPUTED_VALUE"""),744.0)</f>
        <v>744</v>
      </c>
      <c r="K62" s="163">
        <f>IFERROR(__xludf.DUMMYFUNCTION("""COMPUTED_VALUE"""),0.9959677419354839)</f>
        <v>0.9959677419</v>
      </c>
      <c r="L62" s="163">
        <f>IFERROR(__xludf.DUMMYFUNCTION("""COMPUTED_VALUE"""),0.8561827956989247)</f>
        <v>0.8561827957</v>
      </c>
      <c r="M62" s="197"/>
    </row>
    <row r="63">
      <c r="A63" s="160" t="str">
        <f>IFERROR(__xludf.DUMMYFUNCTION("""COMPUTED_VALUE"""),"61")</f>
        <v>61</v>
      </c>
      <c r="B63" s="198" t="str">
        <f>IFERROR(__xludf.DUMMYFUNCTION("""COMPUTED_VALUE"""),"Trần Nhật Thương")</f>
        <v>Trần Nhật Thương</v>
      </c>
      <c r="C63" s="198" t="str">
        <f>IFERROR(__xludf.DUMMYFUNCTION("""COMPUTED_VALUE"""),"Điểm xử lý hàng Thôn Xuân Phong Nam-An Lão-Bình Định")</f>
        <v>Điểm xử lý hàng Thôn Xuân Phong Nam-An Lão-Bình Định</v>
      </c>
      <c r="D63" s="162">
        <f>IFERROR(__xludf.DUMMYFUNCTION("""COMPUTED_VALUE"""),193.0)</f>
        <v>193</v>
      </c>
      <c r="E63" s="163">
        <f>IFERROR(__xludf.DUMMYFUNCTION("""COMPUTED_VALUE"""),1.0)</f>
        <v>1</v>
      </c>
      <c r="F63" s="163">
        <f>IFERROR(__xludf.DUMMYFUNCTION("""COMPUTED_VALUE"""),0.9015544041450777)</f>
        <v>0.9015544041</v>
      </c>
      <c r="G63" s="162">
        <f>IFERROR(__xludf.DUMMYFUNCTION("""COMPUTED_VALUE"""),15.0)</f>
        <v>15</v>
      </c>
      <c r="H63" s="163">
        <f>IFERROR(__xludf.DUMMYFUNCTION("""COMPUTED_VALUE"""),1.0)</f>
        <v>1</v>
      </c>
      <c r="I63" s="163">
        <f>IFERROR(__xludf.DUMMYFUNCTION("""COMPUTED_VALUE"""),0.4)</f>
        <v>0.4</v>
      </c>
      <c r="J63" s="162">
        <f>IFERROR(__xludf.DUMMYFUNCTION("""COMPUTED_VALUE"""),208.0)</f>
        <v>208</v>
      </c>
      <c r="K63" s="163">
        <f>IFERROR(__xludf.DUMMYFUNCTION("""COMPUTED_VALUE"""),1.0)</f>
        <v>1</v>
      </c>
      <c r="L63" s="163">
        <f>IFERROR(__xludf.DUMMYFUNCTION("""COMPUTED_VALUE"""),0.8653846153846154)</f>
        <v>0.8653846154</v>
      </c>
    </row>
    <row r="64">
      <c r="A64" s="193" t="str">
        <f>IFERROR(__xludf.DUMMYFUNCTION("""COMPUTED_VALUE"""),"62")</f>
        <v>62</v>
      </c>
      <c r="B64" s="194" t="str">
        <f>IFERROR(__xludf.DUMMYFUNCTION("""COMPUTED_VALUE"""),"Phan Thanh Thức")</f>
        <v>Phan Thanh Thức</v>
      </c>
      <c r="C64" s="194" t="str">
        <f>IFERROR(__xludf.DUMMYFUNCTION("""COMPUTED_VALUE"""),"BC 767 Hùng Vương-Quy Nhơn-Bình Định")</f>
        <v>BC 767 Hùng Vương-Quy Nhơn-Bình Định</v>
      </c>
      <c r="D64" s="195">
        <f>IFERROR(__xludf.DUMMYFUNCTION("""COMPUTED_VALUE"""),682.0)</f>
        <v>682</v>
      </c>
      <c r="E64" s="196">
        <f>IFERROR(__xludf.DUMMYFUNCTION("""COMPUTED_VALUE"""),0.9970674486803519)</f>
        <v>0.9970674487</v>
      </c>
      <c r="F64" s="196">
        <f>IFERROR(__xludf.DUMMYFUNCTION("""COMPUTED_VALUE"""),0.9134897360703812)</f>
        <v>0.9134897361</v>
      </c>
      <c r="G64" s="195">
        <f>IFERROR(__xludf.DUMMYFUNCTION("""COMPUTED_VALUE"""),63.0)</f>
        <v>63</v>
      </c>
      <c r="H64" s="196">
        <f>IFERROR(__xludf.DUMMYFUNCTION("""COMPUTED_VALUE"""),0.9523809523809523)</f>
        <v>0.9523809524</v>
      </c>
      <c r="I64" s="196">
        <f>IFERROR(__xludf.DUMMYFUNCTION("""COMPUTED_VALUE"""),0.47619047619047616)</f>
        <v>0.4761904762</v>
      </c>
      <c r="J64" s="195">
        <f>IFERROR(__xludf.DUMMYFUNCTION("""COMPUTED_VALUE"""),745.0)</f>
        <v>745</v>
      </c>
      <c r="K64" s="196">
        <f>IFERROR(__xludf.DUMMYFUNCTION("""COMPUTED_VALUE"""),0.9932885906040269)</f>
        <v>0.9932885906</v>
      </c>
      <c r="L64" s="196">
        <f>IFERROR(__xludf.DUMMYFUNCTION("""COMPUTED_VALUE"""),0.876510067114094)</f>
        <v>0.8765100671</v>
      </c>
      <c r="M64" s="51"/>
      <c r="N64" s="51"/>
      <c r="O64" s="51"/>
      <c r="P64" s="51"/>
      <c r="Q64" s="51"/>
      <c r="R64" s="51"/>
      <c r="S64" s="51"/>
      <c r="T64" s="51"/>
      <c r="U64" s="51"/>
    </row>
    <row r="65">
      <c r="A65" s="193" t="str">
        <f>IFERROR(__xludf.DUMMYFUNCTION("""COMPUTED_VALUE"""),"63")</f>
        <v>63</v>
      </c>
      <c r="B65" s="194" t="str">
        <f>IFERROR(__xludf.DUMMYFUNCTION("""COMPUTED_VALUE"""),"Lê Trọng Khiêm")</f>
        <v>Lê Trọng Khiêm</v>
      </c>
      <c r="C65" s="194" t="str">
        <f>IFERROR(__xludf.DUMMYFUNCTION("""COMPUTED_VALUE"""),"BC Đường Tỉnh 643-Xã Tuy An Nam-Phú Yên")</f>
        <v>BC Đường Tỉnh 643-Xã Tuy An Nam-Phú Yên</v>
      </c>
      <c r="D65" s="195">
        <f>IFERROR(__xludf.DUMMYFUNCTION("""COMPUTED_VALUE"""),235.0)</f>
        <v>235</v>
      </c>
      <c r="E65" s="196">
        <f>IFERROR(__xludf.DUMMYFUNCTION("""COMPUTED_VALUE"""),1.0)</f>
        <v>1</v>
      </c>
      <c r="F65" s="196">
        <f>IFERROR(__xludf.DUMMYFUNCTION("""COMPUTED_VALUE"""),0.9148936170212766)</f>
        <v>0.914893617</v>
      </c>
      <c r="G65" s="195">
        <f>IFERROR(__xludf.DUMMYFUNCTION("""COMPUTED_VALUE"""),20.0)</f>
        <v>20</v>
      </c>
      <c r="H65" s="196">
        <f>IFERROR(__xludf.DUMMYFUNCTION("""COMPUTED_VALUE"""),0.95)</f>
        <v>0.95</v>
      </c>
      <c r="I65" s="196">
        <f>IFERROR(__xludf.DUMMYFUNCTION("""COMPUTED_VALUE"""),0.45)</f>
        <v>0.45</v>
      </c>
      <c r="J65" s="195">
        <f>IFERROR(__xludf.DUMMYFUNCTION("""COMPUTED_VALUE"""),255.0)</f>
        <v>255</v>
      </c>
      <c r="K65" s="196">
        <f>IFERROR(__xludf.DUMMYFUNCTION("""COMPUTED_VALUE"""),0.996078431372549)</f>
        <v>0.9960784314</v>
      </c>
      <c r="L65" s="196">
        <f>IFERROR(__xludf.DUMMYFUNCTION("""COMPUTED_VALUE"""),0.8784313725490196)</f>
        <v>0.8784313725</v>
      </c>
      <c r="M65" s="51"/>
      <c r="N65" s="51"/>
      <c r="O65" s="51"/>
      <c r="P65" s="51"/>
      <c r="Q65" s="51"/>
      <c r="R65" s="51"/>
      <c r="S65" s="51"/>
      <c r="T65" s="51"/>
      <c r="U65" s="51"/>
    </row>
    <row r="66">
      <c r="A66" s="193" t="str">
        <f>IFERROR(__xludf.DUMMYFUNCTION("""COMPUTED_VALUE"""),"64")</f>
        <v>64</v>
      </c>
      <c r="B66" s="194" t="str">
        <f>IFERROR(__xludf.DUMMYFUNCTION("""COMPUTED_VALUE"""),"Võ Thanh Diệu ")</f>
        <v>Võ Thanh Diệu </v>
      </c>
      <c r="C66" s="48" t="str">
        <f>IFERROR(__xludf.DUMMYFUNCTION("""COMPUTED_VALUE"""),"BC 269 Tây Sơn-Quy Nhơn-Bình Định")</f>
        <v>BC 269 Tây Sơn-Quy Nhơn-Bình Định</v>
      </c>
      <c r="D66" s="33">
        <f>IFERROR(__xludf.DUMMYFUNCTION("""COMPUTED_VALUE"""),1393.0)</f>
        <v>1393</v>
      </c>
      <c r="E66" s="34">
        <f>IFERROR(__xludf.DUMMYFUNCTION("""COMPUTED_VALUE"""),1.0)</f>
        <v>1</v>
      </c>
      <c r="F66" s="34">
        <f>IFERROR(__xludf.DUMMYFUNCTION("""COMPUTED_VALUE"""),0.9267767408470926)</f>
        <v>0.9267767408</v>
      </c>
      <c r="G66" s="33">
        <f>IFERROR(__xludf.DUMMYFUNCTION("""COMPUTED_VALUE"""),114.0)</f>
        <v>114</v>
      </c>
      <c r="H66" s="34">
        <f>IFERROR(__xludf.DUMMYFUNCTION("""COMPUTED_VALUE"""),1.0)</f>
        <v>1</v>
      </c>
      <c r="I66" s="34">
        <f>IFERROR(__xludf.DUMMYFUNCTION("""COMPUTED_VALUE"""),0.39473684210526316)</f>
        <v>0.3947368421</v>
      </c>
      <c r="J66" s="33">
        <f>IFERROR(__xludf.DUMMYFUNCTION("""COMPUTED_VALUE"""),1507.0)</f>
        <v>1507</v>
      </c>
      <c r="K66" s="34">
        <f>IFERROR(__xludf.DUMMYFUNCTION("""COMPUTED_VALUE"""),1.0)</f>
        <v>1</v>
      </c>
      <c r="L66" s="34">
        <f>IFERROR(__xludf.DUMMYFUNCTION("""COMPUTED_VALUE"""),0.8865295288652952)</f>
        <v>0.8865295289</v>
      </c>
    </row>
    <row r="67">
      <c r="A67" s="36" t="str">
        <f>IFERROR(__xludf.DUMMYFUNCTION("""COMPUTED_VALUE"""),"65")</f>
        <v>65</v>
      </c>
      <c r="B67" s="48" t="str">
        <f>IFERROR(__xludf.DUMMYFUNCTION("""COMPUTED_VALUE"""),"Lê Trọng Khiêm")</f>
        <v>Lê Trọng Khiêm</v>
      </c>
      <c r="C67" s="48" t="str">
        <f>IFERROR(__xludf.DUMMYFUNCTION("""COMPUTED_VALUE"""),"BC 71 Quốc Lộ 1A-Xã Tuy An Bắc-Phú Yên")</f>
        <v>BC 71 Quốc Lộ 1A-Xã Tuy An Bắc-Phú Yên</v>
      </c>
      <c r="D67" s="33">
        <f>IFERROR(__xludf.DUMMYFUNCTION("""COMPUTED_VALUE"""),299.0)</f>
        <v>299</v>
      </c>
      <c r="E67" s="34">
        <f>IFERROR(__xludf.DUMMYFUNCTION("""COMPUTED_VALUE"""),0.9933110367892977)</f>
        <v>0.9933110368</v>
      </c>
      <c r="F67" s="34">
        <f>IFERROR(__xludf.DUMMYFUNCTION("""COMPUTED_VALUE"""),0.939799331103679)</f>
        <v>0.9397993311</v>
      </c>
      <c r="G67" s="33">
        <f>IFERROR(__xludf.DUMMYFUNCTION("""COMPUTED_VALUE"""),28.0)</f>
        <v>28</v>
      </c>
      <c r="H67" s="34">
        <f>IFERROR(__xludf.DUMMYFUNCTION("""COMPUTED_VALUE"""),1.0)</f>
        <v>1</v>
      </c>
      <c r="I67" s="34">
        <f>IFERROR(__xludf.DUMMYFUNCTION("""COMPUTED_VALUE"""),0.35714285714285715)</f>
        <v>0.3571428571</v>
      </c>
      <c r="J67" s="36">
        <f>IFERROR(__xludf.DUMMYFUNCTION("""COMPUTED_VALUE"""),327.0)</f>
        <v>327</v>
      </c>
      <c r="K67" s="34">
        <f>IFERROR(__xludf.DUMMYFUNCTION("""COMPUTED_VALUE"""),0.9938837920489296)</f>
        <v>0.993883792</v>
      </c>
      <c r="L67" s="34">
        <f>IFERROR(__xludf.DUMMYFUNCTION("""COMPUTED_VALUE"""),0.8899082568807339)</f>
        <v>0.8899082569</v>
      </c>
    </row>
    <row r="68">
      <c r="A68" s="178"/>
      <c r="B68" s="199"/>
      <c r="C68" s="178" t="str">
        <f>IFERROR(__xludf.DUMMYFUNCTION("""COMPUTED_VALUE"""),"Grand Total")</f>
        <v>Grand Total</v>
      </c>
      <c r="D68" s="88">
        <f>IFERROR(__xludf.DUMMYFUNCTION("""COMPUTED_VALUE"""),39865.0)</f>
        <v>39865</v>
      </c>
      <c r="E68" s="90">
        <f>IFERROR(__xludf.DUMMYFUNCTION("""COMPUTED_VALUE"""),0.9852000501693214)</f>
        <v>0.9852000502</v>
      </c>
      <c r="F68" s="90">
        <f>IFERROR(__xludf.DUMMYFUNCTION("""COMPUTED_VALUE"""),0.8303775241439859)</f>
        <v>0.8303775241</v>
      </c>
      <c r="G68" s="88">
        <f>IFERROR(__xludf.DUMMYFUNCTION("""COMPUTED_VALUE"""),10698.0)</f>
        <v>10698</v>
      </c>
      <c r="H68" s="90">
        <f>IFERROR(__xludf.DUMMYFUNCTION("""COMPUTED_VALUE"""),0.9420452421013273)</f>
        <v>0.9420452421</v>
      </c>
      <c r="I68" s="90">
        <f>IFERROR(__xludf.DUMMYFUNCTION("""COMPUTED_VALUE"""),0.4438212750046738)</f>
        <v>0.443821275</v>
      </c>
      <c r="J68" s="88">
        <f>IFERROR(__xludf.DUMMYFUNCTION("""COMPUTED_VALUE"""),50563.0)</f>
        <v>50563</v>
      </c>
      <c r="K68" s="90">
        <f>IFERROR(__xludf.DUMMYFUNCTION("""COMPUTED_VALUE"""),0.9760694579040009)</f>
        <v>0.9760694579</v>
      </c>
      <c r="L68" s="90">
        <f>IFERROR(__xludf.DUMMYFUNCTION("""COMPUTED_VALUE"""),0.7485908668393885)</f>
        <v>0.7485908668</v>
      </c>
      <c r="M68" s="181"/>
      <c r="N68" s="181"/>
      <c r="O68" s="181"/>
      <c r="P68" s="181"/>
      <c r="Q68" s="181"/>
      <c r="R68" s="181"/>
      <c r="S68" s="181"/>
      <c r="T68" s="181"/>
      <c r="U68" s="181"/>
    </row>
    <row r="69">
      <c r="B69" s="200"/>
      <c r="C69" s="200"/>
      <c r="J69" s="49"/>
    </row>
    <row r="70">
      <c r="B70" s="200"/>
      <c r="C70" s="200"/>
      <c r="J70" s="49"/>
    </row>
    <row r="71">
      <c r="B71" s="200"/>
      <c r="C71" s="200"/>
      <c r="J71" s="49"/>
    </row>
    <row r="72">
      <c r="B72" s="200"/>
      <c r="C72" s="200"/>
      <c r="J72" s="49"/>
    </row>
    <row r="73">
      <c r="B73" s="200"/>
      <c r="C73" s="200"/>
      <c r="J73" s="49"/>
    </row>
    <row r="74">
      <c r="B74" s="200"/>
      <c r="C74" s="200"/>
      <c r="J74" s="49"/>
    </row>
    <row r="75">
      <c r="B75" s="200"/>
      <c r="C75" s="200"/>
      <c r="J75" s="49"/>
    </row>
    <row r="76">
      <c r="B76" s="200"/>
      <c r="C76" s="200"/>
    </row>
    <row r="77">
      <c r="B77" s="200"/>
      <c r="C77" s="200"/>
    </row>
    <row r="78">
      <c r="B78" s="200"/>
      <c r="C78" s="200"/>
    </row>
    <row r="79">
      <c r="B79" s="200"/>
      <c r="C79" s="200"/>
    </row>
    <row r="80">
      <c r="B80" s="200"/>
      <c r="C80" s="200"/>
    </row>
    <row r="81">
      <c r="B81" s="200"/>
      <c r="C81" s="200"/>
    </row>
    <row r="82">
      <c r="B82" s="200"/>
      <c r="C82" s="200"/>
    </row>
    <row r="83">
      <c r="B83" s="200"/>
      <c r="C83" s="200"/>
    </row>
    <row r="84">
      <c r="B84" s="200"/>
      <c r="C84" s="200"/>
    </row>
    <row r="85">
      <c r="B85" s="200"/>
      <c r="C85" s="200"/>
    </row>
    <row r="86">
      <c r="B86" s="200"/>
      <c r="C86" s="200"/>
    </row>
    <row r="87">
      <c r="B87" s="200"/>
      <c r="C87" s="200"/>
    </row>
    <row r="88">
      <c r="B88" s="200"/>
      <c r="C88" s="200"/>
    </row>
    <row r="89">
      <c r="B89" s="200"/>
      <c r="C89" s="200"/>
    </row>
    <row r="90">
      <c r="B90" s="200"/>
      <c r="C90" s="200"/>
    </row>
    <row r="91">
      <c r="B91" s="200"/>
      <c r="C91" s="200"/>
    </row>
    <row r="92">
      <c r="B92" s="200"/>
      <c r="C92" s="200"/>
    </row>
    <row r="93">
      <c r="B93" s="200"/>
      <c r="C93" s="200"/>
    </row>
    <row r="94">
      <c r="B94" s="200"/>
      <c r="C94" s="200"/>
    </row>
    <row r="95">
      <c r="B95" s="200"/>
      <c r="C95" s="200"/>
    </row>
    <row r="96">
      <c r="B96" s="200"/>
      <c r="C96" s="200"/>
    </row>
    <row r="97">
      <c r="B97" s="200"/>
      <c r="C97" s="200"/>
    </row>
    <row r="98">
      <c r="B98" s="200"/>
      <c r="C98" s="200"/>
    </row>
    <row r="99">
      <c r="B99" s="200"/>
      <c r="C99" s="200"/>
    </row>
    <row r="100">
      <c r="B100" s="200"/>
      <c r="C100" s="200"/>
    </row>
    <row r="101">
      <c r="B101" s="200"/>
      <c r="C101" s="200"/>
    </row>
    <row r="102">
      <c r="B102" s="200"/>
      <c r="C102" s="200"/>
    </row>
    <row r="103">
      <c r="B103" s="200"/>
      <c r="C103" s="200"/>
    </row>
    <row r="104">
      <c r="B104" s="200"/>
      <c r="C104" s="200"/>
    </row>
    <row r="105">
      <c r="B105" s="200"/>
      <c r="C105" s="200"/>
    </row>
    <row r="106">
      <c r="B106" s="200"/>
      <c r="C106" s="200"/>
    </row>
    <row r="107">
      <c r="B107" s="200"/>
      <c r="C107" s="200"/>
    </row>
    <row r="108">
      <c r="B108" s="200"/>
      <c r="C108" s="200"/>
    </row>
    <row r="109">
      <c r="B109" s="200"/>
      <c r="C109" s="200"/>
    </row>
    <row r="110">
      <c r="B110" s="200"/>
      <c r="C110" s="200"/>
    </row>
    <row r="111">
      <c r="B111" s="200"/>
      <c r="C111" s="200"/>
    </row>
    <row r="112">
      <c r="B112" s="200"/>
      <c r="C112" s="200"/>
    </row>
    <row r="113">
      <c r="B113" s="200"/>
      <c r="C113" s="200"/>
    </row>
    <row r="114">
      <c r="B114" s="200"/>
      <c r="C114" s="200"/>
    </row>
    <row r="115">
      <c r="B115" s="200"/>
      <c r="C115" s="200"/>
    </row>
    <row r="116">
      <c r="B116" s="200"/>
      <c r="C116" s="200"/>
    </row>
    <row r="117">
      <c r="B117" s="200"/>
      <c r="C117" s="200"/>
    </row>
    <row r="118">
      <c r="B118" s="200"/>
      <c r="C118" s="200"/>
    </row>
    <row r="119">
      <c r="B119" s="200"/>
      <c r="C119" s="200"/>
    </row>
    <row r="120">
      <c r="B120" s="200"/>
      <c r="C120" s="200"/>
    </row>
    <row r="121">
      <c r="B121" s="200"/>
      <c r="C121" s="200"/>
    </row>
    <row r="122">
      <c r="B122" s="200"/>
      <c r="C122" s="200"/>
    </row>
    <row r="123">
      <c r="B123" s="200"/>
      <c r="C123" s="200"/>
    </row>
    <row r="124">
      <c r="B124" s="200"/>
      <c r="C124" s="200"/>
    </row>
    <row r="125">
      <c r="B125" s="200"/>
      <c r="C125" s="200"/>
    </row>
    <row r="126">
      <c r="B126" s="200"/>
      <c r="C126" s="200"/>
    </row>
    <row r="127">
      <c r="B127" s="200"/>
      <c r="C127" s="200"/>
    </row>
    <row r="128">
      <c r="B128" s="200"/>
      <c r="C128" s="200"/>
    </row>
    <row r="129">
      <c r="B129" s="200"/>
      <c r="C129" s="200"/>
    </row>
    <row r="130">
      <c r="B130" s="200"/>
      <c r="C130" s="200"/>
    </row>
  </sheetData>
  <mergeCells count="6">
    <mergeCell ref="A1:A2"/>
    <mergeCell ref="B1:B2"/>
    <mergeCell ref="C1:C2"/>
    <mergeCell ref="D1:F1"/>
    <mergeCell ref="G1:I1"/>
    <mergeCell ref="J1:K1"/>
  </mergeCells>
  <conditionalFormatting sqref="L3:L58">
    <cfRule type="colorScale" priority="1">
      <colorScale>
        <cfvo type="min"/>
        <cfvo type="max"/>
        <color rgb="FFE67C73"/>
        <color rgb="FFFFFFFF"/>
      </colorScale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0"/>
    <col customWidth="1" min="2" max="2" width="18.25"/>
    <col customWidth="1" min="3" max="3" width="45.88"/>
    <col customWidth="1" min="4" max="4" width="7.88"/>
    <col customWidth="1" min="5" max="5" width="9.0"/>
    <col customWidth="1" min="6" max="6" width="8.75"/>
    <col customWidth="1" min="7" max="7" width="7.75"/>
    <col customWidth="1" min="8" max="8" width="8.75"/>
    <col customWidth="1" min="9" max="9" width="8.38"/>
    <col customWidth="1" min="10" max="10" width="8.5"/>
    <col customWidth="1" min="11" max="11" width="9.88"/>
    <col customWidth="1" min="12" max="12" width="7.25"/>
    <col customWidth="1" min="13" max="13" width="7.5"/>
    <col customWidth="1" min="14" max="14" width="9.75"/>
    <col customWidth="1" min="15" max="15" width="9.13"/>
    <col customWidth="1" min="16" max="16" width="11.13"/>
    <col customWidth="1" min="17" max="17" width="8.38"/>
  </cols>
  <sheetData>
    <row r="1">
      <c r="A1" s="201" t="s">
        <v>32</v>
      </c>
      <c r="B1" s="202" t="s">
        <v>15</v>
      </c>
      <c r="C1" s="202" t="s">
        <v>27</v>
      </c>
      <c r="D1" s="138" t="s">
        <v>17</v>
      </c>
      <c r="E1" s="139"/>
      <c r="F1" s="140"/>
      <c r="G1" s="141" t="s">
        <v>28</v>
      </c>
      <c r="H1" s="139"/>
      <c r="I1" s="140"/>
      <c r="J1" s="142" t="s">
        <v>18</v>
      </c>
      <c r="K1" s="139"/>
      <c r="L1" s="140"/>
      <c r="M1" s="143" t="s">
        <v>19</v>
      </c>
      <c r="N1" s="140"/>
      <c r="O1" s="144">
        <f>today()-1</f>
        <v>46162</v>
      </c>
      <c r="P1" s="140"/>
      <c r="Q1" s="145"/>
      <c r="R1" s="203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</row>
    <row r="2">
      <c r="A2" s="146"/>
      <c r="B2" s="146"/>
      <c r="C2" s="146"/>
      <c r="D2" s="204" t="s">
        <v>20</v>
      </c>
      <c r="E2" s="204" t="s">
        <v>29</v>
      </c>
      <c r="F2" s="204" t="s">
        <v>30</v>
      </c>
      <c r="G2" s="204" t="s">
        <v>20</v>
      </c>
      <c r="H2" s="204" t="s">
        <v>29</v>
      </c>
      <c r="I2" s="204" t="s">
        <v>30</v>
      </c>
      <c r="J2" s="204" t="s">
        <v>20</v>
      </c>
      <c r="K2" s="204" t="s">
        <v>29</v>
      </c>
      <c r="L2" s="204" t="s">
        <v>30</v>
      </c>
      <c r="M2" s="204" t="s">
        <v>20</v>
      </c>
      <c r="N2" s="204" t="s">
        <v>29</v>
      </c>
      <c r="O2" s="204" t="s">
        <v>30</v>
      </c>
      <c r="P2" s="204" t="s">
        <v>31</v>
      </c>
      <c r="Q2" s="145"/>
      <c r="R2" s="203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</row>
    <row r="3">
      <c r="A3" s="148" t="str">
        <f>IFERROR(__xludf.DUMMYFUNCTION("IMPORTRANGE(""https://docs.google.com/spreadsheets/d/1487b2qDJjFxuit1ljyyJ220-vW46d0ImSvFQle7Fw-k/edit?gid=993384841#gid=993384841#gid=2083742761"",""PV 2!A72:P137"")"),"1")</f>
        <v>1</v>
      </c>
      <c r="B3" s="149" t="str">
        <f>IFERROR(__xludf.DUMMYFUNCTION("""COMPUTED_VALUE"""),"Nguyễn Thị Bảo Nhi")</f>
        <v>Nguyễn Thị Bảo Nhi</v>
      </c>
      <c r="C3" s="149" t="str">
        <f>IFERROR(__xludf.DUMMYFUNCTION("""COMPUTED_VALUE"""),"BC 09 Quốc Lộ 14-Hoà Phú-Đắk Lắk")</f>
        <v>BC 09 Quốc Lộ 14-Hoà Phú-Đắk Lắk</v>
      </c>
      <c r="D3" s="150">
        <f>IFERROR(__xludf.DUMMYFUNCTION("""COMPUTED_VALUE"""),60.0)</f>
        <v>60</v>
      </c>
      <c r="E3" s="151">
        <f>IFERROR(__xludf.DUMMYFUNCTION("""COMPUTED_VALUE"""),0.75)</f>
        <v>0.75</v>
      </c>
      <c r="F3" s="151">
        <f>IFERROR(__xludf.DUMMYFUNCTION("""COMPUTED_VALUE"""),0.55)</f>
        <v>0.55</v>
      </c>
      <c r="G3" s="150"/>
      <c r="H3" s="148"/>
      <c r="I3" s="148"/>
      <c r="J3" s="150">
        <f>IFERROR(__xludf.DUMMYFUNCTION("""COMPUTED_VALUE"""),71.0)</f>
        <v>71</v>
      </c>
      <c r="K3" s="151">
        <f>IFERROR(__xludf.DUMMYFUNCTION("""COMPUTED_VALUE"""),0.7887323943661971)</f>
        <v>0.7887323944</v>
      </c>
      <c r="L3" s="151">
        <f>IFERROR(__xludf.DUMMYFUNCTION("""COMPUTED_VALUE"""),0.4084507042253521)</f>
        <v>0.4084507042</v>
      </c>
      <c r="M3" s="150">
        <f>IFERROR(__xludf.DUMMYFUNCTION("""COMPUTED_VALUE"""),131.0)</f>
        <v>131</v>
      </c>
      <c r="N3" s="151">
        <f>IFERROR(__xludf.DUMMYFUNCTION("""COMPUTED_VALUE"""),0.7709923664122137)</f>
        <v>0.7709923664</v>
      </c>
      <c r="O3" s="151">
        <f>IFERROR(__xludf.DUMMYFUNCTION("""COMPUTED_VALUE"""),0.4732824427480916)</f>
        <v>0.4732824427</v>
      </c>
      <c r="P3" s="152">
        <f>IFERROR(__xludf.DUMMYFUNCTION("""COMPUTED_VALUE"""),29.241935483870968)</f>
        <v>29.24193548</v>
      </c>
      <c r="Q3" s="153"/>
      <c r="R3" s="205"/>
      <c r="T3" s="206"/>
      <c r="U3" s="206"/>
      <c r="V3" s="207"/>
      <c r="W3" s="206"/>
      <c r="X3" s="206"/>
      <c r="Y3" s="207"/>
      <c r="Z3" s="206"/>
      <c r="AA3" s="206"/>
      <c r="AB3" s="207"/>
      <c r="AC3" s="206"/>
    </row>
    <row r="4">
      <c r="A4" s="148" t="str">
        <f>IFERROR(__xludf.DUMMYFUNCTION("""COMPUTED_VALUE"""),"2")</f>
        <v>2</v>
      </c>
      <c r="B4" s="149" t="str">
        <f>IFERROR(__xludf.DUMMYFUNCTION("""COMPUTED_VALUE"""),"Nguyễn Thị Bảo Nhi")</f>
        <v>Nguyễn Thị Bảo Nhi</v>
      </c>
      <c r="C4" s="149" t="str">
        <f>IFERROR(__xludf.DUMMYFUNCTION("""COMPUTED_VALUE"""),"BC 70 Đường 30/4-Ea Tam-Buôn Ma Thuột-Đắk Lắk ")</f>
        <v>BC 70 Đường 30/4-Ea Tam-Buôn Ma Thuột-Đắk Lắk </v>
      </c>
      <c r="D4" s="150">
        <f>IFERROR(__xludf.DUMMYFUNCTION("""COMPUTED_VALUE"""),115.0)</f>
        <v>115</v>
      </c>
      <c r="E4" s="151">
        <f>IFERROR(__xludf.DUMMYFUNCTION("""COMPUTED_VALUE"""),0.8782608695652174)</f>
        <v>0.8782608696</v>
      </c>
      <c r="F4" s="151">
        <f>IFERROR(__xludf.DUMMYFUNCTION("""COMPUTED_VALUE"""),0.7565217391304347)</f>
        <v>0.7565217391</v>
      </c>
      <c r="G4" s="150">
        <f>IFERROR(__xludf.DUMMYFUNCTION("""COMPUTED_VALUE"""),74.0)</f>
        <v>74</v>
      </c>
      <c r="H4" s="151">
        <f>IFERROR(__xludf.DUMMYFUNCTION("""COMPUTED_VALUE"""),0.581081081081081)</f>
        <v>0.5810810811</v>
      </c>
      <c r="I4" s="151">
        <f>IFERROR(__xludf.DUMMYFUNCTION("""COMPUTED_VALUE"""),0.32432432432432434)</f>
        <v>0.3243243243</v>
      </c>
      <c r="J4" s="150">
        <f>IFERROR(__xludf.DUMMYFUNCTION("""COMPUTED_VALUE"""),102.0)</f>
        <v>102</v>
      </c>
      <c r="K4" s="151">
        <f>IFERROR(__xludf.DUMMYFUNCTION("""COMPUTED_VALUE"""),0.6372549019607843)</f>
        <v>0.637254902</v>
      </c>
      <c r="L4" s="151">
        <f>IFERROR(__xludf.DUMMYFUNCTION("""COMPUTED_VALUE"""),0.29411764705882354)</f>
        <v>0.2941176471</v>
      </c>
      <c r="M4" s="150">
        <f>IFERROR(__xludf.DUMMYFUNCTION("""COMPUTED_VALUE"""),291.0)</f>
        <v>291</v>
      </c>
      <c r="N4" s="151">
        <f>IFERROR(__xludf.DUMMYFUNCTION("""COMPUTED_VALUE"""),0.718213058419244)</f>
        <v>0.7182130584</v>
      </c>
      <c r="O4" s="151">
        <f>IFERROR(__xludf.DUMMYFUNCTION("""COMPUTED_VALUE"""),0.4845360824742268)</f>
        <v>0.4845360825</v>
      </c>
      <c r="P4" s="152">
        <f>IFERROR(__xludf.DUMMYFUNCTION("""COMPUTED_VALUE"""),22.04255319148936)</f>
        <v>22.04255319</v>
      </c>
      <c r="Q4" s="153"/>
      <c r="R4" s="205"/>
      <c r="T4" s="206"/>
      <c r="U4" s="206"/>
      <c r="V4" s="207"/>
      <c r="W4" s="206"/>
      <c r="X4" s="206"/>
      <c r="Y4" s="207"/>
      <c r="Z4" s="206"/>
      <c r="AA4" s="206"/>
      <c r="AB4" s="207"/>
      <c r="AC4" s="206"/>
    </row>
    <row r="5">
      <c r="A5" s="148" t="str">
        <f>IFERROR(__xludf.DUMMYFUNCTION("""COMPUTED_VALUE"""),"3")</f>
        <v>3</v>
      </c>
      <c r="B5" s="149" t="str">
        <f>IFERROR(__xludf.DUMMYFUNCTION("""COMPUTED_VALUE"""),"Lê Văn Tài")</f>
        <v>Lê Văn Tài</v>
      </c>
      <c r="C5" s="149" t="str">
        <f>IFERROR(__xludf.DUMMYFUNCTION("""COMPUTED_VALUE"""),"BC Phạm Văn Đồng-Pơng Đrang-Krông Búk-Đắk Lắk")</f>
        <v>BC Phạm Văn Đồng-Pơng Đrang-Krông Búk-Đắk Lắk</v>
      </c>
      <c r="D5" s="150">
        <f>IFERROR(__xludf.DUMMYFUNCTION("""COMPUTED_VALUE"""),101.0)</f>
        <v>101</v>
      </c>
      <c r="E5" s="151">
        <f>IFERROR(__xludf.DUMMYFUNCTION("""COMPUTED_VALUE"""),0.8415841584158416)</f>
        <v>0.8415841584</v>
      </c>
      <c r="F5" s="151">
        <f>IFERROR(__xludf.DUMMYFUNCTION("""COMPUTED_VALUE"""),0.6534653465346535)</f>
        <v>0.6534653465</v>
      </c>
      <c r="G5" s="150"/>
      <c r="H5" s="148"/>
      <c r="I5" s="148"/>
      <c r="J5" s="150">
        <f>IFERROR(__xludf.DUMMYFUNCTION("""COMPUTED_VALUE"""),113.0)</f>
        <v>113</v>
      </c>
      <c r="K5" s="151">
        <f>IFERROR(__xludf.DUMMYFUNCTION("""COMPUTED_VALUE"""),0.7699115044247787)</f>
        <v>0.7699115044</v>
      </c>
      <c r="L5" s="151">
        <f>IFERROR(__xludf.DUMMYFUNCTION("""COMPUTED_VALUE"""),0.415929203539823)</f>
        <v>0.4159292035</v>
      </c>
      <c r="M5" s="150">
        <f>IFERROR(__xludf.DUMMYFUNCTION("""COMPUTED_VALUE"""),214.0)</f>
        <v>214</v>
      </c>
      <c r="N5" s="151">
        <f>IFERROR(__xludf.DUMMYFUNCTION("""COMPUTED_VALUE"""),0.8037383177570093)</f>
        <v>0.8037383178</v>
      </c>
      <c r="O5" s="151">
        <f>IFERROR(__xludf.DUMMYFUNCTION("""COMPUTED_VALUE"""),0.5280373831775701)</f>
        <v>0.5280373832</v>
      </c>
      <c r="P5" s="152">
        <f>IFERROR(__xludf.DUMMYFUNCTION("""COMPUTED_VALUE"""),28.672566371681416)</f>
        <v>28.67256637</v>
      </c>
      <c r="Q5" s="153"/>
      <c r="R5" s="205"/>
      <c r="T5" s="206"/>
      <c r="U5" s="206"/>
      <c r="V5" s="207"/>
      <c r="W5" s="206"/>
      <c r="X5" s="206"/>
      <c r="Y5" s="207"/>
      <c r="Z5" s="206"/>
      <c r="AA5" s="206"/>
      <c r="AB5" s="207"/>
      <c r="AC5" s="206"/>
    </row>
    <row r="6">
      <c r="A6" s="148" t="str">
        <f>IFERROR(__xludf.DUMMYFUNCTION("""COMPUTED_VALUE"""),"4")</f>
        <v>4</v>
      </c>
      <c r="B6" s="149" t="str">
        <f>IFERROR(__xludf.DUMMYFUNCTION("""COMPUTED_VALUE"""),"Nguyễn Văn Sáng")</f>
        <v>Nguyễn Văn Sáng</v>
      </c>
      <c r="C6" s="149" t="str">
        <f>IFERROR(__xludf.DUMMYFUNCTION("""COMPUTED_VALUE"""),"BC 34 Quang Trung-Eakar-Đắk Lắk")</f>
        <v>BC 34 Quang Trung-Eakar-Đắk Lắk</v>
      </c>
      <c r="D6" s="150">
        <f>IFERROR(__xludf.DUMMYFUNCTION("""COMPUTED_VALUE"""),113.0)</f>
        <v>113</v>
      </c>
      <c r="E6" s="151">
        <f>IFERROR(__xludf.DUMMYFUNCTION("""COMPUTED_VALUE"""),0.8053097345132744)</f>
        <v>0.8053097345</v>
      </c>
      <c r="F6" s="151">
        <f>IFERROR(__xludf.DUMMYFUNCTION("""COMPUTED_VALUE"""),0.6106194690265486)</f>
        <v>0.610619469</v>
      </c>
      <c r="G6" s="150"/>
      <c r="H6" s="148"/>
      <c r="I6" s="148"/>
      <c r="J6" s="150">
        <f>IFERROR(__xludf.DUMMYFUNCTION("""COMPUTED_VALUE"""),75.0)</f>
        <v>75</v>
      </c>
      <c r="K6" s="151">
        <f>IFERROR(__xludf.DUMMYFUNCTION("""COMPUTED_VALUE"""),1.0)</f>
        <v>1</v>
      </c>
      <c r="L6" s="151">
        <f>IFERROR(__xludf.DUMMYFUNCTION("""COMPUTED_VALUE"""),0.41333333333333333)</f>
        <v>0.4133333333</v>
      </c>
      <c r="M6" s="150">
        <f>IFERROR(__xludf.DUMMYFUNCTION("""COMPUTED_VALUE"""),188.0)</f>
        <v>188</v>
      </c>
      <c r="N6" s="151">
        <f>IFERROR(__xludf.DUMMYFUNCTION("""COMPUTED_VALUE"""),0.8829787234042553)</f>
        <v>0.8829787234</v>
      </c>
      <c r="O6" s="151">
        <f>IFERROR(__xludf.DUMMYFUNCTION("""COMPUTED_VALUE"""),0.5319148936170213)</f>
        <v>0.5319148936</v>
      </c>
      <c r="P6" s="152">
        <f>IFERROR(__xludf.DUMMYFUNCTION("""COMPUTED_VALUE"""),31.45)</f>
        <v>31.45</v>
      </c>
      <c r="Q6" s="153"/>
      <c r="R6" s="205"/>
      <c r="T6" s="206"/>
      <c r="U6" s="206"/>
      <c r="V6" s="207"/>
      <c r="W6" s="206"/>
      <c r="X6" s="206"/>
      <c r="Y6" s="207"/>
      <c r="Z6" s="206"/>
      <c r="AA6" s="206"/>
      <c r="AB6" s="207"/>
      <c r="AC6" s="206"/>
    </row>
    <row r="7">
      <c r="A7" s="148" t="str">
        <f>IFERROR(__xludf.DUMMYFUNCTION("""COMPUTED_VALUE"""),"5")</f>
        <v>5</v>
      </c>
      <c r="B7" s="149" t="str">
        <f>IFERROR(__xludf.DUMMYFUNCTION("""COMPUTED_VALUE"""),"Lê Văn Tài")</f>
        <v>Lê Văn Tài</v>
      </c>
      <c r="C7" s="149" t="str">
        <f>IFERROR(__xludf.DUMMYFUNCTION("""COMPUTED_VALUE"""),"BC 941 Giải Phóng-Ea Đrăng-Ea H'Leo-Đắk Lắk")</f>
        <v>BC 941 Giải Phóng-Ea Đrăng-Ea H'Leo-Đắk Lắk</v>
      </c>
      <c r="D7" s="150">
        <f>IFERROR(__xludf.DUMMYFUNCTION("""COMPUTED_VALUE"""),164.0)</f>
        <v>164</v>
      </c>
      <c r="E7" s="151">
        <f>IFERROR(__xludf.DUMMYFUNCTION("""COMPUTED_VALUE"""),0.9329268292682927)</f>
        <v>0.9329268293</v>
      </c>
      <c r="F7" s="151">
        <f>IFERROR(__xludf.DUMMYFUNCTION("""COMPUTED_VALUE"""),0.6463414634146342)</f>
        <v>0.6463414634</v>
      </c>
      <c r="G7" s="150"/>
      <c r="H7" s="148"/>
      <c r="I7" s="148"/>
      <c r="J7" s="150">
        <f>IFERROR(__xludf.DUMMYFUNCTION("""COMPUTED_VALUE"""),47.0)</f>
        <v>47</v>
      </c>
      <c r="K7" s="151">
        <f>IFERROR(__xludf.DUMMYFUNCTION("""COMPUTED_VALUE"""),0.9574468085106383)</f>
        <v>0.9574468085</v>
      </c>
      <c r="L7" s="151">
        <f>IFERROR(__xludf.DUMMYFUNCTION("""COMPUTED_VALUE"""),0.3617021276595745)</f>
        <v>0.3617021277</v>
      </c>
      <c r="M7" s="150">
        <f>IFERROR(__xludf.DUMMYFUNCTION("""COMPUTED_VALUE"""),211.0)</f>
        <v>211</v>
      </c>
      <c r="N7" s="151">
        <f>IFERROR(__xludf.DUMMYFUNCTION("""COMPUTED_VALUE"""),0.9383886255924171)</f>
        <v>0.9383886256</v>
      </c>
      <c r="O7" s="151">
        <f>IFERROR(__xludf.DUMMYFUNCTION("""COMPUTED_VALUE"""),0.5829383886255924)</f>
        <v>0.5829383886</v>
      </c>
      <c r="P7" s="152">
        <f>IFERROR(__xludf.DUMMYFUNCTION("""COMPUTED_VALUE"""),16.447154471544714)</f>
        <v>16.44715447</v>
      </c>
      <c r="Q7" s="153"/>
      <c r="R7" s="205"/>
      <c r="T7" s="206"/>
      <c r="U7" s="206"/>
      <c r="V7" s="207"/>
      <c r="W7" s="206"/>
      <c r="X7" s="206"/>
      <c r="Y7" s="207"/>
      <c r="Z7" s="206"/>
      <c r="AA7" s="206"/>
      <c r="AB7" s="207"/>
      <c r="AC7" s="206"/>
    </row>
    <row r="8">
      <c r="A8" s="148" t="str">
        <f>IFERROR(__xludf.DUMMYFUNCTION("""COMPUTED_VALUE"""),"6")</f>
        <v>6</v>
      </c>
      <c r="B8" s="149" t="str">
        <f>IFERROR(__xludf.DUMMYFUNCTION("""COMPUTED_VALUE"""),"Nguyễn Văn Sáng")</f>
        <v>Nguyễn Văn Sáng</v>
      </c>
      <c r="C8" s="149" t="str">
        <f>IFERROR(__xludf.DUMMYFUNCTION("""COMPUTED_VALUE"""),"BC 99 Nguyễn Khuyến-Buôn Ma Thuột-Đắk Lắk")</f>
        <v>BC 99 Nguyễn Khuyến-Buôn Ma Thuột-Đắk Lắk</v>
      </c>
      <c r="D8" s="150">
        <f>IFERROR(__xludf.DUMMYFUNCTION("""COMPUTED_VALUE"""),94.0)</f>
        <v>94</v>
      </c>
      <c r="E8" s="151">
        <f>IFERROR(__xludf.DUMMYFUNCTION("""COMPUTED_VALUE"""),1.0)</f>
        <v>1</v>
      </c>
      <c r="F8" s="151">
        <f>IFERROR(__xludf.DUMMYFUNCTION("""COMPUTED_VALUE"""),0.8297872340425532)</f>
        <v>0.829787234</v>
      </c>
      <c r="G8" s="150">
        <f>IFERROR(__xludf.DUMMYFUNCTION("""COMPUTED_VALUE"""),109.0)</f>
        <v>109</v>
      </c>
      <c r="H8" s="151">
        <f>IFERROR(__xludf.DUMMYFUNCTION("""COMPUTED_VALUE"""),0.5779816513761468)</f>
        <v>0.5779816514</v>
      </c>
      <c r="I8" s="151">
        <f>IFERROR(__xludf.DUMMYFUNCTION("""COMPUTED_VALUE"""),0.48623853211009177)</f>
        <v>0.4862385321</v>
      </c>
      <c r="J8" s="150">
        <f>IFERROR(__xludf.DUMMYFUNCTION("""COMPUTED_VALUE"""),45.0)</f>
        <v>45</v>
      </c>
      <c r="K8" s="151">
        <f>IFERROR(__xludf.DUMMYFUNCTION("""COMPUTED_VALUE"""),0.9777777777777777)</f>
        <v>0.9777777778</v>
      </c>
      <c r="L8" s="151">
        <f>IFERROR(__xludf.DUMMYFUNCTION("""COMPUTED_VALUE"""),0.4)</f>
        <v>0.4</v>
      </c>
      <c r="M8" s="150">
        <f>IFERROR(__xludf.DUMMYFUNCTION("""COMPUTED_VALUE"""),248.0)</f>
        <v>248</v>
      </c>
      <c r="N8" s="151">
        <f>IFERROR(__xludf.DUMMYFUNCTION("""COMPUTED_VALUE"""),0.8104838709677419)</f>
        <v>0.810483871</v>
      </c>
      <c r="O8" s="151">
        <f>IFERROR(__xludf.DUMMYFUNCTION("""COMPUTED_VALUE"""),0.6008064516129032)</f>
        <v>0.6008064516</v>
      </c>
      <c r="P8" s="152">
        <f>IFERROR(__xludf.DUMMYFUNCTION("""COMPUTED_VALUE"""),11.550335570469798)</f>
        <v>11.55033557</v>
      </c>
      <c r="Q8" s="153"/>
      <c r="R8" s="205"/>
      <c r="T8" s="153"/>
      <c r="U8" s="153"/>
      <c r="V8" s="153"/>
      <c r="W8" s="153"/>
      <c r="X8" s="153"/>
      <c r="Y8" s="153"/>
      <c r="Z8" s="153"/>
      <c r="AA8" s="153"/>
      <c r="AB8" s="153"/>
      <c r="AC8" s="153"/>
      <c r="AD8" s="153"/>
    </row>
    <row r="9">
      <c r="A9" s="148" t="str">
        <f>IFERROR(__xludf.DUMMYFUNCTION("""COMPUTED_VALUE"""),"7")</f>
        <v>7</v>
      </c>
      <c r="B9" s="149" t="str">
        <f>IFERROR(__xludf.DUMMYFUNCTION("""COMPUTED_VALUE"""),"Nguyễn  Ngọc Hà")</f>
        <v>Nguyễn  Ngọc Hà</v>
      </c>
      <c r="C9" s="149" t="str">
        <f>IFERROR(__xludf.DUMMYFUNCTION("""COMPUTED_VALUE"""),"BC 01 An Bình-Ea KNốp-Ea Kar-Đắk Lắk")</f>
        <v>BC 01 An Bình-Ea KNốp-Ea Kar-Đắk Lắk</v>
      </c>
      <c r="D9" s="150">
        <f>IFERROR(__xludf.DUMMYFUNCTION("""COMPUTED_VALUE"""),55.0)</f>
        <v>55</v>
      </c>
      <c r="E9" s="151">
        <f>IFERROR(__xludf.DUMMYFUNCTION("""COMPUTED_VALUE"""),1.0)</f>
        <v>1</v>
      </c>
      <c r="F9" s="151">
        <f>IFERROR(__xludf.DUMMYFUNCTION("""COMPUTED_VALUE"""),0.7636363636363637)</f>
        <v>0.7636363636</v>
      </c>
      <c r="G9" s="150">
        <f>IFERROR(__xludf.DUMMYFUNCTION("""COMPUTED_VALUE"""),18.0)</f>
        <v>18</v>
      </c>
      <c r="H9" s="151">
        <f>IFERROR(__xludf.DUMMYFUNCTION("""COMPUTED_VALUE"""),0.05555555555555555)</f>
        <v>0.05555555556</v>
      </c>
      <c r="I9" s="151">
        <f>IFERROR(__xludf.DUMMYFUNCTION("""COMPUTED_VALUE"""),0.05555555555555555)</f>
        <v>0.05555555556</v>
      </c>
      <c r="J9" s="150">
        <f>IFERROR(__xludf.DUMMYFUNCTION("""COMPUTED_VALUE"""),47.0)</f>
        <v>47</v>
      </c>
      <c r="K9" s="151">
        <f>IFERROR(__xludf.DUMMYFUNCTION("""COMPUTED_VALUE"""),0.9361702127659575)</f>
        <v>0.9361702128</v>
      </c>
      <c r="L9" s="151">
        <f>IFERROR(__xludf.DUMMYFUNCTION("""COMPUTED_VALUE"""),0.6382978723404256)</f>
        <v>0.6382978723</v>
      </c>
      <c r="M9" s="150">
        <f>IFERROR(__xludf.DUMMYFUNCTION("""COMPUTED_VALUE"""),120.0)</f>
        <v>120</v>
      </c>
      <c r="N9" s="151">
        <f>IFERROR(__xludf.DUMMYFUNCTION("""COMPUTED_VALUE"""),0.8333333333333334)</f>
        <v>0.8333333333</v>
      </c>
      <c r="O9" s="151">
        <f>IFERROR(__xludf.DUMMYFUNCTION("""COMPUTED_VALUE"""),0.6083333333333333)</f>
        <v>0.6083333333</v>
      </c>
      <c r="P9" s="152">
        <f>IFERROR(__xludf.DUMMYFUNCTION("""COMPUTED_VALUE"""),21.068493150684933)</f>
        <v>21.06849315</v>
      </c>
      <c r="Q9" s="153"/>
      <c r="R9" s="205"/>
      <c r="T9" s="153"/>
      <c r="U9" s="153"/>
      <c r="V9" s="153"/>
      <c r="W9" s="153"/>
      <c r="X9" s="153"/>
      <c r="Y9" s="153"/>
      <c r="Z9" s="153"/>
      <c r="AA9" s="153"/>
      <c r="AB9" s="153"/>
      <c r="AC9" s="153"/>
      <c r="AD9" s="153"/>
    </row>
    <row r="10">
      <c r="A10" s="148" t="str">
        <f>IFERROR(__xludf.DUMMYFUNCTION("""COMPUTED_VALUE"""),"8")</f>
        <v>8</v>
      </c>
      <c r="B10" s="149" t="str">
        <f>IFERROR(__xludf.DUMMYFUNCTION("""COMPUTED_VALUE"""),"Nguyễn  Ngọc Hà")</f>
        <v>Nguyễn  Ngọc Hà</v>
      </c>
      <c r="C10" s="149" t="str">
        <f>IFERROR(__xludf.DUMMYFUNCTION("""COMPUTED_VALUE"""),"BC 125 Lý Chính Thắng-Buôn Ma Thuột-Đắk Lắk")</f>
        <v>BC 125 Lý Chính Thắng-Buôn Ma Thuột-Đắk Lắk</v>
      </c>
      <c r="D10" s="150">
        <f>IFERROR(__xludf.DUMMYFUNCTION("""COMPUTED_VALUE"""),83.0)</f>
        <v>83</v>
      </c>
      <c r="E10" s="151">
        <f>IFERROR(__xludf.DUMMYFUNCTION("""COMPUTED_VALUE"""),0.9518072289156626)</f>
        <v>0.9518072289</v>
      </c>
      <c r="F10" s="151">
        <f>IFERROR(__xludf.DUMMYFUNCTION("""COMPUTED_VALUE"""),0.8433734939759037)</f>
        <v>0.843373494</v>
      </c>
      <c r="G10" s="150">
        <f>IFERROR(__xludf.DUMMYFUNCTION("""COMPUTED_VALUE"""),76.0)</f>
        <v>76</v>
      </c>
      <c r="H10" s="151">
        <f>IFERROR(__xludf.DUMMYFUNCTION("""COMPUTED_VALUE"""),0.3815789473684211)</f>
        <v>0.3815789474</v>
      </c>
      <c r="I10" s="151">
        <f>IFERROR(__xludf.DUMMYFUNCTION("""COMPUTED_VALUE"""),0.35526315789473684)</f>
        <v>0.3552631579</v>
      </c>
      <c r="J10" s="150">
        <f>IFERROR(__xludf.DUMMYFUNCTION("""COMPUTED_VALUE"""),74.0)</f>
        <v>74</v>
      </c>
      <c r="K10" s="151">
        <f>IFERROR(__xludf.DUMMYFUNCTION("""COMPUTED_VALUE"""),0.9864864864864865)</f>
        <v>0.9864864865</v>
      </c>
      <c r="L10" s="151">
        <f>IFERROR(__xludf.DUMMYFUNCTION("""COMPUTED_VALUE"""),0.6891891891891891)</f>
        <v>0.6891891892</v>
      </c>
      <c r="M10" s="150">
        <f>IFERROR(__xludf.DUMMYFUNCTION("""COMPUTED_VALUE"""),233.0)</f>
        <v>233</v>
      </c>
      <c r="N10" s="151">
        <f>IFERROR(__xludf.DUMMYFUNCTION("""COMPUTED_VALUE"""),0.776824034334764)</f>
        <v>0.7768240343</v>
      </c>
      <c r="O10" s="151">
        <f>IFERROR(__xludf.DUMMYFUNCTION("""COMPUTED_VALUE"""),0.6351931330472103)</f>
        <v>0.635193133</v>
      </c>
      <c r="P10" s="152">
        <f>IFERROR(__xludf.DUMMYFUNCTION("""COMPUTED_VALUE"""),21.074324324324323)</f>
        <v>21.07432432</v>
      </c>
      <c r="Q10" s="153"/>
      <c r="R10" s="205"/>
      <c r="T10" s="153"/>
      <c r="U10" s="153"/>
      <c r="V10" s="153"/>
      <c r="W10" s="153"/>
      <c r="X10" s="153"/>
      <c r="Y10" s="153"/>
      <c r="Z10" s="153"/>
      <c r="AA10" s="153"/>
      <c r="AB10" s="153"/>
      <c r="AC10" s="153"/>
      <c r="AD10" s="153"/>
    </row>
    <row r="11">
      <c r="A11" s="148" t="str">
        <f>IFERROR(__xludf.DUMMYFUNCTION("""COMPUTED_VALUE"""),"9")</f>
        <v>9</v>
      </c>
      <c r="B11" s="149" t="str">
        <f>IFERROR(__xludf.DUMMYFUNCTION("""COMPUTED_VALUE"""),"Mai Đức Hoàng Long")</f>
        <v>Mai Đức Hoàng Long</v>
      </c>
      <c r="C11" s="149" t="str">
        <f>IFERROR(__xludf.DUMMYFUNCTION("""COMPUTED_VALUE"""),"BC 204 Trần Hưng Đạo-Buôn Hồ-Đắk Lắk")</f>
        <v>BC 204 Trần Hưng Đạo-Buôn Hồ-Đắk Lắk</v>
      </c>
      <c r="D11" s="150">
        <f>IFERROR(__xludf.DUMMYFUNCTION("""COMPUTED_VALUE"""),126.0)</f>
        <v>126</v>
      </c>
      <c r="E11" s="151">
        <f>IFERROR(__xludf.DUMMYFUNCTION("""COMPUTED_VALUE"""),0.9841269841269841)</f>
        <v>0.9841269841</v>
      </c>
      <c r="F11" s="151">
        <f>IFERROR(__xludf.DUMMYFUNCTION("""COMPUTED_VALUE"""),0.7142857142857143)</f>
        <v>0.7142857143</v>
      </c>
      <c r="G11" s="150"/>
      <c r="H11" s="148"/>
      <c r="I11" s="148"/>
      <c r="J11" s="150">
        <f>IFERROR(__xludf.DUMMYFUNCTION("""COMPUTED_VALUE"""),67.0)</f>
        <v>67</v>
      </c>
      <c r="K11" s="151">
        <f>IFERROR(__xludf.DUMMYFUNCTION("""COMPUTED_VALUE"""),0.9701492537313433)</f>
        <v>0.9701492537</v>
      </c>
      <c r="L11" s="151">
        <f>IFERROR(__xludf.DUMMYFUNCTION("""COMPUTED_VALUE"""),0.5074626865671642)</f>
        <v>0.5074626866</v>
      </c>
      <c r="M11" s="150">
        <f>IFERROR(__xludf.DUMMYFUNCTION("""COMPUTED_VALUE"""),193.0)</f>
        <v>193</v>
      </c>
      <c r="N11" s="151">
        <f>IFERROR(__xludf.DUMMYFUNCTION("""COMPUTED_VALUE"""),0.9792746113989638)</f>
        <v>0.9792746114</v>
      </c>
      <c r="O11" s="151">
        <f>IFERROR(__xludf.DUMMYFUNCTION("""COMPUTED_VALUE"""),0.6424870466321243)</f>
        <v>0.6424870466</v>
      </c>
      <c r="P11" s="152">
        <f>IFERROR(__xludf.DUMMYFUNCTION("""COMPUTED_VALUE"""),24.29032258064516)</f>
        <v>24.29032258</v>
      </c>
      <c r="Q11" s="153"/>
      <c r="R11" s="205"/>
      <c r="T11" s="153"/>
      <c r="U11" s="153"/>
      <c r="V11" s="153"/>
      <c r="W11" s="153"/>
      <c r="X11" s="153"/>
      <c r="Y11" s="153"/>
      <c r="Z11" s="153"/>
      <c r="AA11" s="153"/>
      <c r="AB11" s="153"/>
      <c r="AC11" s="153"/>
      <c r="AD11" s="153"/>
    </row>
    <row r="12">
      <c r="A12" s="148" t="str">
        <f>IFERROR(__xludf.DUMMYFUNCTION("""COMPUTED_VALUE"""),"10")</f>
        <v>10</v>
      </c>
      <c r="B12" s="149" t="str">
        <f>IFERROR(__xludf.DUMMYFUNCTION("""COMPUTED_VALUE"""),"Nguyễn Văn Sáng")</f>
        <v>Nguyễn Văn Sáng</v>
      </c>
      <c r="C12" s="149" t="str">
        <f>IFERROR(__xludf.DUMMYFUNCTION("""COMPUTED_VALUE"""),"BC 132 Hoàng Hoa Thám-Buôn Ma Thuột-Đắk Lắk")</f>
        <v>BC 132 Hoàng Hoa Thám-Buôn Ma Thuột-Đắk Lắk</v>
      </c>
      <c r="D12" s="150">
        <f>IFERROR(__xludf.DUMMYFUNCTION("""COMPUTED_VALUE"""),82.0)</f>
        <v>82</v>
      </c>
      <c r="E12" s="151">
        <f>IFERROR(__xludf.DUMMYFUNCTION("""COMPUTED_VALUE"""),0.975609756097561)</f>
        <v>0.9756097561</v>
      </c>
      <c r="F12" s="151">
        <f>IFERROR(__xludf.DUMMYFUNCTION("""COMPUTED_VALUE"""),0.8414634146341463)</f>
        <v>0.8414634146</v>
      </c>
      <c r="G12" s="150">
        <f>IFERROR(__xludf.DUMMYFUNCTION("""COMPUTED_VALUE"""),93.0)</f>
        <v>93</v>
      </c>
      <c r="H12" s="151">
        <f>IFERROR(__xludf.DUMMYFUNCTION("""COMPUTED_VALUE"""),0.5698924731182796)</f>
        <v>0.5698924731</v>
      </c>
      <c r="I12" s="151">
        <f>IFERROR(__xludf.DUMMYFUNCTION("""COMPUTED_VALUE"""),0.46236559139784944)</f>
        <v>0.4623655914</v>
      </c>
      <c r="J12" s="150">
        <f>IFERROR(__xludf.DUMMYFUNCTION("""COMPUTED_VALUE"""),38.0)</f>
        <v>38</v>
      </c>
      <c r="K12" s="151">
        <f>IFERROR(__xludf.DUMMYFUNCTION("""COMPUTED_VALUE"""),1.0)</f>
        <v>1</v>
      </c>
      <c r="L12" s="151">
        <f>IFERROR(__xludf.DUMMYFUNCTION("""COMPUTED_VALUE"""),0.6578947368421053)</f>
        <v>0.6578947368</v>
      </c>
      <c r="M12" s="150">
        <f>IFERROR(__xludf.DUMMYFUNCTION("""COMPUTED_VALUE"""),213.0)</f>
        <v>213</v>
      </c>
      <c r="N12" s="151">
        <f>IFERROR(__xludf.DUMMYFUNCTION("""COMPUTED_VALUE"""),0.8028169014084507)</f>
        <v>0.8028169014</v>
      </c>
      <c r="O12" s="151">
        <f>IFERROR(__xludf.DUMMYFUNCTION("""COMPUTED_VALUE"""),0.6431924882629108)</f>
        <v>0.6431924883</v>
      </c>
      <c r="P12" s="152">
        <f>IFERROR(__xludf.DUMMYFUNCTION("""COMPUTED_VALUE"""),12.81021897810219)</f>
        <v>12.81021898</v>
      </c>
      <c r="Q12" s="153"/>
      <c r="R12" s="205"/>
      <c r="S12" s="153"/>
      <c r="T12" s="153"/>
      <c r="U12" s="153"/>
      <c r="V12" s="153"/>
      <c r="W12" s="153"/>
      <c r="X12" s="153"/>
      <c r="Y12" s="153"/>
      <c r="Z12" s="153"/>
      <c r="AA12" s="153"/>
      <c r="AB12" s="153"/>
      <c r="AC12" s="153"/>
      <c r="AD12" s="153"/>
    </row>
    <row r="13">
      <c r="A13" s="155" t="str">
        <f>IFERROR(__xludf.DUMMYFUNCTION("""COMPUTED_VALUE"""),"11")</f>
        <v>11</v>
      </c>
      <c r="B13" s="156" t="str">
        <f>IFERROR(__xludf.DUMMYFUNCTION("""COMPUTED_VALUE"""),"Nguyễn  Hoàng Anh ")</f>
        <v>Nguyễn  Hoàng Anh </v>
      </c>
      <c r="C13" s="161" t="str">
        <f>IFERROR(__xludf.DUMMYFUNCTION("""COMPUTED_VALUE"""),"BC Ngã Ba Đắk Liêng-Huyện Lắk-Đắk Lắk")</f>
        <v>BC Ngã Ba Đắk Liêng-Huyện Lắk-Đắk Lắk</v>
      </c>
      <c r="D13" s="157">
        <f>IFERROR(__xludf.DUMMYFUNCTION("""COMPUTED_VALUE"""),95.0)</f>
        <v>95</v>
      </c>
      <c r="E13" s="158">
        <f>IFERROR(__xludf.DUMMYFUNCTION("""COMPUTED_VALUE"""),1.0)</f>
        <v>1</v>
      </c>
      <c r="F13" s="158">
        <f>IFERROR(__xludf.DUMMYFUNCTION("""COMPUTED_VALUE"""),0.8315789473684211)</f>
        <v>0.8315789474</v>
      </c>
      <c r="G13" s="157"/>
      <c r="H13" s="155"/>
      <c r="I13" s="155"/>
      <c r="J13" s="157">
        <f>IFERROR(__xludf.DUMMYFUNCTION("""COMPUTED_VALUE"""),46.0)</f>
        <v>46</v>
      </c>
      <c r="K13" s="158">
        <f>IFERROR(__xludf.DUMMYFUNCTION("""COMPUTED_VALUE"""),1.0)</f>
        <v>1</v>
      </c>
      <c r="L13" s="158">
        <f>IFERROR(__xludf.DUMMYFUNCTION("""COMPUTED_VALUE"""),0.30434782608695654)</f>
        <v>0.3043478261</v>
      </c>
      <c r="M13" s="157">
        <f>IFERROR(__xludf.DUMMYFUNCTION("""COMPUTED_VALUE"""),141.0)</f>
        <v>141</v>
      </c>
      <c r="N13" s="158">
        <f>IFERROR(__xludf.DUMMYFUNCTION("""COMPUTED_VALUE"""),1.0)</f>
        <v>1</v>
      </c>
      <c r="O13" s="158">
        <f>IFERROR(__xludf.DUMMYFUNCTION("""COMPUTED_VALUE"""),0.6595744680851063)</f>
        <v>0.6595744681</v>
      </c>
      <c r="P13" s="159">
        <f>IFERROR(__xludf.DUMMYFUNCTION("""COMPUTED_VALUE"""),15.602150537634408)</f>
        <v>15.60215054</v>
      </c>
      <c r="R13" s="208"/>
    </row>
    <row r="14">
      <c r="A14" s="155" t="str">
        <f>IFERROR(__xludf.DUMMYFUNCTION("""COMPUTED_VALUE"""),"12")</f>
        <v>12</v>
      </c>
      <c r="B14" s="156" t="str">
        <f>IFERROR(__xludf.DUMMYFUNCTION("""COMPUTED_VALUE"""),"Ngô  Thị Bích Trâm ")</f>
        <v>Ngô  Thị Bích Trâm </v>
      </c>
      <c r="C14" s="156" t="str">
        <f>IFERROR(__xludf.DUMMYFUNCTION("""COMPUTED_VALUE"""),"BC 236A Nguyễn Huệ-Đak Đoa-Gia Lai")</f>
        <v>BC 236A Nguyễn Huệ-Đak Đoa-Gia Lai</v>
      </c>
      <c r="D14" s="157">
        <f>IFERROR(__xludf.DUMMYFUNCTION("""COMPUTED_VALUE"""),262.0)</f>
        <v>262</v>
      </c>
      <c r="E14" s="158">
        <f>IFERROR(__xludf.DUMMYFUNCTION("""COMPUTED_VALUE"""),1.0)</f>
        <v>1</v>
      </c>
      <c r="F14" s="158">
        <f>IFERROR(__xludf.DUMMYFUNCTION("""COMPUTED_VALUE"""),0.7099236641221374)</f>
        <v>0.7099236641</v>
      </c>
      <c r="G14" s="157"/>
      <c r="H14" s="155"/>
      <c r="I14" s="155"/>
      <c r="J14" s="157">
        <f>IFERROR(__xludf.DUMMYFUNCTION("""COMPUTED_VALUE"""),50.0)</f>
        <v>50</v>
      </c>
      <c r="K14" s="158">
        <f>IFERROR(__xludf.DUMMYFUNCTION("""COMPUTED_VALUE"""),0.96)</f>
        <v>0.96</v>
      </c>
      <c r="L14" s="158">
        <f>IFERROR(__xludf.DUMMYFUNCTION("""COMPUTED_VALUE"""),0.4)</f>
        <v>0.4</v>
      </c>
      <c r="M14" s="157">
        <f>IFERROR(__xludf.DUMMYFUNCTION("""COMPUTED_VALUE"""),312.0)</f>
        <v>312</v>
      </c>
      <c r="N14" s="158">
        <f>IFERROR(__xludf.DUMMYFUNCTION("""COMPUTED_VALUE"""),0.9935897435897436)</f>
        <v>0.9935897436</v>
      </c>
      <c r="O14" s="158">
        <f>IFERROR(__xludf.DUMMYFUNCTION("""COMPUTED_VALUE"""),0.6602564102564102)</f>
        <v>0.6602564103</v>
      </c>
      <c r="P14" s="159">
        <f>IFERROR(__xludf.DUMMYFUNCTION("""COMPUTED_VALUE"""),14.62135922330097)</f>
        <v>14.62135922</v>
      </c>
      <c r="R14" s="208"/>
    </row>
    <row r="15">
      <c r="A15" s="155" t="str">
        <f>IFERROR(__xludf.DUMMYFUNCTION("""COMPUTED_VALUE"""),"13")</f>
        <v>13</v>
      </c>
      <c r="B15" s="156" t="str">
        <f>IFERROR(__xludf.DUMMYFUNCTION("""COMPUTED_VALUE"""),"Nguyễn Công Luận")</f>
        <v>Nguyễn Công Luận</v>
      </c>
      <c r="C15" s="156" t="str">
        <f>IFERROR(__xludf.DUMMYFUNCTION("""COMPUTED_VALUE"""),"BC 39 Nguyễn Huệ-Ayun Pa-Gia Lai")</f>
        <v>BC 39 Nguyễn Huệ-Ayun Pa-Gia Lai</v>
      </c>
      <c r="D15" s="157">
        <f>IFERROR(__xludf.DUMMYFUNCTION("""COMPUTED_VALUE"""),111.0)</f>
        <v>111</v>
      </c>
      <c r="E15" s="158">
        <f>IFERROR(__xludf.DUMMYFUNCTION("""COMPUTED_VALUE"""),1.0)</f>
        <v>1</v>
      </c>
      <c r="F15" s="158">
        <f>IFERROR(__xludf.DUMMYFUNCTION("""COMPUTED_VALUE"""),0.8468468468468469)</f>
        <v>0.8468468468</v>
      </c>
      <c r="G15" s="157">
        <f>IFERROR(__xludf.DUMMYFUNCTION("""COMPUTED_VALUE"""),5.0)</f>
        <v>5</v>
      </c>
      <c r="H15" s="158">
        <f>IFERROR(__xludf.DUMMYFUNCTION("""COMPUTED_VALUE"""),0.8)</f>
        <v>0.8</v>
      </c>
      <c r="I15" s="158">
        <f>IFERROR(__xludf.DUMMYFUNCTION("""COMPUTED_VALUE"""),0.2)</f>
        <v>0.2</v>
      </c>
      <c r="J15" s="157">
        <f>IFERROR(__xludf.DUMMYFUNCTION("""COMPUTED_VALUE"""),52.0)</f>
        <v>52</v>
      </c>
      <c r="K15" s="158">
        <f>IFERROR(__xludf.DUMMYFUNCTION("""COMPUTED_VALUE"""),1.0)</f>
        <v>1</v>
      </c>
      <c r="L15" s="158">
        <f>IFERROR(__xludf.DUMMYFUNCTION("""COMPUTED_VALUE"""),0.3076923076923077)</f>
        <v>0.3076923077</v>
      </c>
      <c r="M15" s="157">
        <f>IFERROR(__xludf.DUMMYFUNCTION("""COMPUTED_VALUE"""),168.0)</f>
        <v>168</v>
      </c>
      <c r="N15" s="158">
        <f>IFERROR(__xludf.DUMMYFUNCTION("""COMPUTED_VALUE"""),0.9940476190476191)</f>
        <v>0.994047619</v>
      </c>
      <c r="O15" s="158">
        <f>IFERROR(__xludf.DUMMYFUNCTION("""COMPUTED_VALUE"""),0.6607142857142857)</f>
        <v>0.6607142857</v>
      </c>
      <c r="P15" s="159">
        <f>IFERROR(__xludf.DUMMYFUNCTION("""COMPUTED_VALUE"""),18.063063063063062)</f>
        <v>18.06306306</v>
      </c>
      <c r="Q15" s="209"/>
      <c r="R15" s="208"/>
    </row>
    <row r="16">
      <c r="A16" s="155" t="str">
        <f>IFERROR(__xludf.DUMMYFUNCTION("""COMPUTED_VALUE"""),"14")</f>
        <v>14</v>
      </c>
      <c r="B16" s="156" t="str">
        <f>IFERROR(__xludf.DUMMYFUNCTION("""COMPUTED_VALUE"""),"Nguyễn  Hoàng Anh ")</f>
        <v>Nguyễn  Hoàng Anh </v>
      </c>
      <c r="C16" s="156" t="str">
        <f>IFERROR(__xludf.DUMMYFUNCTION("""COMPUTED_VALUE"""),"BC Km18-Cư Kuin-Đắk Lắk")</f>
        <v>BC Km18-Cư Kuin-Đắk Lắk</v>
      </c>
      <c r="D16" s="157">
        <f>IFERROR(__xludf.DUMMYFUNCTION("""COMPUTED_VALUE"""),106.0)</f>
        <v>106</v>
      </c>
      <c r="E16" s="158">
        <f>IFERROR(__xludf.DUMMYFUNCTION("""COMPUTED_VALUE"""),0.9905660377358491)</f>
        <v>0.9905660377</v>
      </c>
      <c r="F16" s="158">
        <f>IFERROR(__xludf.DUMMYFUNCTION("""COMPUTED_VALUE"""),0.7735849056603774)</f>
        <v>0.7735849057</v>
      </c>
      <c r="G16" s="157"/>
      <c r="H16" s="155"/>
      <c r="I16" s="155"/>
      <c r="J16" s="157">
        <f>IFERROR(__xludf.DUMMYFUNCTION("""COMPUTED_VALUE"""),46.0)</f>
        <v>46</v>
      </c>
      <c r="K16" s="158">
        <f>IFERROR(__xludf.DUMMYFUNCTION("""COMPUTED_VALUE"""),1.0)</f>
        <v>1</v>
      </c>
      <c r="L16" s="158">
        <f>IFERROR(__xludf.DUMMYFUNCTION("""COMPUTED_VALUE"""),0.4782608695652174)</f>
        <v>0.4782608696</v>
      </c>
      <c r="M16" s="157">
        <f>IFERROR(__xludf.DUMMYFUNCTION("""COMPUTED_VALUE"""),152.0)</f>
        <v>152</v>
      </c>
      <c r="N16" s="158">
        <f>IFERROR(__xludf.DUMMYFUNCTION("""COMPUTED_VALUE"""),0.993421052631579)</f>
        <v>0.9934210526</v>
      </c>
      <c r="O16" s="158">
        <f>IFERROR(__xludf.DUMMYFUNCTION("""COMPUTED_VALUE"""),0.6842105263157895)</f>
        <v>0.6842105263</v>
      </c>
      <c r="P16" s="159">
        <f>IFERROR(__xludf.DUMMYFUNCTION("""COMPUTED_VALUE"""),20.16346153846154)</f>
        <v>20.16346154</v>
      </c>
      <c r="Q16" s="209"/>
      <c r="R16" s="208"/>
    </row>
    <row r="17">
      <c r="A17" s="155" t="str">
        <f>IFERROR(__xludf.DUMMYFUNCTION("""COMPUTED_VALUE"""),"15")</f>
        <v>15</v>
      </c>
      <c r="B17" s="156" t="str">
        <f>IFERROR(__xludf.DUMMYFUNCTION("""COMPUTED_VALUE"""),"Nguyễn Công Luận")</f>
        <v>Nguyễn Công Luận</v>
      </c>
      <c r="C17" s="156" t="str">
        <f>IFERROR(__xludf.DUMMYFUNCTION("""COMPUTED_VALUE"""),"BC 138 Hùng Vương-Phú Thiện-Gia Lai")</f>
        <v>BC 138 Hùng Vương-Phú Thiện-Gia Lai</v>
      </c>
      <c r="D17" s="157">
        <f>IFERROR(__xludf.DUMMYFUNCTION("""COMPUTED_VALUE"""),134.0)</f>
        <v>134</v>
      </c>
      <c r="E17" s="158">
        <f>IFERROR(__xludf.DUMMYFUNCTION("""COMPUTED_VALUE"""),1.0)</f>
        <v>1</v>
      </c>
      <c r="F17" s="158">
        <f>IFERROR(__xludf.DUMMYFUNCTION("""COMPUTED_VALUE"""),0.8134328358208955)</f>
        <v>0.8134328358</v>
      </c>
      <c r="G17" s="157"/>
      <c r="H17" s="155"/>
      <c r="I17" s="155"/>
      <c r="J17" s="157">
        <f>IFERROR(__xludf.DUMMYFUNCTION("""COMPUTED_VALUE"""),54.0)</f>
        <v>54</v>
      </c>
      <c r="K17" s="158">
        <f>IFERROR(__xludf.DUMMYFUNCTION("""COMPUTED_VALUE"""),0.9814814814814815)</f>
        <v>0.9814814815</v>
      </c>
      <c r="L17" s="158">
        <f>IFERROR(__xludf.DUMMYFUNCTION("""COMPUTED_VALUE"""),0.3888888888888889)</f>
        <v>0.3888888889</v>
      </c>
      <c r="M17" s="157">
        <f>IFERROR(__xludf.DUMMYFUNCTION("""COMPUTED_VALUE"""),188.0)</f>
        <v>188</v>
      </c>
      <c r="N17" s="158">
        <f>IFERROR(__xludf.DUMMYFUNCTION("""COMPUTED_VALUE"""),0.9946808510638298)</f>
        <v>0.9946808511</v>
      </c>
      <c r="O17" s="158">
        <f>IFERROR(__xludf.DUMMYFUNCTION("""COMPUTED_VALUE"""),0.6914893617021277)</f>
        <v>0.6914893617</v>
      </c>
      <c r="P17" s="159">
        <f>IFERROR(__xludf.DUMMYFUNCTION("""COMPUTED_VALUE"""),20.284615384615385)</f>
        <v>20.28461538</v>
      </c>
      <c r="Q17" s="209"/>
      <c r="R17" s="208"/>
    </row>
    <row r="18">
      <c r="A18" s="160" t="str">
        <f>IFERROR(__xludf.DUMMYFUNCTION("""COMPUTED_VALUE"""),"16")</f>
        <v>16</v>
      </c>
      <c r="B18" s="161" t="str">
        <f>IFERROR(__xludf.DUMMYFUNCTION("""COMPUTED_VALUE"""),"Nguyễn  Ngọc Hà")</f>
        <v>Nguyễn  Ngọc Hà</v>
      </c>
      <c r="C18" s="161" t="str">
        <f>IFERROR(__xludf.DUMMYFUNCTION("""COMPUTED_VALUE"""),"BC Thôn Tân Lập Quốc Lộ 26-Xã Cư M'ta-M'Đrắk-Đăk Lắk")</f>
        <v>BC Thôn Tân Lập Quốc Lộ 26-Xã Cư M'ta-M'Đrắk-Đăk Lắk</v>
      </c>
      <c r="D18" s="162">
        <f>IFERROR(__xludf.DUMMYFUNCTION("""COMPUTED_VALUE"""),78.0)</f>
        <v>78</v>
      </c>
      <c r="E18" s="163">
        <f>IFERROR(__xludf.DUMMYFUNCTION("""COMPUTED_VALUE"""),1.0)</f>
        <v>1</v>
      </c>
      <c r="F18" s="163">
        <f>IFERROR(__xludf.DUMMYFUNCTION("""COMPUTED_VALUE"""),0.7948717948717948)</f>
        <v>0.7948717949</v>
      </c>
      <c r="G18" s="162">
        <f>IFERROR(__xludf.DUMMYFUNCTION("""COMPUTED_VALUE"""),50.0)</f>
        <v>50</v>
      </c>
      <c r="H18" s="163">
        <f>IFERROR(__xludf.DUMMYFUNCTION("""COMPUTED_VALUE"""),0.98)</f>
        <v>0.98</v>
      </c>
      <c r="I18" s="163">
        <f>IFERROR(__xludf.DUMMYFUNCTION("""COMPUTED_VALUE"""),0.72)</f>
        <v>0.72</v>
      </c>
      <c r="J18" s="162">
        <f>IFERROR(__xludf.DUMMYFUNCTION("""COMPUTED_VALUE"""),32.0)</f>
        <v>32</v>
      </c>
      <c r="K18" s="163">
        <f>IFERROR(__xludf.DUMMYFUNCTION("""COMPUTED_VALUE"""),0.90625)</f>
        <v>0.90625</v>
      </c>
      <c r="L18" s="163">
        <f>IFERROR(__xludf.DUMMYFUNCTION("""COMPUTED_VALUE"""),0.46875)</f>
        <v>0.46875</v>
      </c>
      <c r="M18" s="162">
        <f>IFERROR(__xludf.DUMMYFUNCTION("""COMPUTED_VALUE"""),160.0)</f>
        <v>160</v>
      </c>
      <c r="N18" s="163">
        <f>IFERROR(__xludf.DUMMYFUNCTION("""COMPUTED_VALUE"""),0.975)</f>
        <v>0.975</v>
      </c>
      <c r="O18" s="163">
        <f>IFERROR(__xludf.DUMMYFUNCTION("""COMPUTED_VALUE"""),0.70625)</f>
        <v>0.70625</v>
      </c>
      <c r="P18" s="164">
        <f>IFERROR(__xludf.DUMMYFUNCTION("""COMPUTED_VALUE"""),9.026548672566372)</f>
        <v>9.026548673</v>
      </c>
      <c r="Q18" s="210"/>
      <c r="R18" s="208"/>
    </row>
    <row r="19">
      <c r="A19" s="160" t="str">
        <f>IFERROR(__xludf.DUMMYFUNCTION("""COMPUTED_VALUE"""),"17")</f>
        <v>17</v>
      </c>
      <c r="B19" s="161" t="str">
        <f>IFERROR(__xludf.DUMMYFUNCTION("""COMPUTED_VALUE"""),"Võ Thanh Diệu ")</f>
        <v>Võ Thanh Diệu </v>
      </c>
      <c r="C19" s="161" t="str">
        <f>IFERROR(__xludf.DUMMYFUNCTION("""COMPUTED_VALUE"""),"BC Vận Hành Thôn Định Trị-Xã Vĩnh Thạnh-Bình Định")</f>
        <v>BC Vận Hành Thôn Định Trị-Xã Vĩnh Thạnh-Bình Định</v>
      </c>
      <c r="D19" s="162">
        <f>IFERROR(__xludf.DUMMYFUNCTION("""COMPUTED_VALUE"""),23.0)</f>
        <v>23</v>
      </c>
      <c r="E19" s="163">
        <f>IFERROR(__xludf.DUMMYFUNCTION("""COMPUTED_VALUE"""),1.0)</f>
        <v>1</v>
      </c>
      <c r="F19" s="163">
        <f>IFERROR(__xludf.DUMMYFUNCTION("""COMPUTED_VALUE"""),0.8695652173913043)</f>
        <v>0.8695652174</v>
      </c>
      <c r="G19" s="162"/>
      <c r="H19" s="160"/>
      <c r="I19" s="160"/>
      <c r="J19" s="162">
        <f>IFERROR(__xludf.DUMMYFUNCTION("""COMPUTED_VALUE"""),8.0)</f>
        <v>8</v>
      </c>
      <c r="K19" s="163">
        <f>IFERROR(__xludf.DUMMYFUNCTION("""COMPUTED_VALUE"""),1.0)</f>
        <v>1</v>
      </c>
      <c r="L19" s="163">
        <f>IFERROR(__xludf.DUMMYFUNCTION("""COMPUTED_VALUE"""),0.25)</f>
        <v>0.25</v>
      </c>
      <c r="M19" s="162">
        <f>IFERROR(__xludf.DUMMYFUNCTION("""COMPUTED_VALUE"""),31.0)</f>
        <v>31</v>
      </c>
      <c r="N19" s="163">
        <f>IFERROR(__xludf.DUMMYFUNCTION("""COMPUTED_VALUE"""),1.0)</f>
        <v>1</v>
      </c>
      <c r="O19" s="163">
        <f>IFERROR(__xludf.DUMMYFUNCTION("""COMPUTED_VALUE"""),0.7096774193548387)</f>
        <v>0.7096774194</v>
      </c>
      <c r="P19" s="164">
        <f>IFERROR(__xludf.DUMMYFUNCTION("""COMPUTED_VALUE"""),18.5)</f>
        <v>18.5</v>
      </c>
      <c r="Q19" s="210"/>
      <c r="R19" s="208"/>
    </row>
    <row r="20">
      <c r="A20" s="160" t="str">
        <f>IFERROR(__xludf.DUMMYFUNCTION("""COMPUTED_VALUE"""),"18")</f>
        <v>18</v>
      </c>
      <c r="B20" s="161" t="str">
        <f>IFERROR(__xludf.DUMMYFUNCTION("""COMPUTED_VALUE"""),"Phan Thị Mỹ Chi")</f>
        <v>Phan Thị Mỹ Chi</v>
      </c>
      <c r="C20" s="161" t="str">
        <f>IFERROR(__xludf.DUMMYFUNCTION("""COMPUTED_VALUE"""),"BC 153 Hùng Vương-Ia Grai-Gia Lai")</f>
        <v>BC 153 Hùng Vương-Ia Grai-Gia Lai</v>
      </c>
      <c r="D20" s="162">
        <f>IFERROR(__xludf.DUMMYFUNCTION("""COMPUTED_VALUE"""),124.0)</f>
        <v>124</v>
      </c>
      <c r="E20" s="163">
        <f>IFERROR(__xludf.DUMMYFUNCTION("""COMPUTED_VALUE"""),1.0)</f>
        <v>1</v>
      </c>
      <c r="F20" s="163">
        <f>IFERROR(__xludf.DUMMYFUNCTION("""COMPUTED_VALUE"""),0.8790322580645161)</f>
        <v>0.8790322581</v>
      </c>
      <c r="G20" s="162"/>
      <c r="H20" s="160"/>
      <c r="I20" s="160"/>
      <c r="J20" s="162">
        <f>IFERROR(__xludf.DUMMYFUNCTION("""COMPUTED_VALUE"""),41.0)</f>
        <v>41</v>
      </c>
      <c r="K20" s="163">
        <f>IFERROR(__xludf.DUMMYFUNCTION("""COMPUTED_VALUE"""),1.0)</f>
        <v>1</v>
      </c>
      <c r="L20" s="163">
        <f>IFERROR(__xludf.DUMMYFUNCTION("""COMPUTED_VALUE"""),0.21951219512195122)</f>
        <v>0.2195121951</v>
      </c>
      <c r="M20" s="162">
        <f>IFERROR(__xludf.DUMMYFUNCTION("""COMPUTED_VALUE"""),165.0)</f>
        <v>165</v>
      </c>
      <c r="N20" s="163">
        <f>IFERROR(__xludf.DUMMYFUNCTION("""COMPUTED_VALUE"""),1.0)</f>
        <v>1</v>
      </c>
      <c r="O20" s="163">
        <f>IFERROR(__xludf.DUMMYFUNCTION("""COMPUTED_VALUE"""),0.7151515151515152)</f>
        <v>0.7151515152</v>
      </c>
      <c r="P20" s="164">
        <f>IFERROR(__xludf.DUMMYFUNCTION("""COMPUTED_VALUE"""),19.14406779661017)</f>
        <v>19.1440678</v>
      </c>
      <c r="R20" s="208"/>
    </row>
    <row r="21">
      <c r="A21" s="160" t="str">
        <f>IFERROR(__xludf.DUMMYFUNCTION("""COMPUTED_VALUE"""),"19")</f>
        <v>19</v>
      </c>
      <c r="B21" s="161" t="str">
        <f>IFERROR(__xludf.DUMMYFUNCTION("""COMPUTED_VALUE"""),"Nguyễn Thị Bảo Nhi")</f>
        <v>Nguyễn Thị Bảo Nhi</v>
      </c>
      <c r="C21" s="161" t="str">
        <f>IFERROR(__xludf.DUMMYFUNCTION("""COMPUTED_VALUE"""),"BC Km 30 Tân Hòa-Buôn Đôn-Đắk Lắk")</f>
        <v>BC Km 30 Tân Hòa-Buôn Đôn-Đắk Lắk</v>
      </c>
      <c r="D21" s="162">
        <f>IFERROR(__xludf.DUMMYFUNCTION("""COMPUTED_VALUE"""),53.0)</f>
        <v>53</v>
      </c>
      <c r="E21" s="163">
        <f>IFERROR(__xludf.DUMMYFUNCTION("""COMPUTED_VALUE"""),1.0)</f>
        <v>1</v>
      </c>
      <c r="F21" s="163">
        <f>IFERROR(__xludf.DUMMYFUNCTION("""COMPUTED_VALUE"""),0.8679245283018868)</f>
        <v>0.8679245283</v>
      </c>
      <c r="G21" s="162">
        <f>IFERROR(__xludf.DUMMYFUNCTION("""COMPUTED_VALUE"""),73.0)</f>
        <v>73</v>
      </c>
      <c r="H21" s="163">
        <f>IFERROR(__xludf.DUMMYFUNCTION("""COMPUTED_VALUE"""),0.863013698630137)</f>
        <v>0.8630136986</v>
      </c>
      <c r="I21" s="163">
        <f>IFERROR(__xludf.DUMMYFUNCTION("""COMPUTED_VALUE"""),0.726027397260274)</f>
        <v>0.7260273973</v>
      </c>
      <c r="J21" s="162">
        <f>IFERROR(__xludf.DUMMYFUNCTION("""COMPUTED_VALUE"""),22.0)</f>
        <v>22</v>
      </c>
      <c r="K21" s="163">
        <f>IFERROR(__xludf.DUMMYFUNCTION("""COMPUTED_VALUE"""),1.0)</f>
        <v>1</v>
      </c>
      <c r="L21" s="163">
        <f>IFERROR(__xludf.DUMMYFUNCTION("""COMPUTED_VALUE"""),0.3181818181818182)</f>
        <v>0.3181818182</v>
      </c>
      <c r="M21" s="162">
        <f>IFERROR(__xludf.DUMMYFUNCTION("""COMPUTED_VALUE"""),148.0)</f>
        <v>148</v>
      </c>
      <c r="N21" s="163">
        <f>IFERROR(__xludf.DUMMYFUNCTION("""COMPUTED_VALUE"""),0.9324324324324325)</f>
        <v>0.9324324324</v>
      </c>
      <c r="O21" s="163">
        <f>IFERROR(__xludf.DUMMYFUNCTION("""COMPUTED_VALUE"""),0.7162162162162162)</f>
        <v>0.7162162162</v>
      </c>
      <c r="P21" s="164">
        <f>IFERROR(__xludf.DUMMYFUNCTION("""COMPUTED_VALUE"""),7.415094339622642)</f>
        <v>7.41509434</v>
      </c>
      <c r="R21" s="208"/>
    </row>
    <row r="22">
      <c r="A22" s="160" t="str">
        <f>IFERROR(__xludf.DUMMYFUNCTION("""COMPUTED_VALUE"""),"20")</f>
        <v>20</v>
      </c>
      <c r="B22" s="161" t="str">
        <f>IFERROR(__xludf.DUMMYFUNCTION("""COMPUTED_VALUE"""),"Ngô  Thị Bích Trâm ")</f>
        <v>Ngô  Thị Bích Trâm </v>
      </c>
      <c r="C22" s="161" t="str">
        <f>IFERROR(__xludf.DUMMYFUNCTION("""COMPUTED_VALUE"""),"BC 172 Hùng Vương-Chư Prông-Gia Lai")</f>
        <v>BC 172 Hùng Vương-Chư Prông-Gia Lai</v>
      </c>
      <c r="D22" s="162">
        <f>IFERROR(__xludf.DUMMYFUNCTION("""COMPUTED_VALUE"""),125.0)</f>
        <v>125</v>
      </c>
      <c r="E22" s="163">
        <f>IFERROR(__xludf.DUMMYFUNCTION("""COMPUTED_VALUE"""),0.984)</f>
        <v>0.984</v>
      </c>
      <c r="F22" s="163">
        <f>IFERROR(__xludf.DUMMYFUNCTION("""COMPUTED_VALUE"""),0.864)</f>
        <v>0.864</v>
      </c>
      <c r="G22" s="162"/>
      <c r="H22" s="160"/>
      <c r="I22" s="160"/>
      <c r="J22" s="162">
        <f>IFERROR(__xludf.DUMMYFUNCTION("""COMPUTED_VALUE"""),52.0)</f>
        <v>52</v>
      </c>
      <c r="K22" s="163">
        <f>IFERROR(__xludf.DUMMYFUNCTION("""COMPUTED_VALUE"""),0.9423076923076923)</f>
        <v>0.9423076923</v>
      </c>
      <c r="L22" s="163">
        <f>IFERROR(__xludf.DUMMYFUNCTION("""COMPUTED_VALUE"""),0.36538461538461536)</f>
        <v>0.3653846154</v>
      </c>
      <c r="M22" s="162">
        <f>IFERROR(__xludf.DUMMYFUNCTION("""COMPUTED_VALUE"""),177.0)</f>
        <v>177</v>
      </c>
      <c r="N22" s="163">
        <f>IFERROR(__xludf.DUMMYFUNCTION("""COMPUTED_VALUE"""),0.9717514124293786)</f>
        <v>0.9717514124</v>
      </c>
      <c r="O22" s="163">
        <f>IFERROR(__xludf.DUMMYFUNCTION("""COMPUTED_VALUE"""),0.7175141242937854)</f>
        <v>0.7175141243</v>
      </c>
      <c r="P22" s="164">
        <f>IFERROR(__xludf.DUMMYFUNCTION("""COMPUTED_VALUE"""),22.858267716535433)</f>
        <v>22.85826772</v>
      </c>
      <c r="R22" s="208"/>
    </row>
    <row r="23">
      <c r="A23" s="160" t="str">
        <f>IFERROR(__xludf.DUMMYFUNCTION("""COMPUTED_VALUE"""),"21")</f>
        <v>21</v>
      </c>
      <c r="B23" s="161" t="str">
        <f>IFERROR(__xludf.DUMMYFUNCTION("""COMPUTED_VALUE"""),"Huỳnh Thị Mới ")</f>
        <v>Huỳnh Thị Mới </v>
      </c>
      <c r="C23" s="161" t="str">
        <f>IFERROR(__xludf.DUMMYFUNCTION("""COMPUTED_VALUE"""),"BC KP3 TT Hai Riềng-Sông Hinh-Phú Yên")</f>
        <v>BC KP3 TT Hai Riềng-Sông Hinh-Phú Yên</v>
      </c>
      <c r="D23" s="162">
        <f>IFERROR(__xludf.DUMMYFUNCTION("""COMPUTED_VALUE"""),163.0)</f>
        <v>163</v>
      </c>
      <c r="E23" s="163">
        <f>IFERROR(__xludf.DUMMYFUNCTION("""COMPUTED_VALUE"""),1.0)</f>
        <v>1</v>
      </c>
      <c r="F23" s="163">
        <f>IFERROR(__xludf.DUMMYFUNCTION("""COMPUTED_VALUE"""),0.7607361963190185)</f>
        <v>0.7607361963</v>
      </c>
      <c r="G23" s="162"/>
      <c r="H23" s="160"/>
      <c r="I23" s="160"/>
      <c r="J23" s="162">
        <f>IFERROR(__xludf.DUMMYFUNCTION("""COMPUTED_VALUE"""),23.0)</f>
        <v>23</v>
      </c>
      <c r="K23" s="163">
        <f>IFERROR(__xludf.DUMMYFUNCTION("""COMPUTED_VALUE"""),1.0)</f>
        <v>1</v>
      </c>
      <c r="L23" s="163">
        <f>IFERROR(__xludf.DUMMYFUNCTION("""COMPUTED_VALUE"""),0.43478260869565216)</f>
        <v>0.4347826087</v>
      </c>
      <c r="M23" s="162">
        <f>IFERROR(__xludf.DUMMYFUNCTION("""COMPUTED_VALUE"""),186.0)</f>
        <v>186</v>
      </c>
      <c r="N23" s="163">
        <f>IFERROR(__xludf.DUMMYFUNCTION("""COMPUTED_VALUE"""),1.0)</f>
        <v>1</v>
      </c>
      <c r="O23" s="163">
        <f>IFERROR(__xludf.DUMMYFUNCTION("""COMPUTED_VALUE"""),0.7204301075268817)</f>
        <v>0.7204301075</v>
      </c>
      <c r="P23" s="164">
        <f>IFERROR(__xludf.DUMMYFUNCTION("""COMPUTED_VALUE"""),11.664179104477611)</f>
        <v>11.6641791</v>
      </c>
      <c r="R23" s="50"/>
    </row>
    <row r="24">
      <c r="A24" s="160" t="str">
        <f>IFERROR(__xludf.DUMMYFUNCTION("""COMPUTED_VALUE"""),"22")</f>
        <v>22</v>
      </c>
      <c r="B24" s="161" t="str">
        <f>IFERROR(__xludf.DUMMYFUNCTION("""COMPUTED_VALUE"""),"Nguyễn Văn Sáng")</f>
        <v>Nguyễn Văn Sáng</v>
      </c>
      <c r="C24" s="161" t="str">
        <f>IFERROR(__xludf.DUMMYFUNCTION("""COMPUTED_VALUE"""),"BC Ea Phê-Krông Pắk-Đắk Lắk")</f>
        <v>BC Ea Phê-Krông Pắk-Đắk Lắk</v>
      </c>
      <c r="D24" s="162">
        <f>IFERROR(__xludf.DUMMYFUNCTION("""COMPUTED_VALUE"""),83.0)</f>
        <v>83</v>
      </c>
      <c r="E24" s="163">
        <f>IFERROR(__xludf.DUMMYFUNCTION("""COMPUTED_VALUE"""),0.9759036144578314)</f>
        <v>0.9759036145</v>
      </c>
      <c r="F24" s="163">
        <f>IFERROR(__xludf.DUMMYFUNCTION("""COMPUTED_VALUE"""),0.8192771084337349)</f>
        <v>0.8192771084</v>
      </c>
      <c r="G24" s="162"/>
      <c r="H24" s="160"/>
      <c r="I24" s="160"/>
      <c r="J24" s="162">
        <f>IFERROR(__xludf.DUMMYFUNCTION("""COMPUTED_VALUE"""),40.0)</f>
        <v>40</v>
      </c>
      <c r="K24" s="163">
        <f>IFERROR(__xludf.DUMMYFUNCTION("""COMPUTED_VALUE"""),0.975)</f>
        <v>0.975</v>
      </c>
      <c r="L24" s="163">
        <f>IFERROR(__xludf.DUMMYFUNCTION("""COMPUTED_VALUE"""),0.525)</f>
        <v>0.525</v>
      </c>
      <c r="M24" s="162">
        <f>IFERROR(__xludf.DUMMYFUNCTION("""COMPUTED_VALUE"""),123.0)</f>
        <v>123</v>
      </c>
      <c r="N24" s="163">
        <f>IFERROR(__xludf.DUMMYFUNCTION("""COMPUTED_VALUE"""),0.975609756097561)</f>
        <v>0.9756097561</v>
      </c>
      <c r="O24" s="163">
        <f>IFERROR(__xludf.DUMMYFUNCTION("""COMPUTED_VALUE"""),0.7235772357723578)</f>
        <v>0.7235772358</v>
      </c>
      <c r="P24" s="164">
        <f>IFERROR(__xludf.DUMMYFUNCTION("""COMPUTED_VALUE"""),19.89887640449438)</f>
        <v>19.8988764</v>
      </c>
      <c r="R24" s="50"/>
    </row>
    <row r="25">
      <c r="A25" s="160" t="str">
        <f>IFERROR(__xludf.DUMMYFUNCTION("""COMPUTED_VALUE"""),"23")</f>
        <v>23</v>
      </c>
      <c r="B25" s="161" t="str">
        <f>IFERROR(__xludf.DUMMYFUNCTION("""COMPUTED_VALUE"""),"Nguyễn Công Luận")</f>
        <v>Nguyễn Công Luận</v>
      </c>
      <c r="C25" s="161" t="str">
        <f>IFERROR(__xludf.DUMMYFUNCTION("""COMPUTED_VALUE"""),"BC 172 Quang Trung-Đức Cơ-Gia Lai")</f>
        <v>BC 172 Quang Trung-Đức Cơ-Gia Lai</v>
      </c>
      <c r="D25" s="162">
        <f>IFERROR(__xludf.DUMMYFUNCTION("""COMPUTED_VALUE"""),112.0)</f>
        <v>112</v>
      </c>
      <c r="E25" s="163">
        <f>IFERROR(__xludf.DUMMYFUNCTION("""COMPUTED_VALUE"""),0.9910714285714286)</f>
        <v>0.9910714286</v>
      </c>
      <c r="F25" s="163">
        <f>IFERROR(__xludf.DUMMYFUNCTION("""COMPUTED_VALUE"""),0.8571428571428571)</f>
        <v>0.8571428571</v>
      </c>
      <c r="G25" s="162"/>
      <c r="H25" s="160"/>
      <c r="I25" s="160"/>
      <c r="J25" s="162">
        <f>IFERROR(__xludf.DUMMYFUNCTION("""COMPUTED_VALUE"""),51.0)</f>
        <v>51</v>
      </c>
      <c r="K25" s="163">
        <f>IFERROR(__xludf.DUMMYFUNCTION("""COMPUTED_VALUE"""),0.9019607843137255)</f>
        <v>0.9019607843</v>
      </c>
      <c r="L25" s="163">
        <f>IFERROR(__xludf.DUMMYFUNCTION("""COMPUTED_VALUE"""),0.43137254901960786)</f>
        <v>0.431372549</v>
      </c>
      <c r="M25" s="162">
        <f>IFERROR(__xludf.DUMMYFUNCTION("""COMPUTED_VALUE"""),163.0)</f>
        <v>163</v>
      </c>
      <c r="N25" s="163">
        <f>IFERROR(__xludf.DUMMYFUNCTION("""COMPUTED_VALUE"""),0.9631901840490797)</f>
        <v>0.963190184</v>
      </c>
      <c r="O25" s="163">
        <f>IFERROR(__xludf.DUMMYFUNCTION("""COMPUTED_VALUE"""),0.7239263803680982)</f>
        <v>0.7239263804</v>
      </c>
      <c r="P25" s="164">
        <f>IFERROR(__xludf.DUMMYFUNCTION("""COMPUTED_VALUE"""),21.949152542372882)</f>
        <v>21.94915254</v>
      </c>
      <c r="R25" s="50"/>
    </row>
    <row r="26">
      <c r="A26" s="160" t="str">
        <f>IFERROR(__xludf.DUMMYFUNCTION("""COMPUTED_VALUE"""),"24")</f>
        <v>24</v>
      </c>
      <c r="B26" s="161" t="str">
        <f>IFERROR(__xludf.DUMMYFUNCTION("""COMPUTED_VALUE"""),"Nguyễn  Hoàng Anh ")</f>
        <v>Nguyễn  Hoàng Anh </v>
      </c>
      <c r="C26" s="161" t="str">
        <f>IFERROR(__xludf.DUMMYFUNCTION("""COMPUTED_VALUE"""),"BC 271 Nguyễn Văn Cừ-Tân Lập-Đắk Lắk")</f>
        <v>BC 271 Nguyễn Văn Cừ-Tân Lập-Đắk Lắk</v>
      </c>
      <c r="D26" s="162">
        <f>IFERROR(__xludf.DUMMYFUNCTION("""COMPUTED_VALUE"""),111.0)</f>
        <v>111</v>
      </c>
      <c r="E26" s="163">
        <f>IFERROR(__xludf.DUMMYFUNCTION("""COMPUTED_VALUE"""),0.9819819819819819)</f>
        <v>0.981981982</v>
      </c>
      <c r="F26" s="163">
        <f>IFERROR(__xludf.DUMMYFUNCTION("""COMPUTED_VALUE"""),0.8018018018018018)</f>
        <v>0.8018018018</v>
      </c>
      <c r="G26" s="162">
        <f>IFERROR(__xludf.DUMMYFUNCTION("""COMPUTED_VALUE"""),46.0)</f>
        <v>46</v>
      </c>
      <c r="H26" s="163">
        <f>IFERROR(__xludf.DUMMYFUNCTION("""COMPUTED_VALUE"""),0.7391304347826086)</f>
        <v>0.7391304348</v>
      </c>
      <c r="I26" s="163">
        <f>IFERROR(__xludf.DUMMYFUNCTION("""COMPUTED_VALUE"""),0.6521739130434783)</f>
        <v>0.652173913</v>
      </c>
      <c r="J26" s="162">
        <f>IFERROR(__xludf.DUMMYFUNCTION("""COMPUTED_VALUE"""),22.0)</f>
        <v>22</v>
      </c>
      <c r="K26" s="163">
        <f>IFERROR(__xludf.DUMMYFUNCTION("""COMPUTED_VALUE"""),1.0)</f>
        <v>1</v>
      </c>
      <c r="L26" s="163">
        <f>IFERROR(__xludf.DUMMYFUNCTION("""COMPUTED_VALUE"""),0.5)</f>
        <v>0.5</v>
      </c>
      <c r="M26" s="162">
        <f>IFERROR(__xludf.DUMMYFUNCTION("""COMPUTED_VALUE"""),179.0)</f>
        <v>179</v>
      </c>
      <c r="N26" s="163">
        <f>IFERROR(__xludf.DUMMYFUNCTION("""COMPUTED_VALUE"""),0.9217877094972067)</f>
        <v>0.9217877095</v>
      </c>
      <c r="O26" s="163">
        <f>IFERROR(__xludf.DUMMYFUNCTION("""COMPUTED_VALUE"""),0.7262569832402235)</f>
        <v>0.7262569832</v>
      </c>
      <c r="P26" s="164">
        <f>IFERROR(__xludf.DUMMYFUNCTION("""COMPUTED_VALUE"""),12.846153846153847)</f>
        <v>12.84615385</v>
      </c>
      <c r="R26" s="50"/>
    </row>
    <row r="27">
      <c r="A27" s="160" t="str">
        <f>IFERROR(__xludf.DUMMYFUNCTION("""COMPUTED_VALUE"""),"25")</f>
        <v>25</v>
      </c>
      <c r="B27" s="161" t="str">
        <f>IFERROR(__xludf.DUMMYFUNCTION("""COMPUTED_VALUE"""),"Mai Đức Hoàng Long")</f>
        <v>Mai Đức Hoàng Long</v>
      </c>
      <c r="C27" s="161" t="str">
        <f>IFERROR(__xludf.DUMMYFUNCTION("""COMPUTED_VALUE"""),"BC 64 Hùng Vương-Thị Trấn Krông Năng-Đắk Lắk")</f>
        <v>BC 64 Hùng Vương-Thị Trấn Krông Năng-Đắk Lắk</v>
      </c>
      <c r="D27" s="162">
        <f>IFERROR(__xludf.DUMMYFUNCTION("""COMPUTED_VALUE"""),129.0)</f>
        <v>129</v>
      </c>
      <c r="E27" s="163">
        <f>IFERROR(__xludf.DUMMYFUNCTION("""COMPUTED_VALUE"""),0.9922480620155039)</f>
        <v>0.992248062</v>
      </c>
      <c r="F27" s="163">
        <f>IFERROR(__xludf.DUMMYFUNCTION("""COMPUTED_VALUE"""),0.8527131782945736)</f>
        <v>0.8527131783</v>
      </c>
      <c r="G27" s="162"/>
      <c r="H27" s="160"/>
      <c r="I27" s="160"/>
      <c r="J27" s="162">
        <f>IFERROR(__xludf.DUMMYFUNCTION("""COMPUTED_VALUE"""),42.0)</f>
        <v>42</v>
      </c>
      <c r="K27" s="163">
        <f>IFERROR(__xludf.DUMMYFUNCTION("""COMPUTED_VALUE"""),1.0)</f>
        <v>1</v>
      </c>
      <c r="L27" s="163">
        <f>IFERROR(__xludf.DUMMYFUNCTION("""COMPUTED_VALUE"""),0.35714285714285715)</f>
        <v>0.3571428571</v>
      </c>
      <c r="M27" s="162">
        <f>IFERROR(__xludf.DUMMYFUNCTION("""COMPUTED_VALUE"""),171.0)</f>
        <v>171</v>
      </c>
      <c r="N27" s="163">
        <f>IFERROR(__xludf.DUMMYFUNCTION("""COMPUTED_VALUE"""),0.9941520467836257)</f>
        <v>0.9941520468</v>
      </c>
      <c r="O27" s="163">
        <f>IFERROR(__xludf.DUMMYFUNCTION("""COMPUTED_VALUE"""),0.7309941520467836)</f>
        <v>0.730994152</v>
      </c>
      <c r="P27" s="164">
        <f>IFERROR(__xludf.DUMMYFUNCTION("""COMPUTED_VALUE"""),13.352)</f>
        <v>13.352</v>
      </c>
      <c r="R27" s="50"/>
    </row>
    <row r="28">
      <c r="A28" s="160" t="str">
        <f>IFERROR(__xludf.DUMMYFUNCTION("""COMPUTED_VALUE"""),"26")</f>
        <v>26</v>
      </c>
      <c r="B28" s="161" t="str">
        <f>IFERROR(__xludf.DUMMYFUNCTION("""COMPUTED_VALUE"""),"Phan Thanh Thức")</f>
        <v>Phan Thanh Thức</v>
      </c>
      <c r="C28" s="161" t="str">
        <f>IFERROR(__xludf.DUMMYFUNCTION("""COMPUTED_VALUE"""),"BC 61 Quang Trung-Xã Vân Canh-Bình Định")</f>
        <v>BC 61 Quang Trung-Xã Vân Canh-Bình Định</v>
      </c>
      <c r="D28" s="162">
        <f>IFERROR(__xludf.DUMMYFUNCTION("""COMPUTED_VALUE"""),51.0)</f>
        <v>51</v>
      </c>
      <c r="E28" s="163">
        <f>IFERROR(__xludf.DUMMYFUNCTION("""COMPUTED_VALUE"""),1.0)</f>
        <v>1</v>
      </c>
      <c r="F28" s="163">
        <f>IFERROR(__xludf.DUMMYFUNCTION("""COMPUTED_VALUE"""),0.8235294117647058)</f>
        <v>0.8235294118</v>
      </c>
      <c r="G28" s="162"/>
      <c r="H28" s="160"/>
      <c r="I28" s="160"/>
      <c r="J28" s="162">
        <f>IFERROR(__xludf.DUMMYFUNCTION("""COMPUTED_VALUE"""),16.0)</f>
        <v>16</v>
      </c>
      <c r="K28" s="163">
        <f>IFERROR(__xludf.DUMMYFUNCTION("""COMPUTED_VALUE"""),1.0)</f>
        <v>1</v>
      </c>
      <c r="L28" s="163">
        <f>IFERROR(__xludf.DUMMYFUNCTION("""COMPUTED_VALUE"""),0.4375)</f>
        <v>0.4375</v>
      </c>
      <c r="M28" s="162">
        <f>IFERROR(__xludf.DUMMYFUNCTION("""COMPUTED_VALUE"""),67.0)</f>
        <v>67</v>
      </c>
      <c r="N28" s="163">
        <f>IFERROR(__xludf.DUMMYFUNCTION("""COMPUTED_VALUE"""),1.0)</f>
        <v>1</v>
      </c>
      <c r="O28" s="163">
        <f>IFERROR(__xludf.DUMMYFUNCTION("""COMPUTED_VALUE"""),0.7313432835820896)</f>
        <v>0.7313432836</v>
      </c>
      <c r="P28" s="164">
        <f>IFERROR(__xludf.DUMMYFUNCTION("""COMPUTED_VALUE"""),22.224489795918366)</f>
        <v>22.2244898</v>
      </c>
      <c r="R28" s="50"/>
    </row>
    <row r="29">
      <c r="A29" s="160" t="str">
        <f>IFERROR(__xludf.DUMMYFUNCTION("""COMPUTED_VALUE"""),"27")</f>
        <v>27</v>
      </c>
      <c r="B29" s="161" t="str">
        <f>IFERROR(__xludf.DUMMYFUNCTION("""COMPUTED_VALUE"""),"Mai Đức Hoàng Long")</f>
        <v>Mai Đức Hoàng Long</v>
      </c>
      <c r="C29" s="161" t="str">
        <f>IFERROR(__xludf.DUMMYFUNCTION("""COMPUTED_VALUE"""),"BC 159 Tân Quảng-EaTóh-Krông Năng-Đắk Lắk")</f>
        <v>BC 159 Tân Quảng-EaTóh-Krông Năng-Đắk Lắk</v>
      </c>
      <c r="D29" s="162">
        <f>IFERROR(__xludf.DUMMYFUNCTION("""COMPUTED_VALUE"""),51.0)</f>
        <v>51</v>
      </c>
      <c r="E29" s="163">
        <f>IFERROR(__xludf.DUMMYFUNCTION("""COMPUTED_VALUE"""),0.9803921568627451)</f>
        <v>0.9803921569</v>
      </c>
      <c r="F29" s="163">
        <f>IFERROR(__xludf.DUMMYFUNCTION("""COMPUTED_VALUE"""),0.7843137254901961)</f>
        <v>0.7843137255</v>
      </c>
      <c r="G29" s="162"/>
      <c r="H29" s="160"/>
      <c r="I29" s="160"/>
      <c r="J29" s="162">
        <f>IFERROR(__xludf.DUMMYFUNCTION("""COMPUTED_VALUE"""),17.0)</f>
        <v>17</v>
      </c>
      <c r="K29" s="163">
        <f>IFERROR(__xludf.DUMMYFUNCTION("""COMPUTED_VALUE"""),1.0)</f>
        <v>1</v>
      </c>
      <c r="L29" s="163">
        <f>IFERROR(__xludf.DUMMYFUNCTION("""COMPUTED_VALUE"""),0.5882352941176471)</f>
        <v>0.5882352941</v>
      </c>
      <c r="M29" s="162">
        <f>IFERROR(__xludf.DUMMYFUNCTION("""COMPUTED_VALUE"""),68.0)</f>
        <v>68</v>
      </c>
      <c r="N29" s="163">
        <f>IFERROR(__xludf.DUMMYFUNCTION("""COMPUTED_VALUE"""),0.9852941176470589)</f>
        <v>0.9852941176</v>
      </c>
      <c r="O29" s="163">
        <f>IFERROR(__xludf.DUMMYFUNCTION("""COMPUTED_VALUE"""),0.7352941176470589)</f>
        <v>0.7352941176</v>
      </c>
      <c r="P29" s="164">
        <f>IFERROR(__xludf.DUMMYFUNCTION("""COMPUTED_VALUE"""),17.6)</f>
        <v>17.6</v>
      </c>
      <c r="R29" s="50"/>
    </row>
    <row r="30">
      <c r="A30" s="160" t="str">
        <f>IFERROR(__xludf.DUMMYFUNCTION("""COMPUTED_VALUE"""),"28")</f>
        <v>28</v>
      </c>
      <c r="B30" s="161" t="str">
        <f>IFERROR(__xludf.DUMMYFUNCTION("""COMPUTED_VALUE"""),"Nguyễn  Hoàng Anh ")</f>
        <v>Nguyễn  Hoàng Anh </v>
      </c>
      <c r="C30" s="161" t="str">
        <f>IFERROR(__xludf.DUMMYFUNCTION("""COMPUTED_VALUE"""),"BC TDP3 Thị Trấn Krông Kmart-Krông Bông-Đắk Lắk")</f>
        <v>BC TDP3 Thị Trấn Krông Kmart-Krông Bông-Đắk Lắk</v>
      </c>
      <c r="D30" s="162">
        <f>IFERROR(__xludf.DUMMYFUNCTION("""COMPUTED_VALUE"""),105.0)</f>
        <v>105</v>
      </c>
      <c r="E30" s="163">
        <f>IFERROR(__xludf.DUMMYFUNCTION("""COMPUTED_VALUE"""),1.0)</f>
        <v>1</v>
      </c>
      <c r="F30" s="163">
        <f>IFERROR(__xludf.DUMMYFUNCTION("""COMPUTED_VALUE"""),0.8761904761904762)</f>
        <v>0.8761904762</v>
      </c>
      <c r="G30" s="162"/>
      <c r="H30" s="160"/>
      <c r="I30" s="160"/>
      <c r="J30" s="162">
        <f>IFERROR(__xludf.DUMMYFUNCTION("""COMPUTED_VALUE"""),28.0)</f>
        <v>28</v>
      </c>
      <c r="K30" s="163">
        <f>IFERROR(__xludf.DUMMYFUNCTION("""COMPUTED_VALUE"""),1.0)</f>
        <v>1</v>
      </c>
      <c r="L30" s="163">
        <f>IFERROR(__xludf.DUMMYFUNCTION("""COMPUTED_VALUE"""),0.25)</f>
        <v>0.25</v>
      </c>
      <c r="M30" s="162">
        <f>IFERROR(__xludf.DUMMYFUNCTION("""COMPUTED_VALUE"""),133.0)</f>
        <v>133</v>
      </c>
      <c r="N30" s="163">
        <f>IFERROR(__xludf.DUMMYFUNCTION("""COMPUTED_VALUE"""),1.0)</f>
        <v>1</v>
      </c>
      <c r="O30" s="163">
        <f>IFERROR(__xludf.DUMMYFUNCTION("""COMPUTED_VALUE"""),0.7443609022556391)</f>
        <v>0.7443609023</v>
      </c>
      <c r="P30" s="164">
        <f>IFERROR(__xludf.DUMMYFUNCTION("""COMPUTED_VALUE"""),13.626262626262626)</f>
        <v>13.62626263</v>
      </c>
      <c r="R30" s="50"/>
    </row>
    <row r="31">
      <c r="A31" s="160" t="str">
        <f>IFERROR(__xludf.DUMMYFUNCTION("""COMPUTED_VALUE"""),"29")</f>
        <v>29</v>
      </c>
      <c r="B31" s="161" t="str">
        <f>IFERROR(__xludf.DUMMYFUNCTION("""COMPUTED_VALUE"""),"Nguyễn Công Luận")</f>
        <v>Nguyễn Công Luận</v>
      </c>
      <c r="C31" s="161" t="str">
        <f>IFERROR(__xludf.DUMMYFUNCTION("""COMPUTED_VALUE"""),"BC 56 Đường 17 Tháng 3-Chư Sê-Gia Lai")</f>
        <v>BC 56 Đường 17 Tháng 3-Chư Sê-Gia Lai</v>
      </c>
      <c r="D31" s="162">
        <f>IFERROR(__xludf.DUMMYFUNCTION("""COMPUTED_VALUE"""),200.0)</f>
        <v>200</v>
      </c>
      <c r="E31" s="163">
        <f>IFERROR(__xludf.DUMMYFUNCTION("""COMPUTED_VALUE"""),1.0)</f>
        <v>1</v>
      </c>
      <c r="F31" s="163">
        <f>IFERROR(__xludf.DUMMYFUNCTION("""COMPUTED_VALUE"""),0.815)</f>
        <v>0.815</v>
      </c>
      <c r="G31" s="162"/>
      <c r="H31" s="160"/>
      <c r="I31" s="160"/>
      <c r="J31" s="162">
        <f>IFERROR(__xludf.DUMMYFUNCTION("""COMPUTED_VALUE"""),35.0)</f>
        <v>35</v>
      </c>
      <c r="K31" s="163">
        <f>IFERROR(__xludf.DUMMYFUNCTION("""COMPUTED_VALUE"""),1.0)</f>
        <v>1</v>
      </c>
      <c r="L31" s="163">
        <f>IFERROR(__xludf.DUMMYFUNCTION("""COMPUTED_VALUE"""),0.37142857142857144)</f>
        <v>0.3714285714</v>
      </c>
      <c r="M31" s="162">
        <f>IFERROR(__xludf.DUMMYFUNCTION("""COMPUTED_VALUE"""),235.0)</f>
        <v>235</v>
      </c>
      <c r="N31" s="163">
        <f>IFERROR(__xludf.DUMMYFUNCTION("""COMPUTED_VALUE"""),1.0)</f>
        <v>1</v>
      </c>
      <c r="O31" s="163">
        <f>IFERROR(__xludf.DUMMYFUNCTION("""COMPUTED_VALUE"""),0.7489361702127659)</f>
        <v>0.7489361702</v>
      </c>
      <c r="P31" s="164">
        <f>IFERROR(__xludf.DUMMYFUNCTION("""COMPUTED_VALUE"""),11.676136363636363)</f>
        <v>11.67613636</v>
      </c>
      <c r="R31" s="50"/>
    </row>
    <row r="32">
      <c r="A32" s="160" t="str">
        <f>IFERROR(__xludf.DUMMYFUNCTION("""COMPUTED_VALUE"""),"30")</f>
        <v>30</v>
      </c>
      <c r="B32" s="161" t="str">
        <f>IFERROR(__xludf.DUMMYFUNCTION("""COMPUTED_VALUE"""),"Nguyễn Văn Sáng")</f>
        <v>Nguyễn Văn Sáng</v>
      </c>
      <c r="C32" s="161" t="str">
        <f>IFERROR(__xludf.DUMMYFUNCTION("""COMPUTED_VALUE"""),"BC 03 Trần Hưng Đạo-Krông Pắc-Đắk Lắk")</f>
        <v>BC 03 Trần Hưng Đạo-Krông Pắc-Đắk Lắk</v>
      </c>
      <c r="D32" s="162">
        <f>IFERROR(__xludf.DUMMYFUNCTION("""COMPUTED_VALUE"""),160.0)</f>
        <v>160</v>
      </c>
      <c r="E32" s="163">
        <f>IFERROR(__xludf.DUMMYFUNCTION("""COMPUTED_VALUE"""),0.99375)</f>
        <v>0.99375</v>
      </c>
      <c r="F32" s="163">
        <f>IFERROR(__xludf.DUMMYFUNCTION("""COMPUTED_VALUE"""),0.84375)</f>
        <v>0.84375</v>
      </c>
      <c r="G32" s="162"/>
      <c r="H32" s="160"/>
      <c r="I32" s="160"/>
      <c r="J32" s="162">
        <f>IFERROR(__xludf.DUMMYFUNCTION("""COMPUTED_VALUE"""),40.0)</f>
        <v>40</v>
      </c>
      <c r="K32" s="163">
        <f>IFERROR(__xludf.DUMMYFUNCTION("""COMPUTED_VALUE"""),0.975)</f>
        <v>0.975</v>
      </c>
      <c r="L32" s="163">
        <f>IFERROR(__xludf.DUMMYFUNCTION("""COMPUTED_VALUE"""),0.4)</f>
        <v>0.4</v>
      </c>
      <c r="M32" s="162">
        <f>IFERROR(__xludf.DUMMYFUNCTION("""COMPUTED_VALUE"""),200.0)</f>
        <v>200</v>
      </c>
      <c r="N32" s="163">
        <f>IFERROR(__xludf.DUMMYFUNCTION("""COMPUTED_VALUE"""),0.99)</f>
        <v>0.99</v>
      </c>
      <c r="O32" s="163">
        <f>IFERROR(__xludf.DUMMYFUNCTION("""COMPUTED_VALUE"""),0.755)</f>
        <v>0.755</v>
      </c>
      <c r="P32" s="164">
        <f>IFERROR(__xludf.DUMMYFUNCTION("""COMPUTED_VALUE"""),15.721854304635762)</f>
        <v>15.7218543</v>
      </c>
      <c r="R32" s="50"/>
    </row>
    <row r="33">
      <c r="A33" s="160" t="str">
        <f>IFERROR(__xludf.DUMMYFUNCTION("""COMPUTED_VALUE"""),"31")</f>
        <v>31</v>
      </c>
      <c r="B33" s="161" t="str">
        <f>IFERROR(__xludf.DUMMYFUNCTION("""COMPUTED_VALUE"""),"Phan Thanh Thức")</f>
        <v>Phan Thanh Thức</v>
      </c>
      <c r="C33" s="161" t="str">
        <f>IFERROR(__xludf.DUMMYFUNCTION("""COMPUTED_VALUE"""),"BC Khu Vực Kim Châu-An Nhơn-Bình Định")</f>
        <v>BC Khu Vực Kim Châu-An Nhơn-Bình Định</v>
      </c>
      <c r="D33" s="162">
        <f>IFERROR(__xludf.DUMMYFUNCTION("""COMPUTED_VALUE"""),355.0)</f>
        <v>355</v>
      </c>
      <c r="E33" s="163">
        <f>IFERROR(__xludf.DUMMYFUNCTION("""COMPUTED_VALUE"""),1.0)</f>
        <v>1</v>
      </c>
      <c r="F33" s="163">
        <f>IFERROR(__xludf.DUMMYFUNCTION("""COMPUTED_VALUE"""),0.8507042253521127)</f>
        <v>0.8507042254</v>
      </c>
      <c r="G33" s="162">
        <f>IFERROR(__xludf.DUMMYFUNCTION("""COMPUTED_VALUE"""),29.0)</f>
        <v>29</v>
      </c>
      <c r="H33" s="163">
        <f>IFERROR(__xludf.DUMMYFUNCTION("""COMPUTED_VALUE"""),0.896551724137931)</f>
        <v>0.8965517241</v>
      </c>
      <c r="I33" s="163">
        <f>IFERROR(__xludf.DUMMYFUNCTION("""COMPUTED_VALUE"""),0.3103448275862069)</f>
        <v>0.3103448276</v>
      </c>
      <c r="J33" s="162">
        <f>IFERROR(__xludf.DUMMYFUNCTION("""COMPUTED_VALUE"""),73.0)</f>
        <v>73</v>
      </c>
      <c r="K33" s="163">
        <f>IFERROR(__xludf.DUMMYFUNCTION("""COMPUTED_VALUE"""),1.0)</f>
        <v>1</v>
      </c>
      <c r="L33" s="163">
        <f>IFERROR(__xludf.DUMMYFUNCTION("""COMPUTED_VALUE"""),0.5068493150684932)</f>
        <v>0.5068493151</v>
      </c>
      <c r="M33" s="162">
        <f>IFERROR(__xludf.DUMMYFUNCTION("""COMPUTED_VALUE"""),457.0)</f>
        <v>457</v>
      </c>
      <c r="N33" s="163">
        <f>IFERROR(__xludf.DUMMYFUNCTION("""COMPUTED_VALUE"""),0.9934354485776805)</f>
        <v>0.9934354486</v>
      </c>
      <c r="O33" s="163">
        <f>IFERROR(__xludf.DUMMYFUNCTION("""COMPUTED_VALUE"""),0.7614879649890591)</f>
        <v>0.761487965</v>
      </c>
      <c r="P33" s="164">
        <f>IFERROR(__xludf.DUMMYFUNCTION("""COMPUTED_VALUE"""),10.051724137931034)</f>
        <v>10.05172414</v>
      </c>
      <c r="R33" s="50"/>
    </row>
    <row r="34">
      <c r="A34" s="160" t="str">
        <f>IFERROR(__xludf.DUMMYFUNCTION("""COMPUTED_VALUE"""),"32")</f>
        <v>32</v>
      </c>
      <c r="B34" s="161" t="str">
        <f>IFERROR(__xludf.DUMMYFUNCTION("""COMPUTED_VALUE"""),"Huỳnh Thị Mới ")</f>
        <v>Huỳnh Thị Mới </v>
      </c>
      <c r="C34" s="161" t="str">
        <f>IFERROR(__xludf.DUMMYFUNCTION("""COMPUTED_VALUE"""),"BC KP4 Hòa Vinh- Đông Hòa- Phú Yên")</f>
        <v>BC KP4 Hòa Vinh- Đông Hòa- Phú Yên</v>
      </c>
      <c r="D34" s="162">
        <f>IFERROR(__xludf.DUMMYFUNCTION("""COMPUTED_VALUE"""),178.0)</f>
        <v>178</v>
      </c>
      <c r="E34" s="163">
        <f>IFERROR(__xludf.DUMMYFUNCTION("""COMPUTED_VALUE"""),1.0)</f>
        <v>1</v>
      </c>
      <c r="F34" s="163">
        <f>IFERROR(__xludf.DUMMYFUNCTION("""COMPUTED_VALUE"""),0.8932584269662921)</f>
        <v>0.893258427</v>
      </c>
      <c r="G34" s="162">
        <f>IFERROR(__xludf.DUMMYFUNCTION("""COMPUTED_VALUE"""),25.0)</f>
        <v>25</v>
      </c>
      <c r="H34" s="163">
        <f>IFERROR(__xludf.DUMMYFUNCTION("""COMPUTED_VALUE"""),0.08)</f>
        <v>0.08</v>
      </c>
      <c r="I34" s="163">
        <f>IFERROR(__xludf.DUMMYFUNCTION("""COMPUTED_VALUE"""),0.08)</f>
        <v>0.08</v>
      </c>
      <c r="J34" s="162">
        <f>IFERROR(__xludf.DUMMYFUNCTION("""COMPUTED_VALUE"""),28.0)</f>
        <v>28</v>
      </c>
      <c r="K34" s="163">
        <f>IFERROR(__xludf.DUMMYFUNCTION("""COMPUTED_VALUE"""),1.0)</f>
        <v>1</v>
      </c>
      <c r="L34" s="163">
        <f>IFERROR(__xludf.DUMMYFUNCTION("""COMPUTED_VALUE"""),0.5714285714285714)</f>
        <v>0.5714285714</v>
      </c>
      <c r="M34" s="162">
        <f>IFERROR(__xludf.DUMMYFUNCTION("""COMPUTED_VALUE"""),231.0)</f>
        <v>231</v>
      </c>
      <c r="N34" s="163">
        <f>IFERROR(__xludf.DUMMYFUNCTION("""COMPUTED_VALUE"""),0.9004329004329005)</f>
        <v>0.9004329004</v>
      </c>
      <c r="O34" s="163">
        <f>IFERROR(__xludf.DUMMYFUNCTION("""COMPUTED_VALUE"""),0.7662337662337663)</f>
        <v>0.7662337662</v>
      </c>
      <c r="P34" s="164">
        <f>IFERROR(__xludf.DUMMYFUNCTION("""COMPUTED_VALUE"""),10.209039548022599)</f>
        <v>10.20903955</v>
      </c>
      <c r="R34" s="50"/>
    </row>
    <row r="35">
      <c r="A35" s="160" t="str">
        <f>IFERROR(__xludf.DUMMYFUNCTION("""COMPUTED_VALUE"""),"33")</f>
        <v>33</v>
      </c>
      <c r="B35" s="161" t="str">
        <f>IFERROR(__xludf.DUMMYFUNCTION("""COMPUTED_VALUE"""),"Nguyễn Thị Bảo Nhi")</f>
        <v>Nguyễn Thị Bảo Nhi</v>
      </c>
      <c r="C35" s="161" t="str">
        <f>IFERROR(__xludf.DUMMYFUNCTION("""COMPUTED_VALUE"""),"BC 245 Hùng Vương-Ea Súp-Đắk Lắk")</f>
        <v>BC 245 Hùng Vương-Ea Súp-Đắk Lắk</v>
      </c>
      <c r="D35" s="162">
        <f>IFERROR(__xludf.DUMMYFUNCTION("""COMPUTED_VALUE"""),78.0)</f>
        <v>78</v>
      </c>
      <c r="E35" s="163">
        <f>IFERROR(__xludf.DUMMYFUNCTION("""COMPUTED_VALUE"""),1.0)</f>
        <v>1</v>
      </c>
      <c r="F35" s="163">
        <f>IFERROR(__xludf.DUMMYFUNCTION("""COMPUTED_VALUE"""),0.8717948717948718)</f>
        <v>0.8717948718</v>
      </c>
      <c r="G35" s="162"/>
      <c r="H35" s="160"/>
      <c r="I35" s="160"/>
      <c r="J35" s="162">
        <f>IFERROR(__xludf.DUMMYFUNCTION("""COMPUTED_VALUE"""),29.0)</f>
        <v>29</v>
      </c>
      <c r="K35" s="163">
        <f>IFERROR(__xludf.DUMMYFUNCTION("""COMPUTED_VALUE"""),1.0)</f>
        <v>1</v>
      </c>
      <c r="L35" s="163">
        <f>IFERROR(__xludf.DUMMYFUNCTION("""COMPUTED_VALUE"""),0.4827586206896552)</f>
        <v>0.4827586207</v>
      </c>
      <c r="M35" s="162">
        <f>IFERROR(__xludf.DUMMYFUNCTION("""COMPUTED_VALUE"""),107.0)</f>
        <v>107</v>
      </c>
      <c r="N35" s="163">
        <f>IFERROR(__xludf.DUMMYFUNCTION("""COMPUTED_VALUE"""),1.0)</f>
        <v>1</v>
      </c>
      <c r="O35" s="163">
        <f>IFERROR(__xludf.DUMMYFUNCTION("""COMPUTED_VALUE"""),0.7663551401869159)</f>
        <v>0.7663551402</v>
      </c>
      <c r="P35" s="164">
        <f>IFERROR(__xludf.DUMMYFUNCTION("""COMPUTED_VALUE"""),21.5)</f>
        <v>21.5</v>
      </c>
      <c r="R35" s="50"/>
    </row>
    <row r="36">
      <c r="A36" s="160" t="str">
        <f>IFERROR(__xludf.DUMMYFUNCTION("""COMPUTED_VALUE"""),"34")</f>
        <v>34</v>
      </c>
      <c r="B36" s="161" t="str">
        <f>IFERROR(__xludf.DUMMYFUNCTION("""COMPUTED_VALUE"""),"Nguyễn Đình Trung")</f>
        <v>Nguyễn Đình Trung</v>
      </c>
      <c r="C36" s="161" t="str">
        <f>IFERROR(__xludf.DUMMYFUNCTION("""COMPUTED_VALUE"""),"BC 414 Trần Hưng Đạo-Mang Yang-Gia Lai")</f>
        <v>BC 414 Trần Hưng Đạo-Mang Yang-Gia Lai</v>
      </c>
      <c r="D36" s="162">
        <f>IFERROR(__xludf.DUMMYFUNCTION("""COMPUTED_VALUE"""),128.0)</f>
        <v>128</v>
      </c>
      <c r="E36" s="163">
        <f>IFERROR(__xludf.DUMMYFUNCTION("""COMPUTED_VALUE"""),1.0)</f>
        <v>1</v>
      </c>
      <c r="F36" s="163">
        <f>IFERROR(__xludf.DUMMYFUNCTION("""COMPUTED_VALUE"""),0.8671875)</f>
        <v>0.8671875</v>
      </c>
      <c r="G36" s="162"/>
      <c r="H36" s="160"/>
      <c r="I36" s="160"/>
      <c r="J36" s="162">
        <f>IFERROR(__xludf.DUMMYFUNCTION("""COMPUTED_VALUE"""),22.0)</f>
        <v>22</v>
      </c>
      <c r="K36" s="163">
        <f>IFERROR(__xludf.DUMMYFUNCTION("""COMPUTED_VALUE"""),1.0)</f>
        <v>1</v>
      </c>
      <c r="L36" s="163">
        <f>IFERROR(__xludf.DUMMYFUNCTION("""COMPUTED_VALUE"""),0.18181818181818182)</f>
        <v>0.1818181818</v>
      </c>
      <c r="M36" s="162">
        <f>IFERROR(__xludf.DUMMYFUNCTION("""COMPUTED_VALUE"""),150.0)</f>
        <v>150</v>
      </c>
      <c r="N36" s="163">
        <f>IFERROR(__xludf.DUMMYFUNCTION("""COMPUTED_VALUE"""),1.0)</f>
        <v>1</v>
      </c>
      <c r="O36" s="163">
        <f>IFERROR(__xludf.DUMMYFUNCTION("""COMPUTED_VALUE"""),0.7666666666666667)</f>
        <v>0.7666666667</v>
      </c>
      <c r="P36" s="164">
        <f>IFERROR(__xludf.DUMMYFUNCTION("""COMPUTED_VALUE"""),10.88695652173913)</f>
        <v>10.88695652</v>
      </c>
      <c r="R36" s="50"/>
    </row>
    <row r="37">
      <c r="A37" s="160" t="str">
        <f>IFERROR(__xludf.DUMMYFUNCTION("""COMPUTED_VALUE"""),"35")</f>
        <v>35</v>
      </c>
      <c r="B37" s="161" t="str">
        <f>IFERROR(__xludf.DUMMYFUNCTION("""COMPUTED_VALUE"""),"Trần Nhật Thương")</f>
        <v>Trần Nhật Thương</v>
      </c>
      <c r="C37" s="161" t="str">
        <f>IFERROR(__xludf.DUMMYFUNCTION("""COMPUTED_VALUE"""),"BC 21 Tây Sơn-Xã Phù Mỹ-Bình Định")</f>
        <v>BC 21 Tây Sơn-Xã Phù Mỹ-Bình Định</v>
      </c>
      <c r="D37" s="162">
        <f>IFERROR(__xludf.DUMMYFUNCTION("""COMPUTED_VALUE"""),240.0)</f>
        <v>240</v>
      </c>
      <c r="E37" s="163">
        <f>IFERROR(__xludf.DUMMYFUNCTION("""COMPUTED_VALUE"""),0.9916666666666667)</f>
        <v>0.9916666667</v>
      </c>
      <c r="F37" s="163">
        <f>IFERROR(__xludf.DUMMYFUNCTION("""COMPUTED_VALUE"""),0.8583333333333333)</f>
        <v>0.8583333333</v>
      </c>
      <c r="G37" s="162">
        <f>IFERROR(__xludf.DUMMYFUNCTION("""COMPUTED_VALUE"""),19.0)</f>
        <v>19</v>
      </c>
      <c r="H37" s="163">
        <f>IFERROR(__xludf.DUMMYFUNCTION("""COMPUTED_VALUE"""),1.0)</f>
        <v>1</v>
      </c>
      <c r="I37" s="163">
        <f>IFERROR(__xludf.DUMMYFUNCTION("""COMPUTED_VALUE"""),0.42105263157894735)</f>
        <v>0.4210526316</v>
      </c>
      <c r="J37" s="162">
        <f>IFERROR(__xludf.DUMMYFUNCTION("""COMPUTED_VALUE"""),50.0)</f>
        <v>50</v>
      </c>
      <c r="K37" s="163">
        <f>IFERROR(__xludf.DUMMYFUNCTION("""COMPUTED_VALUE"""),1.0)</f>
        <v>1</v>
      </c>
      <c r="L37" s="163">
        <f>IFERROR(__xludf.DUMMYFUNCTION("""COMPUTED_VALUE"""),0.54)</f>
        <v>0.54</v>
      </c>
      <c r="M37" s="162">
        <f>IFERROR(__xludf.DUMMYFUNCTION("""COMPUTED_VALUE"""),309.0)</f>
        <v>309</v>
      </c>
      <c r="N37" s="163">
        <f>IFERROR(__xludf.DUMMYFUNCTION("""COMPUTED_VALUE"""),0.9935275080906149)</f>
        <v>0.9935275081</v>
      </c>
      <c r="O37" s="163">
        <f>IFERROR(__xludf.DUMMYFUNCTION("""COMPUTED_VALUE"""),0.7799352750809061)</f>
        <v>0.7799352751</v>
      </c>
      <c r="P37" s="164">
        <f>IFERROR(__xludf.DUMMYFUNCTION("""COMPUTED_VALUE"""),11.647302904564315)</f>
        <v>11.6473029</v>
      </c>
      <c r="R37" s="50"/>
    </row>
    <row r="38">
      <c r="A38" s="160" t="str">
        <f>IFERROR(__xludf.DUMMYFUNCTION("""COMPUTED_VALUE"""),"36")</f>
        <v>36</v>
      </c>
      <c r="B38" s="161" t="str">
        <f>IFERROR(__xludf.DUMMYFUNCTION("""COMPUTED_VALUE"""),"Nguyễn Thị Bảo Nhi")</f>
        <v>Nguyễn Thị Bảo Nhi</v>
      </c>
      <c r="C38" s="161" t="str">
        <f>IFERROR(__xludf.DUMMYFUNCTION("""COMPUTED_VALUE"""),"BC Thị Trấn Buôn Trấp-Krông A Na-Đắk Lắk")</f>
        <v>BC Thị Trấn Buôn Trấp-Krông A Na-Đắk Lắk</v>
      </c>
      <c r="D38" s="162">
        <f>IFERROR(__xludf.DUMMYFUNCTION("""COMPUTED_VALUE"""),100.0)</f>
        <v>100</v>
      </c>
      <c r="E38" s="163">
        <f>IFERROR(__xludf.DUMMYFUNCTION("""COMPUTED_VALUE"""),1.0)</f>
        <v>1</v>
      </c>
      <c r="F38" s="163">
        <f>IFERROR(__xludf.DUMMYFUNCTION("""COMPUTED_VALUE"""),0.93)</f>
        <v>0.93</v>
      </c>
      <c r="G38" s="162"/>
      <c r="H38" s="160"/>
      <c r="I38" s="160"/>
      <c r="J38" s="162">
        <f>IFERROR(__xludf.DUMMYFUNCTION("""COMPUTED_VALUE"""),33.0)</f>
        <v>33</v>
      </c>
      <c r="K38" s="163">
        <f>IFERROR(__xludf.DUMMYFUNCTION("""COMPUTED_VALUE"""),1.0)</f>
        <v>1</v>
      </c>
      <c r="L38" s="163">
        <f>IFERROR(__xludf.DUMMYFUNCTION("""COMPUTED_VALUE"""),0.3333333333333333)</f>
        <v>0.3333333333</v>
      </c>
      <c r="M38" s="162">
        <f>IFERROR(__xludf.DUMMYFUNCTION("""COMPUTED_VALUE"""),133.0)</f>
        <v>133</v>
      </c>
      <c r="N38" s="163">
        <f>IFERROR(__xludf.DUMMYFUNCTION("""COMPUTED_VALUE"""),1.0)</f>
        <v>1</v>
      </c>
      <c r="O38" s="163">
        <f>IFERROR(__xludf.DUMMYFUNCTION("""COMPUTED_VALUE"""),0.7819548872180451)</f>
        <v>0.7819548872</v>
      </c>
      <c r="P38" s="164">
        <f>IFERROR(__xludf.DUMMYFUNCTION("""COMPUTED_VALUE"""),10.10576923076923)</f>
        <v>10.10576923</v>
      </c>
      <c r="R38" s="50"/>
    </row>
    <row r="39">
      <c r="A39" s="160" t="str">
        <f>IFERROR(__xludf.DUMMYFUNCTION("""COMPUTED_VALUE"""),"37")</f>
        <v>37</v>
      </c>
      <c r="B39" s="161" t="str">
        <f>IFERROR(__xludf.DUMMYFUNCTION("""COMPUTED_VALUE"""),"Võ Thanh Diệu ")</f>
        <v>Võ Thanh Diệu </v>
      </c>
      <c r="C39" s="161" t="str">
        <f>IFERROR(__xludf.DUMMYFUNCTION("""COMPUTED_VALUE"""),"BC Đường 3 Tháng 2-Xã Phù Cát-Bình Định")</f>
        <v>BC Đường 3 Tháng 2-Xã Phù Cát-Bình Định</v>
      </c>
      <c r="D39" s="162">
        <f>IFERROR(__xludf.DUMMYFUNCTION("""COMPUTED_VALUE"""),170.0)</f>
        <v>170</v>
      </c>
      <c r="E39" s="163">
        <f>IFERROR(__xludf.DUMMYFUNCTION("""COMPUTED_VALUE"""),0.9941176470588236)</f>
        <v>0.9941176471</v>
      </c>
      <c r="F39" s="163">
        <f>IFERROR(__xludf.DUMMYFUNCTION("""COMPUTED_VALUE"""),0.8352941176470589)</f>
        <v>0.8352941176</v>
      </c>
      <c r="G39" s="162">
        <f>IFERROR(__xludf.DUMMYFUNCTION("""COMPUTED_VALUE"""),16.0)</f>
        <v>16</v>
      </c>
      <c r="H39" s="163">
        <f>IFERROR(__xludf.DUMMYFUNCTION("""COMPUTED_VALUE"""),1.0)</f>
        <v>1</v>
      </c>
      <c r="I39" s="163">
        <f>IFERROR(__xludf.DUMMYFUNCTION("""COMPUTED_VALUE"""),0.5625)</f>
        <v>0.5625</v>
      </c>
      <c r="J39" s="162">
        <f>IFERROR(__xludf.DUMMYFUNCTION("""COMPUTED_VALUE"""),23.0)</f>
        <v>23</v>
      </c>
      <c r="K39" s="163">
        <f>IFERROR(__xludf.DUMMYFUNCTION("""COMPUTED_VALUE"""),1.0)</f>
        <v>1</v>
      </c>
      <c r="L39" s="163">
        <f>IFERROR(__xludf.DUMMYFUNCTION("""COMPUTED_VALUE"""),0.5652173913043478)</f>
        <v>0.5652173913</v>
      </c>
      <c r="M39" s="162">
        <f>IFERROR(__xludf.DUMMYFUNCTION("""COMPUTED_VALUE"""),209.0)</f>
        <v>209</v>
      </c>
      <c r="N39" s="163">
        <f>IFERROR(__xludf.DUMMYFUNCTION("""COMPUTED_VALUE"""),0.9952153110047847)</f>
        <v>0.995215311</v>
      </c>
      <c r="O39" s="163">
        <f>IFERROR(__xludf.DUMMYFUNCTION("""COMPUTED_VALUE"""),0.784688995215311)</f>
        <v>0.7846889952</v>
      </c>
      <c r="P39" s="164">
        <f>IFERROR(__xludf.DUMMYFUNCTION("""COMPUTED_VALUE"""),9.487804878048781)</f>
        <v>9.487804878</v>
      </c>
      <c r="R39" s="50"/>
    </row>
    <row r="40">
      <c r="A40" s="160" t="str">
        <f>IFERROR(__xludf.DUMMYFUNCTION("""COMPUTED_VALUE"""),"38")</f>
        <v>38</v>
      </c>
      <c r="B40" s="161" t="str">
        <f>IFERROR(__xludf.DUMMYFUNCTION("""COMPUTED_VALUE"""),"Phan Thanh Thức")</f>
        <v>Phan Thanh Thức</v>
      </c>
      <c r="C40" s="161" t="str">
        <f>IFERROR(__xludf.DUMMYFUNCTION("""COMPUTED_VALUE"""),"BC 565 Trần Phú-Tuy Phước-Bình Định")</f>
        <v>BC 565 Trần Phú-Tuy Phước-Bình Định</v>
      </c>
      <c r="D40" s="162">
        <f>IFERROR(__xludf.DUMMYFUNCTION("""COMPUTED_VALUE"""),257.0)</f>
        <v>257</v>
      </c>
      <c r="E40" s="163">
        <f>IFERROR(__xludf.DUMMYFUNCTION("""COMPUTED_VALUE"""),0.9961089494163424)</f>
        <v>0.9961089494</v>
      </c>
      <c r="F40" s="163">
        <f>IFERROR(__xludf.DUMMYFUNCTION("""COMPUTED_VALUE"""),0.867704280155642)</f>
        <v>0.8677042802</v>
      </c>
      <c r="G40" s="162">
        <f>IFERROR(__xludf.DUMMYFUNCTION("""COMPUTED_VALUE"""),18.0)</f>
        <v>18</v>
      </c>
      <c r="H40" s="163">
        <f>IFERROR(__xludf.DUMMYFUNCTION("""COMPUTED_VALUE"""),0.9444444444444444)</f>
        <v>0.9444444444</v>
      </c>
      <c r="I40" s="163">
        <f>IFERROR(__xludf.DUMMYFUNCTION("""COMPUTED_VALUE"""),0.5555555555555556)</f>
        <v>0.5555555556</v>
      </c>
      <c r="J40" s="162">
        <f>IFERROR(__xludf.DUMMYFUNCTION("""COMPUTED_VALUE"""),52.0)</f>
        <v>52</v>
      </c>
      <c r="K40" s="163">
        <f>IFERROR(__xludf.DUMMYFUNCTION("""COMPUTED_VALUE"""),1.0)</f>
        <v>1</v>
      </c>
      <c r="L40" s="163">
        <f>IFERROR(__xludf.DUMMYFUNCTION("""COMPUTED_VALUE"""),0.4807692307692308)</f>
        <v>0.4807692308</v>
      </c>
      <c r="M40" s="162">
        <f>IFERROR(__xludf.DUMMYFUNCTION("""COMPUTED_VALUE"""),327.0)</f>
        <v>327</v>
      </c>
      <c r="N40" s="163">
        <f>IFERROR(__xludf.DUMMYFUNCTION("""COMPUTED_VALUE"""),0.9938837920489296)</f>
        <v>0.993883792</v>
      </c>
      <c r="O40" s="163">
        <f>IFERROR(__xludf.DUMMYFUNCTION("""COMPUTED_VALUE"""),0.7889908256880734)</f>
        <v>0.7889908257</v>
      </c>
      <c r="P40" s="164">
        <f>IFERROR(__xludf.DUMMYFUNCTION("""COMPUTED_VALUE"""),10.13953488372093)</f>
        <v>10.13953488</v>
      </c>
      <c r="R40" s="50"/>
    </row>
    <row r="41">
      <c r="A41" s="160" t="str">
        <f>IFERROR(__xludf.DUMMYFUNCTION("""COMPUTED_VALUE"""),"39")</f>
        <v>39</v>
      </c>
      <c r="B41" s="161" t="str">
        <f>IFERROR(__xludf.DUMMYFUNCTION("""COMPUTED_VALUE"""),"Lê Văn Tài")</f>
        <v>Lê Văn Tài</v>
      </c>
      <c r="C41" s="161" t="str">
        <f>IFERROR(__xludf.DUMMYFUNCTION("""COMPUTED_VALUE"""),"BC 297 Hùng Vương-CưMgar-Đắk Lắk")</f>
        <v>BC 297 Hùng Vương-CưMgar-Đắk Lắk</v>
      </c>
      <c r="D41" s="162">
        <f>IFERROR(__xludf.DUMMYFUNCTION("""COMPUTED_VALUE"""),199.0)</f>
        <v>199</v>
      </c>
      <c r="E41" s="163">
        <f>IFERROR(__xludf.DUMMYFUNCTION("""COMPUTED_VALUE"""),0.9949748743718593)</f>
        <v>0.9949748744</v>
      </c>
      <c r="F41" s="163">
        <f>IFERROR(__xludf.DUMMYFUNCTION("""COMPUTED_VALUE"""),0.8542713567839196)</f>
        <v>0.8542713568</v>
      </c>
      <c r="G41" s="162"/>
      <c r="H41" s="160"/>
      <c r="I41" s="160"/>
      <c r="J41" s="162">
        <f>IFERROR(__xludf.DUMMYFUNCTION("""COMPUTED_VALUE"""),34.0)</f>
        <v>34</v>
      </c>
      <c r="K41" s="163">
        <f>IFERROR(__xludf.DUMMYFUNCTION("""COMPUTED_VALUE"""),1.0)</f>
        <v>1</v>
      </c>
      <c r="L41" s="163">
        <f>IFERROR(__xludf.DUMMYFUNCTION("""COMPUTED_VALUE"""),0.4117647058823529)</f>
        <v>0.4117647059</v>
      </c>
      <c r="M41" s="162">
        <f>IFERROR(__xludf.DUMMYFUNCTION("""COMPUTED_VALUE"""),233.0)</f>
        <v>233</v>
      </c>
      <c r="N41" s="163">
        <f>IFERROR(__xludf.DUMMYFUNCTION("""COMPUTED_VALUE"""),0.9957081545064378)</f>
        <v>0.9957081545</v>
      </c>
      <c r="O41" s="163">
        <f>IFERROR(__xludf.DUMMYFUNCTION("""COMPUTED_VALUE"""),0.7896995708154506)</f>
        <v>0.7896995708</v>
      </c>
      <c r="P41" s="164">
        <f>IFERROR(__xludf.DUMMYFUNCTION("""COMPUTED_VALUE"""),14.86413043478261)</f>
        <v>14.86413043</v>
      </c>
      <c r="R41" s="50"/>
    </row>
    <row r="42">
      <c r="A42" s="160" t="str">
        <f>IFERROR(__xludf.DUMMYFUNCTION("""COMPUTED_VALUE"""),"40")</f>
        <v>40</v>
      </c>
      <c r="B42" s="161" t="str">
        <f>IFERROR(__xludf.DUMMYFUNCTION("""COMPUTED_VALUE"""),"Ngô  Thị Bích Trâm ")</f>
        <v>Ngô  Thị Bích Trâm </v>
      </c>
      <c r="C42" s="161" t="str">
        <f>IFERROR(__xludf.DUMMYFUNCTION("""COMPUTED_VALUE"""),"BC 499 Phạm Văn Đồng-Pleiku-Gia Lai")</f>
        <v>BC 499 Phạm Văn Đồng-Pleiku-Gia Lai</v>
      </c>
      <c r="D42" s="162">
        <f>IFERROR(__xludf.DUMMYFUNCTION("""COMPUTED_VALUE"""),241.0)</f>
        <v>241</v>
      </c>
      <c r="E42" s="163">
        <f>IFERROR(__xludf.DUMMYFUNCTION("""COMPUTED_VALUE"""),0.995850622406639)</f>
        <v>0.9958506224</v>
      </c>
      <c r="F42" s="163">
        <f>IFERROR(__xludf.DUMMYFUNCTION("""COMPUTED_VALUE"""),0.8298755186721992)</f>
        <v>0.8298755187</v>
      </c>
      <c r="G42" s="162">
        <f>IFERROR(__xludf.DUMMYFUNCTION("""COMPUTED_VALUE"""),13.0)</f>
        <v>13</v>
      </c>
      <c r="H42" s="163">
        <f>IFERROR(__xludf.DUMMYFUNCTION("""COMPUTED_VALUE"""),1.0)</f>
        <v>1</v>
      </c>
      <c r="I42" s="163">
        <f>IFERROR(__xludf.DUMMYFUNCTION("""COMPUTED_VALUE"""),0.9230769230769231)</f>
        <v>0.9230769231</v>
      </c>
      <c r="J42" s="162">
        <f>IFERROR(__xludf.DUMMYFUNCTION("""COMPUTED_VALUE"""),24.0)</f>
        <v>24</v>
      </c>
      <c r="K42" s="163">
        <f>IFERROR(__xludf.DUMMYFUNCTION("""COMPUTED_VALUE"""),1.0)</f>
        <v>1</v>
      </c>
      <c r="L42" s="163">
        <f>IFERROR(__xludf.DUMMYFUNCTION("""COMPUTED_VALUE"""),0.3333333333333333)</f>
        <v>0.3333333333</v>
      </c>
      <c r="M42" s="162">
        <f>IFERROR(__xludf.DUMMYFUNCTION("""COMPUTED_VALUE"""),278.0)</f>
        <v>278</v>
      </c>
      <c r="N42" s="163">
        <f>IFERROR(__xludf.DUMMYFUNCTION("""COMPUTED_VALUE"""),0.9964028776978417)</f>
        <v>0.9964028777</v>
      </c>
      <c r="O42" s="163">
        <f>IFERROR(__xludf.DUMMYFUNCTION("""COMPUTED_VALUE"""),0.7913669064748201)</f>
        <v>0.7913669065</v>
      </c>
      <c r="P42" s="164">
        <f>IFERROR(__xludf.DUMMYFUNCTION("""COMPUTED_VALUE"""),11.077272727272728)</f>
        <v>11.07727273</v>
      </c>
      <c r="R42" s="50"/>
    </row>
    <row r="43">
      <c r="A43" s="160" t="str">
        <f>IFERROR(__xludf.DUMMYFUNCTION("""COMPUTED_VALUE"""),"41")</f>
        <v>41</v>
      </c>
      <c r="B43" s="161" t="str">
        <f>IFERROR(__xludf.DUMMYFUNCTION("""COMPUTED_VALUE"""),"Nguyễn Công Luận")</f>
        <v>Nguyễn Công Luận</v>
      </c>
      <c r="C43" s="161" t="str">
        <f>IFERROR(__xludf.DUMMYFUNCTION("""COMPUTED_VALUE"""),"BC 274 Hùng Vương-Chư Pưh-Gia Lai")</f>
        <v>BC 274 Hùng Vương-Chư Pưh-Gia Lai</v>
      </c>
      <c r="D43" s="162">
        <f>IFERROR(__xludf.DUMMYFUNCTION("""COMPUTED_VALUE"""),78.0)</f>
        <v>78</v>
      </c>
      <c r="E43" s="163">
        <f>IFERROR(__xludf.DUMMYFUNCTION("""COMPUTED_VALUE"""),1.0)</f>
        <v>1</v>
      </c>
      <c r="F43" s="163">
        <f>IFERROR(__xludf.DUMMYFUNCTION("""COMPUTED_VALUE"""),0.8589743589743589)</f>
        <v>0.858974359</v>
      </c>
      <c r="G43" s="162">
        <f>IFERROR(__xludf.DUMMYFUNCTION("""COMPUTED_VALUE"""),8.0)</f>
        <v>8</v>
      </c>
      <c r="H43" s="163">
        <f>IFERROR(__xludf.DUMMYFUNCTION("""COMPUTED_VALUE"""),1.0)</f>
        <v>1</v>
      </c>
      <c r="I43" s="163">
        <f>IFERROR(__xludf.DUMMYFUNCTION("""COMPUTED_VALUE"""),0.75)</f>
        <v>0.75</v>
      </c>
      <c r="J43" s="162">
        <f>IFERROR(__xludf.DUMMYFUNCTION("""COMPUTED_VALUE"""),10.0)</f>
        <v>10</v>
      </c>
      <c r="K43" s="163">
        <f>IFERROR(__xludf.DUMMYFUNCTION("""COMPUTED_VALUE"""),1.0)</f>
        <v>1</v>
      </c>
      <c r="L43" s="163">
        <f>IFERROR(__xludf.DUMMYFUNCTION("""COMPUTED_VALUE"""),0.3)</f>
        <v>0.3</v>
      </c>
      <c r="M43" s="162">
        <f>IFERROR(__xludf.DUMMYFUNCTION("""COMPUTED_VALUE"""),96.0)</f>
        <v>96</v>
      </c>
      <c r="N43" s="163">
        <f>IFERROR(__xludf.DUMMYFUNCTION("""COMPUTED_VALUE"""),1.0)</f>
        <v>1</v>
      </c>
      <c r="O43" s="163">
        <f>IFERROR(__xludf.DUMMYFUNCTION("""COMPUTED_VALUE"""),0.7916666666666666)</f>
        <v>0.7916666667</v>
      </c>
      <c r="P43" s="164">
        <f>IFERROR(__xludf.DUMMYFUNCTION("""COMPUTED_VALUE"""),9.157894736842104)</f>
        <v>9.157894737</v>
      </c>
      <c r="R43" s="50"/>
    </row>
    <row r="44">
      <c r="A44" s="160" t="str">
        <f>IFERROR(__xludf.DUMMYFUNCTION("""COMPUTED_VALUE"""),"42")</f>
        <v>42</v>
      </c>
      <c r="B44" s="161" t="str">
        <f>IFERROR(__xludf.DUMMYFUNCTION("""COMPUTED_VALUE"""),"Lê Trọng Khiêm")</f>
        <v>Lê Trọng Khiêm</v>
      </c>
      <c r="C44" s="161" t="str">
        <f>IFERROR(__xludf.DUMMYFUNCTION("""COMPUTED_VALUE"""),"BC 138 Trần Phú- Đồng Xuân- Phú Yên")</f>
        <v>BC 138 Trần Phú- Đồng Xuân- Phú Yên</v>
      </c>
      <c r="D44" s="162">
        <f>IFERROR(__xludf.DUMMYFUNCTION("""COMPUTED_VALUE"""),117.0)</f>
        <v>117</v>
      </c>
      <c r="E44" s="163">
        <f>IFERROR(__xludf.DUMMYFUNCTION("""COMPUTED_VALUE"""),0.9316239316239316)</f>
        <v>0.9316239316</v>
      </c>
      <c r="F44" s="163">
        <f>IFERROR(__xludf.DUMMYFUNCTION("""COMPUTED_VALUE"""),0.8632478632478633)</f>
        <v>0.8632478632</v>
      </c>
      <c r="G44" s="162">
        <f>IFERROR(__xludf.DUMMYFUNCTION("""COMPUTED_VALUE"""),13.0)</f>
        <v>13</v>
      </c>
      <c r="H44" s="163">
        <f>IFERROR(__xludf.DUMMYFUNCTION("""COMPUTED_VALUE"""),0.38461538461538464)</f>
        <v>0.3846153846</v>
      </c>
      <c r="I44" s="163">
        <f>IFERROR(__xludf.DUMMYFUNCTION("""COMPUTED_VALUE"""),0.38461538461538464)</f>
        <v>0.3846153846</v>
      </c>
      <c r="J44" s="162">
        <f>IFERROR(__xludf.DUMMYFUNCTION("""COMPUTED_VALUE"""),11.0)</f>
        <v>11</v>
      </c>
      <c r="K44" s="163">
        <f>IFERROR(__xludf.DUMMYFUNCTION("""COMPUTED_VALUE"""),1.0)</f>
        <v>1</v>
      </c>
      <c r="L44" s="163">
        <f>IFERROR(__xludf.DUMMYFUNCTION("""COMPUTED_VALUE"""),0.5454545454545454)</f>
        <v>0.5454545455</v>
      </c>
      <c r="M44" s="162">
        <f>IFERROR(__xludf.DUMMYFUNCTION("""COMPUTED_VALUE"""),141.0)</f>
        <v>141</v>
      </c>
      <c r="N44" s="163">
        <f>IFERROR(__xludf.DUMMYFUNCTION("""COMPUTED_VALUE"""),0.8865248226950354)</f>
        <v>0.8865248227</v>
      </c>
      <c r="O44" s="163">
        <f>IFERROR(__xludf.DUMMYFUNCTION("""COMPUTED_VALUE"""),0.7943262411347518)</f>
        <v>0.7943262411</v>
      </c>
      <c r="P44" s="164">
        <f>IFERROR(__xludf.DUMMYFUNCTION("""COMPUTED_VALUE"""),6.919642857142857)</f>
        <v>6.919642857</v>
      </c>
      <c r="R44" s="50"/>
    </row>
    <row r="45">
      <c r="A45" s="160" t="str">
        <f>IFERROR(__xludf.DUMMYFUNCTION("""COMPUTED_VALUE"""),"43")</f>
        <v>43</v>
      </c>
      <c r="B45" s="161" t="str">
        <f>IFERROR(__xludf.DUMMYFUNCTION("""COMPUTED_VALUE"""),"Phan Thanh Thức")</f>
        <v>Phan Thanh Thức</v>
      </c>
      <c r="C45" s="161" t="str">
        <f>IFERROR(__xludf.DUMMYFUNCTION("""COMPUTED_VALUE"""),"BC 263 Đống Đa-Quy Nhơn-Bình Định")</f>
        <v>BC 263 Đống Đa-Quy Nhơn-Bình Định</v>
      </c>
      <c r="D45" s="162">
        <f>IFERROR(__xludf.DUMMYFUNCTION("""COMPUTED_VALUE"""),289.0)</f>
        <v>289</v>
      </c>
      <c r="E45" s="163">
        <f>IFERROR(__xludf.DUMMYFUNCTION("""COMPUTED_VALUE"""),0.9965397923875432)</f>
        <v>0.9965397924</v>
      </c>
      <c r="F45" s="163">
        <f>IFERROR(__xludf.DUMMYFUNCTION("""COMPUTED_VALUE"""),0.8512110726643599)</f>
        <v>0.8512110727</v>
      </c>
      <c r="G45" s="162">
        <f>IFERROR(__xludf.DUMMYFUNCTION("""COMPUTED_VALUE"""),17.0)</f>
        <v>17</v>
      </c>
      <c r="H45" s="163">
        <f>IFERROR(__xludf.DUMMYFUNCTION("""COMPUTED_VALUE"""),0.8235294117647058)</f>
        <v>0.8235294118</v>
      </c>
      <c r="I45" s="163">
        <f>IFERROR(__xludf.DUMMYFUNCTION("""COMPUTED_VALUE"""),0.7647058823529411)</f>
        <v>0.7647058824</v>
      </c>
      <c r="J45" s="162">
        <f>IFERROR(__xludf.DUMMYFUNCTION("""COMPUTED_VALUE"""),41.0)</f>
        <v>41</v>
      </c>
      <c r="K45" s="163">
        <f>IFERROR(__xludf.DUMMYFUNCTION("""COMPUTED_VALUE"""),0.975609756097561)</f>
        <v>0.9756097561</v>
      </c>
      <c r="L45" s="163">
        <f>IFERROR(__xludf.DUMMYFUNCTION("""COMPUTED_VALUE"""),0.4146341463414634)</f>
        <v>0.4146341463</v>
      </c>
      <c r="M45" s="162">
        <f>IFERROR(__xludf.DUMMYFUNCTION("""COMPUTED_VALUE"""),347.0)</f>
        <v>347</v>
      </c>
      <c r="N45" s="163">
        <f>IFERROR(__xludf.DUMMYFUNCTION("""COMPUTED_VALUE"""),0.9855907780979827)</f>
        <v>0.9855907781</v>
      </c>
      <c r="O45" s="163">
        <f>IFERROR(__xludf.DUMMYFUNCTION("""COMPUTED_VALUE"""),0.7953890489913544)</f>
        <v>0.795389049</v>
      </c>
      <c r="P45" s="164">
        <f>IFERROR(__xludf.DUMMYFUNCTION("""COMPUTED_VALUE"""),11.68840579710145)</f>
        <v>11.6884058</v>
      </c>
      <c r="R45" s="50"/>
    </row>
    <row r="46">
      <c r="A46" s="160" t="str">
        <f>IFERROR(__xludf.DUMMYFUNCTION("""COMPUTED_VALUE"""),"44")</f>
        <v>44</v>
      </c>
      <c r="B46" s="161" t="str">
        <f>IFERROR(__xludf.DUMMYFUNCTION("""COMPUTED_VALUE"""),"Lê Văn Tài")</f>
        <v>Lê Văn Tài</v>
      </c>
      <c r="C46" s="161" t="str">
        <f>IFERROR(__xludf.DUMMYFUNCTION("""COMPUTED_VALUE"""),"BC KM92 QL14-Xã Ea Drăng-Đắk Lắk")</f>
        <v>BC KM92 QL14-Xã Ea Drăng-Đắk Lắk</v>
      </c>
      <c r="D46" s="162">
        <f>IFERROR(__xludf.DUMMYFUNCTION("""COMPUTED_VALUE"""),13.0)</f>
        <v>13</v>
      </c>
      <c r="E46" s="163">
        <f>IFERROR(__xludf.DUMMYFUNCTION("""COMPUTED_VALUE"""),0.9230769230769231)</f>
        <v>0.9230769231</v>
      </c>
      <c r="F46" s="163">
        <f>IFERROR(__xludf.DUMMYFUNCTION("""COMPUTED_VALUE"""),0.8461538461538461)</f>
        <v>0.8461538462</v>
      </c>
      <c r="G46" s="162">
        <f>IFERROR(__xludf.DUMMYFUNCTION("""COMPUTED_VALUE"""),52.0)</f>
        <v>52</v>
      </c>
      <c r="H46" s="163">
        <f>IFERROR(__xludf.DUMMYFUNCTION("""COMPUTED_VALUE"""),1.0)</f>
        <v>1</v>
      </c>
      <c r="I46" s="163">
        <f>IFERROR(__xludf.DUMMYFUNCTION("""COMPUTED_VALUE"""),0.8653846153846154)</f>
        <v>0.8653846154</v>
      </c>
      <c r="J46" s="162">
        <f>IFERROR(__xludf.DUMMYFUNCTION("""COMPUTED_VALUE"""),14.0)</f>
        <v>14</v>
      </c>
      <c r="K46" s="163">
        <f>IFERROR(__xludf.DUMMYFUNCTION("""COMPUTED_VALUE"""),0.9285714285714286)</f>
        <v>0.9285714286</v>
      </c>
      <c r="L46" s="163">
        <f>IFERROR(__xludf.DUMMYFUNCTION("""COMPUTED_VALUE"""),0.5)</f>
        <v>0.5</v>
      </c>
      <c r="M46" s="162">
        <f>IFERROR(__xludf.DUMMYFUNCTION("""COMPUTED_VALUE"""),79.0)</f>
        <v>79</v>
      </c>
      <c r="N46" s="163">
        <f>IFERROR(__xludf.DUMMYFUNCTION("""COMPUTED_VALUE"""),0.9746835443037974)</f>
        <v>0.9746835443</v>
      </c>
      <c r="O46" s="163">
        <f>IFERROR(__xludf.DUMMYFUNCTION("""COMPUTED_VALUE"""),0.7974683544303798)</f>
        <v>0.7974683544</v>
      </c>
      <c r="P46" s="164">
        <f>IFERROR(__xludf.DUMMYFUNCTION("""COMPUTED_VALUE"""),12.777777777777779)</f>
        <v>12.77777778</v>
      </c>
      <c r="R46" s="50"/>
    </row>
    <row r="47">
      <c r="A47" s="160" t="str">
        <f>IFERROR(__xludf.DUMMYFUNCTION("""COMPUTED_VALUE"""),"45")</f>
        <v>45</v>
      </c>
      <c r="B47" s="161" t="str">
        <f>IFERROR(__xludf.DUMMYFUNCTION("""COMPUTED_VALUE"""),"Nguyễn Đình Trung")</f>
        <v>Nguyễn Đình Trung</v>
      </c>
      <c r="C47" s="161" t="str">
        <f>IFERROR(__xludf.DUMMYFUNCTION("""COMPUTED_VALUE"""),"BC 15 Hoàng Văn Thụ-An Khê-Gia Lai")</f>
        <v>BC 15 Hoàng Văn Thụ-An Khê-Gia Lai</v>
      </c>
      <c r="D47" s="162">
        <f>IFERROR(__xludf.DUMMYFUNCTION("""COMPUTED_VALUE"""),194.0)</f>
        <v>194</v>
      </c>
      <c r="E47" s="163">
        <f>IFERROR(__xludf.DUMMYFUNCTION("""COMPUTED_VALUE"""),0.9948453608247423)</f>
        <v>0.9948453608</v>
      </c>
      <c r="F47" s="163">
        <f>IFERROR(__xludf.DUMMYFUNCTION("""COMPUTED_VALUE"""),0.8865979381443299)</f>
        <v>0.8865979381</v>
      </c>
      <c r="G47" s="162">
        <f>IFERROR(__xludf.DUMMYFUNCTION("""COMPUTED_VALUE"""),13.0)</f>
        <v>13</v>
      </c>
      <c r="H47" s="163">
        <f>IFERROR(__xludf.DUMMYFUNCTION("""COMPUTED_VALUE"""),1.0)</f>
        <v>1</v>
      </c>
      <c r="I47" s="163">
        <f>IFERROR(__xludf.DUMMYFUNCTION("""COMPUTED_VALUE"""),0.9230769230769231)</f>
        <v>0.9230769231</v>
      </c>
      <c r="J47" s="162">
        <f>IFERROR(__xludf.DUMMYFUNCTION("""COMPUTED_VALUE"""),31.0)</f>
        <v>31</v>
      </c>
      <c r="K47" s="163">
        <f>IFERROR(__xludf.DUMMYFUNCTION("""COMPUTED_VALUE"""),1.0)</f>
        <v>1</v>
      </c>
      <c r="L47" s="163">
        <f>IFERROR(__xludf.DUMMYFUNCTION("""COMPUTED_VALUE"""),0.1935483870967742)</f>
        <v>0.1935483871</v>
      </c>
      <c r="M47" s="162">
        <f>IFERROR(__xludf.DUMMYFUNCTION("""COMPUTED_VALUE"""),238.0)</f>
        <v>238</v>
      </c>
      <c r="N47" s="163">
        <f>IFERROR(__xludf.DUMMYFUNCTION("""COMPUTED_VALUE"""),0.9957983193277311)</f>
        <v>0.9957983193</v>
      </c>
      <c r="O47" s="163">
        <f>IFERROR(__xludf.DUMMYFUNCTION("""COMPUTED_VALUE"""),0.7983193277310925)</f>
        <v>0.7983193277</v>
      </c>
      <c r="P47" s="164">
        <f>IFERROR(__xludf.DUMMYFUNCTION("""COMPUTED_VALUE"""),10.078947368421053)</f>
        <v>10.07894737</v>
      </c>
      <c r="R47" s="50"/>
    </row>
    <row r="48">
      <c r="A48" s="160" t="str">
        <f>IFERROR(__xludf.DUMMYFUNCTION("""COMPUTED_VALUE"""),"46")</f>
        <v>46</v>
      </c>
      <c r="B48" s="161" t="str">
        <f>IFERROR(__xludf.DUMMYFUNCTION("""COMPUTED_VALUE"""),"Võ Thanh Diệu ")</f>
        <v>Võ Thanh Diệu </v>
      </c>
      <c r="C48" s="161" t="str">
        <f>IFERROR(__xludf.DUMMYFUNCTION("""COMPUTED_VALUE"""),"BC 44 Quang Trung-Tây Sơn-Bình Định")</f>
        <v>BC 44 Quang Trung-Tây Sơn-Bình Định</v>
      </c>
      <c r="D48" s="162">
        <f>IFERROR(__xludf.DUMMYFUNCTION("""COMPUTED_VALUE"""),197.0)</f>
        <v>197</v>
      </c>
      <c r="E48" s="163">
        <f>IFERROR(__xludf.DUMMYFUNCTION("""COMPUTED_VALUE"""),1.0)</f>
        <v>1</v>
      </c>
      <c r="F48" s="163">
        <f>IFERROR(__xludf.DUMMYFUNCTION("""COMPUTED_VALUE"""),0.8477157360406091)</f>
        <v>0.847715736</v>
      </c>
      <c r="G48" s="162">
        <f>IFERROR(__xludf.DUMMYFUNCTION("""COMPUTED_VALUE"""),26.0)</f>
        <v>26</v>
      </c>
      <c r="H48" s="163">
        <f>IFERROR(__xludf.DUMMYFUNCTION("""COMPUTED_VALUE"""),1.0)</f>
        <v>1</v>
      </c>
      <c r="I48" s="163">
        <f>IFERROR(__xludf.DUMMYFUNCTION("""COMPUTED_VALUE"""),0.5384615384615384)</f>
        <v>0.5384615385</v>
      </c>
      <c r="J48" s="162">
        <f>IFERROR(__xludf.DUMMYFUNCTION("""COMPUTED_VALUE"""),15.0)</f>
        <v>15</v>
      </c>
      <c r="K48" s="163">
        <f>IFERROR(__xludf.DUMMYFUNCTION("""COMPUTED_VALUE"""),1.0)</f>
        <v>1</v>
      </c>
      <c r="L48" s="163">
        <f>IFERROR(__xludf.DUMMYFUNCTION("""COMPUTED_VALUE"""),0.6666666666666666)</f>
        <v>0.6666666667</v>
      </c>
      <c r="M48" s="162">
        <f>IFERROR(__xludf.DUMMYFUNCTION("""COMPUTED_VALUE"""),238.0)</f>
        <v>238</v>
      </c>
      <c r="N48" s="163">
        <f>IFERROR(__xludf.DUMMYFUNCTION("""COMPUTED_VALUE"""),1.0)</f>
        <v>1</v>
      </c>
      <c r="O48" s="163">
        <f>IFERROR(__xludf.DUMMYFUNCTION("""COMPUTED_VALUE"""),0.8025210084033614)</f>
        <v>0.8025210084</v>
      </c>
      <c r="P48" s="164">
        <f>IFERROR(__xludf.DUMMYFUNCTION("""COMPUTED_VALUE"""),10.204188481675393)</f>
        <v>10.20418848</v>
      </c>
      <c r="R48" s="50"/>
    </row>
    <row r="49">
      <c r="A49" s="160" t="str">
        <f>IFERROR(__xludf.DUMMYFUNCTION("""COMPUTED_VALUE"""),"47")</f>
        <v>47</v>
      </c>
      <c r="B49" s="161" t="str">
        <f>IFERROR(__xludf.DUMMYFUNCTION("""COMPUTED_VALUE"""),"Nguyễn Đình Trung")</f>
        <v>Nguyễn Đình Trung</v>
      </c>
      <c r="C49" s="161" t="str">
        <f>IFERROR(__xludf.DUMMYFUNCTION("""COMPUTED_VALUE"""),"BC 327A Cách Mạng Tháng 8-Pleiku-Gia Lai")</f>
        <v>BC 327A Cách Mạng Tháng 8-Pleiku-Gia Lai</v>
      </c>
      <c r="D49" s="162">
        <f>IFERROR(__xludf.DUMMYFUNCTION("""COMPUTED_VALUE"""),158.0)</f>
        <v>158</v>
      </c>
      <c r="E49" s="163">
        <f>IFERROR(__xludf.DUMMYFUNCTION("""COMPUTED_VALUE"""),0.9873417721518988)</f>
        <v>0.9873417722</v>
      </c>
      <c r="F49" s="163">
        <f>IFERROR(__xludf.DUMMYFUNCTION("""COMPUTED_VALUE"""),0.8860759493670886)</f>
        <v>0.8860759494</v>
      </c>
      <c r="G49" s="162">
        <f>IFERROR(__xludf.DUMMYFUNCTION("""COMPUTED_VALUE"""),20.0)</f>
        <v>20</v>
      </c>
      <c r="H49" s="163">
        <f>IFERROR(__xludf.DUMMYFUNCTION("""COMPUTED_VALUE"""),1.0)</f>
        <v>1</v>
      </c>
      <c r="I49" s="163">
        <f>IFERROR(__xludf.DUMMYFUNCTION("""COMPUTED_VALUE"""),0.75)</f>
        <v>0.75</v>
      </c>
      <c r="J49" s="162">
        <f>IFERROR(__xludf.DUMMYFUNCTION("""COMPUTED_VALUE"""),25.0)</f>
        <v>25</v>
      </c>
      <c r="K49" s="163">
        <f>IFERROR(__xludf.DUMMYFUNCTION("""COMPUTED_VALUE"""),0.96)</f>
        <v>0.96</v>
      </c>
      <c r="L49" s="163">
        <f>IFERROR(__xludf.DUMMYFUNCTION("""COMPUTED_VALUE"""),0.36)</f>
        <v>0.36</v>
      </c>
      <c r="M49" s="162">
        <f>IFERROR(__xludf.DUMMYFUNCTION("""COMPUTED_VALUE"""),203.0)</f>
        <v>203</v>
      </c>
      <c r="N49" s="163">
        <f>IFERROR(__xludf.DUMMYFUNCTION("""COMPUTED_VALUE"""),0.9852216748768473)</f>
        <v>0.9852216749</v>
      </c>
      <c r="O49" s="163">
        <f>IFERROR(__xludf.DUMMYFUNCTION("""COMPUTED_VALUE"""),0.8078817733990148)</f>
        <v>0.8078817734</v>
      </c>
      <c r="P49" s="164">
        <f>IFERROR(__xludf.DUMMYFUNCTION("""COMPUTED_VALUE"""),12.847560975609756)</f>
        <v>12.84756098</v>
      </c>
      <c r="R49" s="50"/>
    </row>
    <row r="50">
      <c r="A50" s="160" t="str">
        <f>IFERROR(__xludf.DUMMYFUNCTION("""COMPUTED_VALUE"""),"48")</f>
        <v>48</v>
      </c>
      <c r="B50" s="161" t="str">
        <f>IFERROR(__xludf.DUMMYFUNCTION("""COMPUTED_VALUE"""),"Phan Thị Mỹ Chi")</f>
        <v>Phan Thị Mỹ Chi</v>
      </c>
      <c r="C50" s="161" t="str">
        <f>IFERROR(__xludf.DUMMYFUNCTION("""COMPUTED_VALUE"""),"BC 73 Lê Lợi-Chư Pah-Gia Lai")</f>
        <v>BC 73 Lê Lợi-Chư Pah-Gia Lai</v>
      </c>
      <c r="D50" s="162">
        <f>IFERROR(__xludf.DUMMYFUNCTION("""COMPUTED_VALUE"""),121.0)</f>
        <v>121</v>
      </c>
      <c r="E50" s="163">
        <f>IFERROR(__xludf.DUMMYFUNCTION("""COMPUTED_VALUE"""),1.0)</f>
        <v>1</v>
      </c>
      <c r="F50" s="163">
        <f>IFERROR(__xludf.DUMMYFUNCTION("""COMPUTED_VALUE"""),0.9008264462809917)</f>
        <v>0.9008264463</v>
      </c>
      <c r="G50" s="162">
        <f>IFERROR(__xludf.DUMMYFUNCTION("""COMPUTED_VALUE"""),9.0)</f>
        <v>9</v>
      </c>
      <c r="H50" s="163">
        <f>IFERROR(__xludf.DUMMYFUNCTION("""COMPUTED_VALUE"""),1.0)</f>
        <v>1</v>
      </c>
      <c r="I50" s="163">
        <f>IFERROR(__xludf.DUMMYFUNCTION("""COMPUTED_VALUE"""),0.8888888888888888)</f>
        <v>0.8888888889</v>
      </c>
      <c r="J50" s="162">
        <f>IFERROR(__xludf.DUMMYFUNCTION("""COMPUTED_VALUE"""),21.0)</f>
        <v>21</v>
      </c>
      <c r="K50" s="163">
        <f>IFERROR(__xludf.DUMMYFUNCTION("""COMPUTED_VALUE"""),1.0)</f>
        <v>1</v>
      </c>
      <c r="L50" s="163">
        <f>IFERROR(__xludf.DUMMYFUNCTION("""COMPUTED_VALUE"""),0.23809523809523808)</f>
        <v>0.2380952381</v>
      </c>
      <c r="M50" s="162">
        <f>IFERROR(__xludf.DUMMYFUNCTION("""COMPUTED_VALUE"""),151.0)</f>
        <v>151</v>
      </c>
      <c r="N50" s="163">
        <f>IFERROR(__xludf.DUMMYFUNCTION("""COMPUTED_VALUE"""),1.0)</f>
        <v>1</v>
      </c>
      <c r="O50" s="163">
        <f>IFERROR(__xludf.DUMMYFUNCTION("""COMPUTED_VALUE"""),0.8079470198675497)</f>
        <v>0.8079470199</v>
      </c>
      <c r="P50" s="164">
        <f>IFERROR(__xludf.DUMMYFUNCTION("""COMPUTED_VALUE"""),8.737704918032787)</f>
        <v>8.737704918</v>
      </c>
      <c r="R50" s="50"/>
    </row>
    <row r="51">
      <c r="A51" s="160" t="str">
        <f>IFERROR(__xludf.DUMMYFUNCTION("""COMPUTED_VALUE"""),"49")</f>
        <v>49</v>
      </c>
      <c r="B51" s="161" t="str">
        <f>IFERROR(__xludf.DUMMYFUNCTION("""COMPUTED_VALUE"""),"Lê Trọng Khiêm")</f>
        <v>Lê Trọng Khiêm</v>
      </c>
      <c r="C51" s="161" t="str">
        <f>IFERROR(__xludf.DUMMYFUNCTION("""COMPUTED_VALUE"""),"BC Thôn Đông Phước-Phú Hòa-Phú Yên")</f>
        <v>BC Thôn Đông Phước-Phú Hòa-Phú Yên</v>
      </c>
      <c r="D51" s="162">
        <f>IFERROR(__xludf.DUMMYFUNCTION("""COMPUTED_VALUE"""),134.0)</f>
        <v>134</v>
      </c>
      <c r="E51" s="163">
        <f>IFERROR(__xludf.DUMMYFUNCTION("""COMPUTED_VALUE"""),0.9925373134328358)</f>
        <v>0.9925373134</v>
      </c>
      <c r="F51" s="163">
        <f>IFERROR(__xludf.DUMMYFUNCTION("""COMPUTED_VALUE"""),0.9477611940298507)</f>
        <v>0.947761194</v>
      </c>
      <c r="G51" s="162">
        <f>IFERROR(__xludf.DUMMYFUNCTION("""COMPUTED_VALUE"""),16.0)</f>
        <v>16</v>
      </c>
      <c r="H51" s="163">
        <f>IFERROR(__xludf.DUMMYFUNCTION("""COMPUTED_VALUE"""),1.0)</f>
        <v>1</v>
      </c>
      <c r="I51" s="163">
        <f>IFERROR(__xludf.DUMMYFUNCTION("""COMPUTED_VALUE"""),0.625)</f>
        <v>0.625</v>
      </c>
      <c r="J51" s="162">
        <f>IFERROR(__xludf.DUMMYFUNCTION("""COMPUTED_VALUE"""),20.0)</f>
        <v>20</v>
      </c>
      <c r="K51" s="163">
        <f>IFERROR(__xludf.DUMMYFUNCTION("""COMPUTED_VALUE"""),1.0)</f>
        <v>1</v>
      </c>
      <c r="L51" s="163">
        <f>IFERROR(__xludf.DUMMYFUNCTION("""COMPUTED_VALUE"""),0.05)</f>
        <v>0.05</v>
      </c>
      <c r="M51" s="162">
        <f>IFERROR(__xludf.DUMMYFUNCTION("""COMPUTED_VALUE"""),170.0)</f>
        <v>170</v>
      </c>
      <c r="N51" s="163">
        <f>IFERROR(__xludf.DUMMYFUNCTION("""COMPUTED_VALUE"""),0.9941176470588236)</f>
        <v>0.9941176471</v>
      </c>
      <c r="O51" s="163">
        <f>IFERROR(__xludf.DUMMYFUNCTION("""COMPUTED_VALUE"""),0.8117647058823529)</f>
        <v>0.8117647059</v>
      </c>
      <c r="P51" s="164">
        <f>IFERROR(__xludf.DUMMYFUNCTION("""COMPUTED_VALUE"""),5.543478260869565)</f>
        <v>5.543478261</v>
      </c>
      <c r="R51" s="50"/>
    </row>
    <row r="52">
      <c r="A52" s="160" t="str">
        <f>IFERROR(__xludf.DUMMYFUNCTION("""COMPUTED_VALUE"""),"50")</f>
        <v>50</v>
      </c>
      <c r="B52" s="161" t="str">
        <f>IFERROR(__xludf.DUMMYFUNCTION("""COMPUTED_VALUE"""),"Huỳnh Thị Mới ")</f>
        <v>Huỳnh Thị Mới </v>
      </c>
      <c r="C52" s="161" t="str">
        <f>IFERROR(__xludf.DUMMYFUNCTION("""COMPUTED_VALUE"""),"BC Thị Trấn Phú Thứ-Tây Hoà-Phú Yên")</f>
        <v>BC Thị Trấn Phú Thứ-Tây Hoà-Phú Yên</v>
      </c>
      <c r="D52" s="162">
        <f>IFERROR(__xludf.DUMMYFUNCTION("""COMPUTED_VALUE"""),156.0)</f>
        <v>156</v>
      </c>
      <c r="E52" s="163">
        <f>IFERROR(__xludf.DUMMYFUNCTION("""COMPUTED_VALUE"""),1.0)</f>
        <v>1</v>
      </c>
      <c r="F52" s="163">
        <f>IFERROR(__xludf.DUMMYFUNCTION("""COMPUTED_VALUE"""),0.9102564102564102)</f>
        <v>0.9102564103</v>
      </c>
      <c r="G52" s="162">
        <f>IFERROR(__xludf.DUMMYFUNCTION("""COMPUTED_VALUE"""),15.0)</f>
        <v>15</v>
      </c>
      <c r="H52" s="163">
        <f>IFERROR(__xludf.DUMMYFUNCTION("""COMPUTED_VALUE"""),0.5333333333333333)</f>
        <v>0.5333333333</v>
      </c>
      <c r="I52" s="163">
        <f>IFERROR(__xludf.DUMMYFUNCTION("""COMPUTED_VALUE"""),0.26666666666666666)</f>
        <v>0.2666666667</v>
      </c>
      <c r="J52" s="162">
        <f>IFERROR(__xludf.DUMMYFUNCTION("""COMPUTED_VALUE"""),31.0)</f>
        <v>31</v>
      </c>
      <c r="K52" s="163">
        <f>IFERROR(__xludf.DUMMYFUNCTION("""COMPUTED_VALUE"""),1.0)</f>
        <v>1</v>
      </c>
      <c r="L52" s="163">
        <f>IFERROR(__xludf.DUMMYFUNCTION("""COMPUTED_VALUE"""),0.5806451612903226)</f>
        <v>0.5806451613</v>
      </c>
      <c r="M52" s="162">
        <f>IFERROR(__xludf.DUMMYFUNCTION("""COMPUTED_VALUE"""),202.0)</f>
        <v>202</v>
      </c>
      <c r="N52" s="163">
        <f>IFERROR(__xludf.DUMMYFUNCTION("""COMPUTED_VALUE"""),0.9653465346534653)</f>
        <v>0.9653465347</v>
      </c>
      <c r="O52" s="163">
        <f>IFERROR(__xludf.DUMMYFUNCTION("""COMPUTED_VALUE"""),0.8118811881188119)</f>
        <v>0.8118811881</v>
      </c>
      <c r="P52" s="164">
        <f>IFERROR(__xludf.DUMMYFUNCTION("""COMPUTED_VALUE"""),8.414634146341463)</f>
        <v>8.414634146</v>
      </c>
      <c r="R52" s="50"/>
    </row>
    <row r="53">
      <c r="A53" s="160" t="str">
        <f>IFERROR(__xludf.DUMMYFUNCTION("""COMPUTED_VALUE"""),"51")</f>
        <v>51</v>
      </c>
      <c r="B53" s="161" t="str">
        <f>IFERROR(__xludf.DUMMYFUNCTION("""COMPUTED_VALUE"""),"Huỳnh Thị Mới ")</f>
        <v>Huỳnh Thị Mới </v>
      </c>
      <c r="C53" s="161" t="str">
        <f>IFERROR(__xludf.DUMMYFUNCTION("""COMPUTED_VALUE"""),"BC 274 Hùng Vương-Tuy Hòa-Phú Yên")</f>
        <v>BC 274 Hùng Vương-Tuy Hòa-Phú Yên</v>
      </c>
      <c r="D53" s="162">
        <f>IFERROR(__xludf.DUMMYFUNCTION("""COMPUTED_VALUE"""),189.0)</f>
        <v>189</v>
      </c>
      <c r="E53" s="163">
        <f>IFERROR(__xludf.DUMMYFUNCTION("""COMPUTED_VALUE"""),1.0)</f>
        <v>1</v>
      </c>
      <c r="F53" s="163">
        <f>IFERROR(__xludf.DUMMYFUNCTION("""COMPUTED_VALUE"""),0.8783068783068783)</f>
        <v>0.8783068783</v>
      </c>
      <c r="G53" s="162">
        <f>IFERROR(__xludf.DUMMYFUNCTION("""COMPUTED_VALUE"""),22.0)</f>
        <v>22</v>
      </c>
      <c r="H53" s="163">
        <f>IFERROR(__xludf.DUMMYFUNCTION("""COMPUTED_VALUE"""),1.0)</f>
        <v>1</v>
      </c>
      <c r="I53" s="163">
        <f>IFERROR(__xludf.DUMMYFUNCTION("""COMPUTED_VALUE"""),0.8636363636363636)</f>
        <v>0.8636363636</v>
      </c>
      <c r="J53" s="162">
        <f>IFERROR(__xludf.DUMMYFUNCTION("""COMPUTED_VALUE"""),26.0)</f>
        <v>26</v>
      </c>
      <c r="K53" s="163">
        <f>IFERROR(__xludf.DUMMYFUNCTION("""COMPUTED_VALUE"""),1.0)</f>
        <v>1</v>
      </c>
      <c r="L53" s="163">
        <f>IFERROR(__xludf.DUMMYFUNCTION("""COMPUTED_VALUE"""),0.46153846153846156)</f>
        <v>0.4615384615</v>
      </c>
      <c r="M53" s="162">
        <f>IFERROR(__xludf.DUMMYFUNCTION("""COMPUTED_VALUE"""),237.0)</f>
        <v>237</v>
      </c>
      <c r="N53" s="163">
        <f>IFERROR(__xludf.DUMMYFUNCTION("""COMPUTED_VALUE"""),1.0)</f>
        <v>1</v>
      </c>
      <c r="O53" s="163">
        <f>IFERROR(__xludf.DUMMYFUNCTION("""COMPUTED_VALUE"""),0.8312236286919831)</f>
        <v>0.8312236287</v>
      </c>
      <c r="P53" s="164">
        <f>IFERROR(__xludf.DUMMYFUNCTION("""COMPUTED_VALUE"""),7.644670050761421)</f>
        <v>7.644670051</v>
      </c>
      <c r="R53" s="50"/>
    </row>
    <row r="54">
      <c r="A54" s="160" t="str">
        <f>IFERROR(__xludf.DUMMYFUNCTION("""COMPUTED_VALUE"""),"52")</f>
        <v>52</v>
      </c>
      <c r="B54" s="161" t="str">
        <f>IFERROR(__xludf.DUMMYFUNCTION("""COMPUTED_VALUE"""),"Phan Thị Mỹ Chi")</f>
        <v>Phan Thị Mỹ Chi</v>
      </c>
      <c r="C54" s="161" t="str">
        <f>IFERROR(__xludf.DUMMYFUNCTION("""COMPUTED_VALUE"""),"BC 569 Trường Chinh-Pleiku-Gia Lai")</f>
        <v>BC 569 Trường Chinh-Pleiku-Gia Lai</v>
      </c>
      <c r="D54" s="162">
        <f>IFERROR(__xludf.DUMMYFUNCTION("""COMPUTED_VALUE"""),190.0)</f>
        <v>190</v>
      </c>
      <c r="E54" s="163">
        <f>IFERROR(__xludf.DUMMYFUNCTION("""COMPUTED_VALUE"""),1.0)</f>
        <v>1</v>
      </c>
      <c r="F54" s="163">
        <f>IFERROR(__xludf.DUMMYFUNCTION("""COMPUTED_VALUE"""),0.9105263157894737)</f>
        <v>0.9105263158</v>
      </c>
      <c r="G54" s="162">
        <f>IFERROR(__xludf.DUMMYFUNCTION("""COMPUTED_VALUE"""),18.0)</f>
        <v>18</v>
      </c>
      <c r="H54" s="163">
        <f>IFERROR(__xludf.DUMMYFUNCTION("""COMPUTED_VALUE"""),0.9444444444444444)</f>
        <v>0.9444444444</v>
      </c>
      <c r="I54" s="163">
        <f>IFERROR(__xludf.DUMMYFUNCTION("""COMPUTED_VALUE"""),0.8888888888888888)</f>
        <v>0.8888888889</v>
      </c>
      <c r="J54" s="162">
        <f>IFERROR(__xludf.DUMMYFUNCTION("""COMPUTED_VALUE"""),25.0)</f>
        <v>25</v>
      </c>
      <c r="K54" s="163">
        <f>IFERROR(__xludf.DUMMYFUNCTION("""COMPUTED_VALUE"""),0.96)</f>
        <v>0.96</v>
      </c>
      <c r="L54" s="163">
        <f>IFERROR(__xludf.DUMMYFUNCTION("""COMPUTED_VALUE"""),0.28)</f>
        <v>0.28</v>
      </c>
      <c r="M54" s="162">
        <f>IFERROR(__xludf.DUMMYFUNCTION("""COMPUTED_VALUE"""),233.0)</f>
        <v>233</v>
      </c>
      <c r="N54" s="163">
        <f>IFERROR(__xludf.DUMMYFUNCTION("""COMPUTED_VALUE"""),0.9914163090128756)</f>
        <v>0.991416309</v>
      </c>
      <c r="O54" s="163">
        <f>IFERROR(__xludf.DUMMYFUNCTION("""COMPUTED_VALUE"""),0.8412017167381974)</f>
        <v>0.8412017167</v>
      </c>
      <c r="P54" s="164">
        <f>IFERROR(__xludf.DUMMYFUNCTION("""COMPUTED_VALUE"""),8.040816326530612)</f>
        <v>8.040816327</v>
      </c>
      <c r="R54" s="50"/>
    </row>
    <row r="55">
      <c r="A55" s="160" t="str">
        <f>IFERROR(__xludf.DUMMYFUNCTION("""COMPUTED_VALUE"""),"53")</f>
        <v>53</v>
      </c>
      <c r="B55" s="161" t="str">
        <f>IFERROR(__xludf.DUMMYFUNCTION("""COMPUTED_VALUE"""),"Lê Trọng Khiêm")</f>
        <v>Lê Trọng Khiêm</v>
      </c>
      <c r="C55" s="161" t="str">
        <f>IFERROR(__xludf.DUMMYFUNCTION("""COMPUTED_VALUE"""),"BC DT644-Sông Cầu-Phú Yên")</f>
        <v>BC DT644-Sông Cầu-Phú Yên</v>
      </c>
      <c r="D55" s="162">
        <f>IFERROR(__xludf.DUMMYFUNCTION("""COMPUTED_VALUE"""),235.0)</f>
        <v>235</v>
      </c>
      <c r="E55" s="163">
        <f>IFERROR(__xludf.DUMMYFUNCTION("""COMPUTED_VALUE"""),1.0)</f>
        <v>1</v>
      </c>
      <c r="F55" s="163">
        <f>IFERROR(__xludf.DUMMYFUNCTION("""COMPUTED_VALUE"""),0.9063829787234042)</f>
        <v>0.9063829787</v>
      </c>
      <c r="G55" s="162"/>
      <c r="H55" s="160"/>
      <c r="I55" s="160"/>
      <c r="J55" s="162">
        <f>IFERROR(__xludf.DUMMYFUNCTION("""COMPUTED_VALUE"""),24.0)</f>
        <v>24</v>
      </c>
      <c r="K55" s="163">
        <f>IFERROR(__xludf.DUMMYFUNCTION("""COMPUTED_VALUE"""),0.9583333333333334)</f>
        <v>0.9583333333</v>
      </c>
      <c r="L55" s="163">
        <f>IFERROR(__xludf.DUMMYFUNCTION("""COMPUTED_VALUE"""),0.20833333333333334)</f>
        <v>0.2083333333</v>
      </c>
      <c r="M55" s="162">
        <f>IFERROR(__xludf.DUMMYFUNCTION("""COMPUTED_VALUE"""),259.0)</f>
        <v>259</v>
      </c>
      <c r="N55" s="163">
        <f>IFERROR(__xludf.DUMMYFUNCTION("""COMPUTED_VALUE"""),0.9961389961389961)</f>
        <v>0.9961389961</v>
      </c>
      <c r="O55" s="163">
        <f>IFERROR(__xludf.DUMMYFUNCTION("""COMPUTED_VALUE"""),0.8416988416988417)</f>
        <v>0.8416988417</v>
      </c>
      <c r="P55" s="164">
        <f>IFERROR(__xludf.DUMMYFUNCTION("""COMPUTED_VALUE"""),9.977064220183486)</f>
        <v>9.97706422</v>
      </c>
      <c r="R55" s="50"/>
    </row>
    <row r="56">
      <c r="A56" s="160" t="str">
        <f>IFERROR(__xludf.DUMMYFUNCTION("""COMPUTED_VALUE"""),"54")</f>
        <v>54</v>
      </c>
      <c r="B56" s="161" t="str">
        <f>IFERROR(__xludf.DUMMYFUNCTION("""COMPUTED_VALUE"""),"Trần Nhật Thương")</f>
        <v>Trần Nhật Thương</v>
      </c>
      <c r="C56" s="161" t="str">
        <f>IFERROR(__xludf.DUMMYFUNCTION("""COMPUTED_VALUE"""),"BC 838 Quang Trung-Phường Hoài Nhơn Tây-Bình Định")</f>
        <v>BC 838 Quang Trung-Phường Hoài Nhơn Tây-Bình Định</v>
      </c>
      <c r="D56" s="162">
        <f>IFERROR(__xludf.DUMMYFUNCTION("""COMPUTED_VALUE"""),154.0)</f>
        <v>154</v>
      </c>
      <c r="E56" s="163">
        <f>IFERROR(__xludf.DUMMYFUNCTION("""COMPUTED_VALUE"""),1.0)</f>
        <v>1</v>
      </c>
      <c r="F56" s="163">
        <f>IFERROR(__xludf.DUMMYFUNCTION("""COMPUTED_VALUE"""),0.922077922077922)</f>
        <v>0.9220779221</v>
      </c>
      <c r="G56" s="162">
        <f>IFERROR(__xludf.DUMMYFUNCTION("""COMPUTED_VALUE"""),17.0)</f>
        <v>17</v>
      </c>
      <c r="H56" s="163">
        <f>IFERROR(__xludf.DUMMYFUNCTION("""COMPUTED_VALUE"""),0.8823529411764706)</f>
        <v>0.8823529412</v>
      </c>
      <c r="I56" s="163">
        <f>IFERROR(__xludf.DUMMYFUNCTION("""COMPUTED_VALUE"""),0.6470588235294118)</f>
        <v>0.6470588235</v>
      </c>
      <c r="J56" s="162">
        <f>IFERROR(__xludf.DUMMYFUNCTION("""COMPUTED_VALUE"""),16.0)</f>
        <v>16</v>
      </c>
      <c r="K56" s="163">
        <f>IFERROR(__xludf.DUMMYFUNCTION("""COMPUTED_VALUE"""),1.0)</f>
        <v>1</v>
      </c>
      <c r="L56" s="163">
        <f>IFERROR(__xludf.DUMMYFUNCTION("""COMPUTED_VALUE"""),0.375)</f>
        <v>0.375</v>
      </c>
      <c r="M56" s="162">
        <f>IFERROR(__xludf.DUMMYFUNCTION("""COMPUTED_VALUE"""),187.0)</f>
        <v>187</v>
      </c>
      <c r="N56" s="163">
        <f>IFERROR(__xludf.DUMMYFUNCTION("""COMPUTED_VALUE"""),0.9893048128342246)</f>
        <v>0.9893048128</v>
      </c>
      <c r="O56" s="163">
        <f>IFERROR(__xludf.DUMMYFUNCTION("""COMPUTED_VALUE"""),0.8502673796791443)</f>
        <v>0.8502673797</v>
      </c>
      <c r="P56" s="164">
        <f>IFERROR(__xludf.DUMMYFUNCTION("""COMPUTED_VALUE"""),8.79245283018868)</f>
        <v>8.79245283</v>
      </c>
      <c r="R56" s="50"/>
    </row>
    <row r="57">
      <c r="A57" s="160" t="str">
        <f>IFERROR(__xludf.DUMMYFUNCTION("""COMPUTED_VALUE"""),"55")</f>
        <v>55</v>
      </c>
      <c r="B57" s="161" t="str">
        <f>IFERROR(__xludf.DUMMYFUNCTION("""COMPUTED_VALUE"""),"Trần Nhật Thương")</f>
        <v>Trần Nhật Thương</v>
      </c>
      <c r="C57" s="161" t="str">
        <f>IFERROR(__xludf.DUMMYFUNCTION("""COMPUTED_VALUE"""),"Điểm xử lý hàng Thôn Xuân Phong Nam-An Lão-Bình Định")</f>
        <v>Điểm xử lý hàng Thôn Xuân Phong Nam-An Lão-Bình Định</v>
      </c>
      <c r="D57" s="162">
        <f>IFERROR(__xludf.DUMMYFUNCTION("""COMPUTED_VALUE"""),67.0)</f>
        <v>67</v>
      </c>
      <c r="E57" s="163">
        <f>IFERROR(__xludf.DUMMYFUNCTION("""COMPUTED_VALUE"""),1.0)</f>
        <v>1</v>
      </c>
      <c r="F57" s="163">
        <f>IFERROR(__xludf.DUMMYFUNCTION("""COMPUTED_VALUE"""),0.8955223880597015)</f>
        <v>0.8955223881</v>
      </c>
      <c r="G57" s="162"/>
      <c r="H57" s="160"/>
      <c r="I57" s="160"/>
      <c r="J57" s="162">
        <f>IFERROR(__xludf.DUMMYFUNCTION("""COMPUTED_VALUE"""),4.0)</f>
        <v>4</v>
      </c>
      <c r="K57" s="163">
        <f>IFERROR(__xludf.DUMMYFUNCTION("""COMPUTED_VALUE"""),1.0)</f>
        <v>1</v>
      </c>
      <c r="L57" s="163">
        <f>IFERROR(__xludf.DUMMYFUNCTION("""COMPUTED_VALUE"""),0.25)</f>
        <v>0.25</v>
      </c>
      <c r="M57" s="162">
        <f>IFERROR(__xludf.DUMMYFUNCTION("""COMPUTED_VALUE"""),71.0)</f>
        <v>71</v>
      </c>
      <c r="N57" s="163">
        <f>IFERROR(__xludf.DUMMYFUNCTION("""COMPUTED_VALUE"""),1.0)</f>
        <v>1</v>
      </c>
      <c r="O57" s="163">
        <f>IFERROR(__xludf.DUMMYFUNCTION("""COMPUTED_VALUE"""),0.8591549295774648)</f>
        <v>0.8591549296</v>
      </c>
      <c r="P57" s="164">
        <f>IFERROR(__xludf.DUMMYFUNCTION("""COMPUTED_VALUE"""),6.0)</f>
        <v>6</v>
      </c>
      <c r="R57" s="50"/>
    </row>
    <row r="58">
      <c r="A58" s="155" t="str">
        <f>IFERROR(__xludf.DUMMYFUNCTION("""COMPUTED_VALUE"""),"56")</f>
        <v>56</v>
      </c>
      <c r="B58" s="156" t="str">
        <f>IFERROR(__xludf.DUMMYFUNCTION("""COMPUTED_VALUE"""),"Phan Thanh Thức")</f>
        <v>Phan Thanh Thức</v>
      </c>
      <c r="C58" s="156" t="str">
        <f>IFERROR(__xludf.DUMMYFUNCTION("""COMPUTED_VALUE"""),"BC 396 Âu Cơ-Bùi Thị Xuân-Quy Nhơn-Bình Định")</f>
        <v>BC 396 Âu Cơ-Bùi Thị Xuân-Quy Nhơn-Bình Định</v>
      </c>
      <c r="D58" s="157">
        <f>IFERROR(__xludf.DUMMYFUNCTION("""COMPUTED_VALUE"""),117.0)</f>
        <v>117</v>
      </c>
      <c r="E58" s="158">
        <f>IFERROR(__xludf.DUMMYFUNCTION("""COMPUTED_VALUE"""),1.0)</f>
        <v>1</v>
      </c>
      <c r="F58" s="158">
        <f>IFERROR(__xludf.DUMMYFUNCTION("""COMPUTED_VALUE"""),0.8974358974358975)</f>
        <v>0.8974358974</v>
      </c>
      <c r="G58" s="157">
        <f>IFERROR(__xludf.DUMMYFUNCTION("""COMPUTED_VALUE"""),9.0)</f>
        <v>9</v>
      </c>
      <c r="H58" s="158">
        <f>IFERROR(__xludf.DUMMYFUNCTION("""COMPUTED_VALUE"""),1.0)</f>
        <v>1</v>
      </c>
      <c r="I58" s="158">
        <f>IFERROR(__xludf.DUMMYFUNCTION("""COMPUTED_VALUE"""),0.8888888888888888)</f>
        <v>0.8888888889</v>
      </c>
      <c r="J58" s="157">
        <f>IFERROR(__xludf.DUMMYFUNCTION("""COMPUTED_VALUE"""),10.0)</f>
        <v>10</v>
      </c>
      <c r="K58" s="158">
        <f>IFERROR(__xludf.DUMMYFUNCTION("""COMPUTED_VALUE"""),1.0)</f>
        <v>1</v>
      </c>
      <c r="L58" s="158">
        <f>IFERROR(__xludf.DUMMYFUNCTION("""COMPUTED_VALUE"""),0.4)</f>
        <v>0.4</v>
      </c>
      <c r="M58" s="157">
        <f>IFERROR(__xludf.DUMMYFUNCTION("""COMPUTED_VALUE"""),136.0)</f>
        <v>136</v>
      </c>
      <c r="N58" s="158">
        <f>IFERROR(__xludf.DUMMYFUNCTION("""COMPUTED_VALUE"""),1.0)</f>
        <v>1</v>
      </c>
      <c r="O58" s="158">
        <f>IFERROR(__xludf.DUMMYFUNCTION("""COMPUTED_VALUE"""),0.8602941176470589)</f>
        <v>0.8602941176</v>
      </c>
      <c r="P58" s="159">
        <f>IFERROR(__xludf.DUMMYFUNCTION("""COMPUTED_VALUE"""),8.837606837606838)</f>
        <v>8.837606838</v>
      </c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</row>
    <row r="59">
      <c r="A59" s="155" t="str">
        <f>IFERROR(__xludf.DUMMYFUNCTION("""COMPUTED_VALUE"""),"57")</f>
        <v>57</v>
      </c>
      <c r="B59" s="165" t="str">
        <f>IFERROR(__xludf.DUMMYFUNCTION("""COMPUTED_VALUE"""),"Trần Nhật Thương")</f>
        <v>Trần Nhật Thương</v>
      </c>
      <c r="C59" s="194" t="str">
        <f>IFERROR(__xludf.DUMMYFUNCTION("""COMPUTED_VALUE"""),"BC Số 35 Phạm Văn Đồng-Tăng Bạt Hổ-Hoài Ân-Bình Định")</f>
        <v>BC Số 35 Phạm Văn Đồng-Tăng Bạt Hổ-Hoài Ân-Bình Định</v>
      </c>
      <c r="D59" s="195">
        <f>IFERROR(__xludf.DUMMYFUNCTION("""COMPUTED_VALUE"""),62.0)</f>
        <v>62</v>
      </c>
      <c r="E59" s="196">
        <f>IFERROR(__xludf.DUMMYFUNCTION("""COMPUTED_VALUE"""),1.0)</f>
        <v>1</v>
      </c>
      <c r="F59" s="196">
        <f>IFERROR(__xludf.DUMMYFUNCTION("""COMPUTED_VALUE"""),0.9354838709677419)</f>
        <v>0.935483871</v>
      </c>
      <c r="G59" s="195"/>
      <c r="H59" s="193"/>
      <c r="I59" s="193"/>
      <c r="J59" s="195">
        <f>IFERROR(__xludf.DUMMYFUNCTION("""COMPUTED_VALUE"""),10.0)</f>
        <v>10</v>
      </c>
      <c r="K59" s="196">
        <f>IFERROR(__xludf.DUMMYFUNCTION("""COMPUTED_VALUE"""),1.0)</f>
        <v>1</v>
      </c>
      <c r="L59" s="196">
        <f>IFERROR(__xludf.DUMMYFUNCTION("""COMPUTED_VALUE"""),0.4)</f>
        <v>0.4</v>
      </c>
      <c r="M59" s="195">
        <f>IFERROR(__xludf.DUMMYFUNCTION("""COMPUTED_VALUE"""),72.0)</f>
        <v>72</v>
      </c>
      <c r="N59" s="196">
        <f>IFERROR(__xludf.DUMMYFUNCTION("""COMPUTED_VALUE"""),1.0)</f>
        <v>1</v>
      </c>
      <c r="O59" s="196">
        <f>IFERROR(__xludf.DUMMYFUNCTION("""COMPUTED_VALUE"""),0.8611111111111112)</f>
        <v>0.8611111111</v>
      </c>
      <c r="P59" s="211">
        <f>IFERROR(__xludf.DUMMYFUNCTION("""COMPUTED_VALUE"""),13.596774193548388)</f>
        <v>13.59677419</v>
      </c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</row>
    <row r="60">
      <c r="A60" s="155" t="str">
        <f>IFERROR(__xludf.DUMMYFUNCTION("""COMPUTED_VALUE"""),"58")</f>
        <v>58</v>
      </c>
      <c r="B60" s="165" t="str">
        <f>IFERROR(__xludf.DUMMYFUNCTION("""COMPUTED_VALUE"""),"Võ Thanh Diệu ")</f>
        <v>Võ Thanh Diệu </v>
      </c>
      <c r="C60" s="194" t="str">
        <f>IFERROR(__xludf.DUMMYFUNCTION("""COMPUTED_VALUE"""),"BC 269 Tây Sơn-Quy Nhơn-Bình Định")</f>
        <v>BC 269 Tây Sơn-Quy Nhơn-Bình Định</v>
      </c>
      <c r="D60" s="195">
        <f>IFERROR(__xludf.DUMMYFUNCTION("""COMPUTED_VALUE"""),259.0)</f>
        <v>259</v>
      </c>
      <c r="E60" s="196">
        <f>IFERROR(__xludf.DUMMYFUNCTION("""COMPUTED_VALUE"""),1.0)</f>
        <v>1</v>
      </c>
      <c r="F60" s="196">
        <f>IFERROR(__xludf.DUMMYFUNCTION("""COMPUTED_VALUE"""),0.918918918918919)</f>
        <v>0.9189189189</v>
      </c>
      <c r="G60" s="195">
        <f>IFERROR(__xludf.DUMMYFUNCTION("""COMPUTED_VALUE"""),15.0)</f>
        <v>15</v>
      </c>
      <c r="H60" s="196">
        <f>IFERROR(__xludf.DUMMYFUNCTION("""COMPUTED_VALUE"""),0.8)</f>
        <v>0.8</v>
      </c>
      <c r="I60" s="196">
        <f>IFERROR(__xludf.DUMMYFUNCTION("""COMPUTED_VALUE"""),0.7333333333333333)</f>
        <v>0.7333333333</v>
      </c>
      <c r="J60" s="195">
        <f>IFERROR(__xludf.DUMMYFUNCTION("""COMPUTED_VALUE"""),16.0)</f>
        <v>16</v>
      </c>
      <c r="K60" s="196">
        <f>IFERROR(__xludf.DUMMYFUNCTION("""COMPUTED_VALUE"""),1.0)</f>
        <v>1</v>
      </c>
      <c r="L60" s="196">
        <f>IFERROR(__xludf.DUMMYFUNCTION("""COMPUTED_VALUE"""),0.25)</f>
        <v>0.25</v>
      </c>
      <c r="M60" s="195">
        <f>IFERROR(__xludf.DUMMYFUNCTION("""COMPUTED_VALUE"""),290.0)</f>
        <v>290</v>
      </c>
      <c r="N60" s="196">
        <f>IFERROR(__xludf.DUMMYFUNCTION("""COMPUTED_VALUE"""),0.9896551724137931)</f>
        <v>0.9896551724</v>
      </c>
      <c r="O60" s="196">
        <f>IFERROR(__xludf.DUMMYFUNCTION("""COMPUTED_VALUE"""),0.8724137931034482)</f>
        <v>0.8724137931</v>
      </c>
      <c r="P60" s="211">
        <f>IFERROR(__xludf.DUMMYFUNCTION("""COMPUTED_VALUE"""),7.992094861660079)</f>
        <v>7.992094862</v>
      </c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</row>
    <row r="61">
      <c r="A61" s="193" t="str">
        <f>IFERROR(__xludf.DUMMYFUNCTION("""COMPUTED_VALUE"""),"59")</f>
        <v>59</v>
      </c>
      <c r="B61" s="194" t="str">
        <f>IFERROR(__xludf.DUMMYFUNCTION("""COMPUTED_VALUE"""),"Võ Thanh Diệu ")</f>
        <v>Võ Thanh Diệu </v>
      </c>
      <c r="C61" s="194" t="str">
        <f>IFERROR(__xludf.DUMMYFUNCTION("""COMPUTED_VALUE"""),"BC Thôn Chánh Hóa-Xã Cát Tiến-Bình Định")</f>
        <v>BC Thôn Chánh Hóa-Xã Cát Tiến-Bình Định</v>
      </c>
      <c r="D61" s="195">
        <f>IFERROR(__xludf.DUMMYFUNCTION("""COMPUTED_VALUE"""),109.0)</f>
        <v>109</v>
      </c>
      <c r="E61" s="196">
        <f>IFERROR(__xludf.DUMMYFUNCTION("""COMPUTED_VALUE"""),1.0)</f>
        <v>1</v>
      </c>
      <c r="F61" s="196">
        <f>IFERROR(__xludf.DUMMYFUNCTION("""COMPUTED_VALUE"""),0.8990825688073395)</f>
        <v>0.8990825688</v>
      </c>
      <c r="G61" s="195"/>
      <c r="H61" s="193"/>
      <c r="I61" s="193"/>
      <c r="J61" s="195">
        <f>IFERROR(__xludf.DUMMYFUNCTION("""COMPUTED_VALUE"""),9.0)</f>
        <v>9</v>
      </c>
      <c r="K61" s="196">
        <f>IFERROR(__xludf.DUMMYFUNCTION("""COMPUTED_VALUE"""),1.0)</f>
        <v>1</v>
      </c>
      <c r="L61" s="196">
        <f>IFERROR(__xludf.DUMMYFUNCTION("""COMPUTED_VALUE"""),0.5555555555555556)</f>
        <v>0.5555555556</v>
      </c>
      <c r="M61" s="195">
        <f>IFERROR(__xludf.DUMMYFUNCTION("""COMPUTED_VALUE"""),118.0)</f>
        <v>118</v>
      </c>
      <c r="N61" s="196">
        <f>IFERROR(__xludf.DUMMYFUNCTION("""COMPUTED_VALUE"""),1.0)</f>
        <v>1</v>
      </c>
      <c r="O61" s="196">
        <f>IFERROR(__xludf.DUMMYFUNCTION("""COMPUTED_VALUE"""),0.8728813559322034)</f>
        <v>0.8728813559</v>
      </c>
      <c r="P61" s="211">
        <f>IFERROR(__xludf.DUMMYFUNCTION("""COMPUTED_VALUE"""),8.941747572815533)</f>
        <v>8.941747573</v>
      </c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</row>
    <row r="62">
      <c r="A62" s="193" t="str">
        <f>IFERROR(__xludf.DUMMYFUNCTION("""COMPUTED_VALUE"""),"60")</f>
        <v>60</v>
      </c>
      <c r="B62" s="194" t="str">
        <f>IFERROR(__xludf.DUMMYFUNCTION("""COMPUTED_VALUE"""),"Nguyễn Đình Trung")</f>
        <v>Nguyễn Đình Trung</v>
      </c>
      <c r="C62" s="194" t="str">
        <f>IFERROR(__xludf.DUMMYFUNCTION("""COMPUTED_VALUE"""),"BC 127B Lê Văn Tám-Thị Trấn Kbang-Huyện Kbang-Gia Lai")</f>
        <v>BC 127B Lê Văn Tám-Thị Trấn Kbang-Huyện Kbang-Gia Lai</v>
      </c>
      <c r="D62" s="195">
        <f>IFERROR(__xludf.DUMMYFUNCTION("""COMPUTED_VALUE"""),56.0)</f>
        <v>56</v>
      </c>
      <c r="E62" s="196">
        <f>IFERROR(__xludf.DUMMYFUNCTION("""COMPUTED_VALUE"""),0.9821428571428571)</f>
        <v>0.9821428571</v>
      </c>
      <c r="F62" s="196">
        <f>IFERROR(__xludf.DUMMYFUNCTION("""COMPUTED_VALUE"""),0.9464285714285714)</f>
        <v>0.9464285714</v>
      </c>
      <c r="G62" s="195"/>
      <c r="H62" s="193"/>
      <c r="I62" s="193"/>
      <c r="J62" s="195">
        <f>IFERROR(__xludf.DUMMYFUNCTION("""COMPUTED_VALUE"""),8.0)</f>
        <v>8</v>
      </c>
      <c r="K62" s="196">
        <f>IFERROR(__xludf.DUMMYFUNCTION("""COMPUTED_VALUE"""),1.0)</f>
        <v>1</v>
      </c>
      <c r="L62" s="196">
        <f>IFERROR(__xludf.DUMMYFUNCTION("""COMPUTED_VALUE"""),0.375)</f>
        <v>0.375</v>
      </c>
      <c r="M62" s="195">
        <f>IFERROR(__xludf.DUMMYFUNCTION("""COMPUTED_VALUE"""),64.0)</f>
        <v>64</v>
      </c>
      <c r="N62" s="196">
        <f>IFERROR(__xludf.DUMMYFUNCTION("""COMPUTED_VALUE"""),0.984375)</f>
        <v>0.984375</v>
      </c>
      <c r="O62" s="196">
        <f>IFERROR(__xludf.DUMMYFUNCTION("""COMPUTED_VALUE"""),0.875)</f>
        <v>0.875</v>
      </c>
      <c r="P62" s="211">
        <f>IFERROR(__xludf.DUMMYFUNCTION("""COMPUTED_VALUE"""),13.571428571428571)</f>
        <v>13.57142857</v>
      </c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</row>
    <row r="63">
      <c r="A63" s="193" t="str">
        <f>IFERROR(__xludf.DUMMYFUNCTION("""COMPUTED_VALUE"""),"61")</f>
        <v>61</v>
      </c>
      <c r="B63" s="194" t="str">
        <f>IFERROR(__xludf.DUMMYFUNCTION("""COMPUTED_VALUE"""),"Lê Trọng Khiêm")</f>
        <v>Lê Trọng Khiêm</v>
      </c>
      <c r="C63" s="194" t="str">
        <f>IFERROR(__xludf.DUMMYFUNCTION("""COMPUTED_VALUE"""),"BC 71 Quốc Lộ 1A-Xã Tuy An Bắc-Phú Yên")</f>
        <v>BC 71 Quốc Lộ 1A-Xã Tuy An Bắc-Phú Yên</v>
      </c>
      <c r="D63" s="195">
        <f>IFERROR(__xludf.DUMMYFUNCTION("""COMPUTED_VALUE"""),70.0)</f>
        <v>70</v>
      </c>
      <c r="E63" s="196">
        <f>IFERROR(__xludf.DUMMYFUNCTION("""COMPUTED_VALUE"""),1.0)</f>
        <v>1</v>
      </c>
      <c r="F63" s="196">
        <f>IFERROR(__xludf.DUMMYFUNCTION("""COMPUTED_VALUE"""),1.0)</f>
        <v>1</v>
      </c>
      <c r="G63" s="195"/>
      <c r="H63" s="193"/>
      <c r="I63" s="193"/>
      <c r="J63" s="195">
        <f>IFERROR(__xludf.DUMMYFUNCTION("""COMPUTED_VALUE"""),10.0)</f>
        <v>10</v>
      </c>
      <c r="K63" s="196">
        <f>IFERROR(__xludf.DUMMYFUNCTION("""COMPUTED_VALUE"""),1.0)</f>
        <v>1</v>
      </c>
      <c r="L63" s="196">
        <f>IFERROR(__xludf.DUMMYFUNCTION("""COMPUTED_VALUE"""),0.1)</f>
        <v>0.1</v>
      </c>
      <c r="M63" s="195">
        <f>IFERROR(__xludf.DUMMYFUNCTION("""COMPUTED_VALUE"""),80.0)</f>
        <v>80</v>
      </c>
      <c r="N63" s="196">
        <f>IFERROR(__xludf.DUMMYFUNCTION("""COMPUTED_VALUE"""),1.0)</f>
        <v>1</v>
      </c>
      <c r="O63" s="196">
        <f>IFERROR(__xludf.DUMMYFUNCTION("""COMPUTED_VALUE"""),0.8875)</f>
        <v>0.8875</v>
      </c>
      <c r="P63" s="211">
        <f>IFERROR(__xludf.DUMMYFUNCTION("""COMPUTED_VALUE"""),12.295774647887324)</f>
        <v>12.29577465</v>
      </c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</row>
    <row r="64">
      <c r="A64" s="193" t="str">
        <f>IFERROR(__xludf.DUMMYFUNCTION("""COMPUTED_VALUE"""),"62")</f>
        <v>62</v>
      </c>
      <c r="B64" s="194" t="str">
        <f>IFERROR(__xludf.DUMMYFUNCTION("""COMPUTED_VALUE"""),"Lê Trọng Khiêm")</f>
        <v>Lê Trọng Khiêm</v>
      </c>
      <c r="C64" s="194" t="str">
        <f>IFERROR(__xludf.DUMMYFUNCTION("""COMPUTED_VALUE"""),"BC Đường Tỉnh 643-Xã Tuy An Nam-Phú Yên")</f>
        <v>BC Đường Tỉnh 643-Xã Tuy An Nam-Phú Yên</v>
      </c>
      <c r="D64" s="195">
        <f>IFERROR(__xludf.DUMMYFUNCTION("""COMPUTED_VALUE"""),55.0)</f>
        <v>55</v>
      </c>
      <c r="E64" s="196">
        <f>IFERROR(__xludf.DUMMYFUNCTION("""COMPUTED_VALUE"""),1.0)</f>
        <v>1</v>
      </c>
      <c r="F64" s="196">
        <f>IFERROR(__xludf.DUMMYFUNCTION("""COMPUTED_VALUE"""),0.9272727272727272)</f>
        <v>0.9272727273</v>
      </c>
      <c r="G64" s="195"/>
      <c r="H64" s="193"/>
      <c r="I64" s="193"/>
      <c r="J64" s="195">
        <f>IFERROR(__xludf.DUMMYFUNCTION("""COMPUTED_VALUE"""),3.0)</f>
        <v>3</v>
      </c>
      <c r="K64" s="196">
        <f>IFERROR(__xludf.DUMMYFUNCTION("""COMPUTED_VALUE"""),0.6666666666666666)</f>
        <v>0.6666666667</v>
      </c>
      <c r="L64" s="196">
        <f>IFERROR(__xludf.DUMMYFUNCTION("""COMPUTED_VALUE"""),0.3333333333333333)</f>
        <v>0.3333333333</v>
      </c>
      <c r="M64" s="195">
        <f>IFERROR(__xludf.DUMMYFUNCTION("""COMPUTED_VALUE"""),58.0)</f>
        <v>58</v>
      </c>
      <c r="N64" s="196">
        <f>IFERROR(__xludf.DUMMYFUNCTION("""COMPUTED_VALUE"""),0.9827586206896551)</f>
        <v>0.9827586207</v>
      </c>
      <c r="O64" s="196">
        <f>IFERROR(__xludf.DUMMYFUNCTION("""COMPUTED_VALUE"""),0.896551724137931)</f>
        <v>0.8965517241</v>
      </c>
      <c r="P64" s="211">
        <f>IFERROR(__xludf.DUMMYFUNCTION("""COMPUTED_VALUE"""),8.288461538461538)</f>
        <v>8.288461538</v>
      </c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</row>
    <row r="65">
      <c r="A65" s="193" t="str">
        <f>IFERROR(__xludf.DUMMYFUNCTION("""COMPUTED_VALUE"""),"63")</f>
        <v>63</v>
      </c>
      <c r="B65" s="194" t="str">
        <f>IFERROR(__xludf.DUMMYFUNCTION("""COMPUTED_VALUE"""),"Phan Thanh Thức")</f>
        <v>Phan Thanh Thức</v>
      </c>
      <c r="C65" s="194" t="str">
        <f>IFERROR(__xludf.DUMMYFUNCTION("""COMPUTED_VALUE"""),"BC 767 Hùng Vương-Quy Nhơn-Bình Định")</f>
        <v>BC 767 Hùng Vương-Quy Nhơn-Bình Định</v>
      </c>
      <c r="D65" s="195">
        <f>IFERROR(__xludf.DUMMYFUNCTION("""COMPUTED_VALUE"""),138.0)</f>
        <v>138</v>
      </c>
      <c r="E65" s="196">
        <f>IFERROR(__xludf.DUMMYFUNCTION("""COMPUTED_VALUE"""),0.9927536231884058)</f>
        <v>0.9927536232</v>
      </c>
      <c r="F65" s="196">
        <f>IFERROR(__xludf.DUMMYFUNCTION("""COMPUTED_VALUE"""),0.927536231884058)</f>
        <v>0.9275362319</v>
      </c>
      <c r="G65" s="195">
        <f>IFERROR(__xludf.DUMMYFUNCTION("""COMPUTED_VALUE"""),13.0)</f>
        <v>13</v>
      </c>
      <c r="H65" s="196">
        <f>IFERROR(__xludf.DUMMYFUNCTION("""COMPUTED_VALUE"""),1.0)</f>
        <v>1</v>
      </c>
      <c r="I65" s="196">
        <f>IFERROR(__xludf.DUMMYFUNCTION("""COMPUTED_VALUE"""),0.8461538461538461)</f>
        <v>0.8461538462</v>
      </c>
      <c r="J65" s="195">
        <f>IFERROR(__xludf.DUMMYFUNCTION("""COMPUTED_VALUE"""),6.0)</f>
        <v>6</v>
      </c>
      <c r="K65" s="196">
        <f>IFERROR(__xludf.DUMMYFUNCTION("""COMPUTED_VALUE"""),1.0)</f>
        <v>1</v>
      </c>
      <c r="L65" s="196">
        <f>IFERROR(__xludf.DUMMYFUNCTION("""COMPUTED_VALUE"""),0.3333333333333333)</f>
        <v>0.3333333333</v>
      </c>
      <c r="M65" s="195">
        <f>IFERROR(__xludf.DUMMYFUNCTION("""COMPUTED_VALUE"""),157.0)</f>
        <v>157</v>
      </c>
      <c r="N65" s="196">
        <f>IFERROR(__xludf.DUMMYFUNCTION("""COMPUTED_VALUE"""),0.9936305732484076)</f>
        <v>0.9936305732</v>
      </c>
      <c r="O65" s="196">
        <f>IFERROR(__xludf.DUMMYFUNCTION("""COMPUTED_VALUE"""),0.8980891719745223)</f>
        <v>0.898089172</v>
      </c>
      <c r="P65" s="211">
        <f>IFERROR(__xludf.DUMMYFUNCTION("""COMPUTED_VALUE"""),8.74468085106383)</f>
        <v>8.744680851</v>
      </c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</row>
    <row r="66">
      <c r="A66" s="36" t="str">
        <f>IFERROR(__xludf.DUMMYFUNCTION("""COMPUTED_VALUE"""),"64")</f>
        <v>64</v>
      </c>
      <c r="B66" s="48" t="str">
        <f>IFERROR(__xludf.DUMMYFUNCTION("""COMPUTED_VALUE"""),"Lê Trọng Khiêm")</f>
        <v>Lê Trọng Khiêm</v>
      </c>
      <c r="C66" s="48" t="str">
        <f>IFERROR(__xludf.DUMMYFUNCTION("""COMPUTED_VALUE"""),"BC 27 Nguyễn Tất Thành-Tuy Hòa-Phú Yên")</f>
        <v>BC 27 Nguyễn Tất Thành-Tuy Hòa-Phú Yên</v>
      </c>
      <c r="D66" s="36">
        <f>IFERROR(__xludf.DUMMYFUNCTION("""COMPUTED_VALUE"""),99.0)</f>
        <v>99</v>
      </c>
      <c r="E66" s="34">
        <f>IFERROR(__xludf.DUMMYFUNCTION("""COMPUTED_VALUE"""),1.0)</f>
        <v>1</v>
      </c>
      <c r="F66" s="34">
        <f>IFERROR(__xludf.DUMMYFUNCTION("""COMPUTED_VALUE"""),0.9595959595959596)</f>
        <v>0.9595959596</v>
      </c>
      <c r="G66" s="36">
        <f>IFERROR(__xludf.DUMMYFUNCTION("""COMPUTED_VALUE"""),9.0)</f>
        <v>9</v>
      </c>
      <c r="H66" s="34">
        <f>IFERROR(__xludf.DUMMYFUNCTION("""COMPUTED_VALUE"""),1.0)</f>
        <v>1</v>
      </c>
      <c r="I66" s="34">
        <f>IFERROR(__xludf.DUMMYFUNCTION("""COMPUTED_VALUE"""),1.0)</f>
        <v>1</v>
      </c>
      <c r="J66" s="36">
        <f>IFERROR(__xludf.DUMMYFUNCTION("""COMPUTED_VALUE"""),9.0)</f>
        <v>9</v>
      </c>
      <c r="K66" s="34">
        <f>IFERROR(__xludf.DUMMYFUNCTION("""COMPUTED_VALUE"""),1.0)</f>
        <v>1</v>
      </c>
      <c r="L66" s="34">
        <f>IFERROR(__xludf.DUMMYFUNCTION("""COMPUTED_VALUE"""),0.2222222222222222)</f>
        <v>0.2222222222</v>
      </c>
      <c r="M66" s="36">
        <f>IFERROR(__xludf.DUMMYFUNCTION("""COMPUTED_VALUE"""),117.0)</f>
        <v>117</v>
      </c>
      <c r="N66" s="34">
        <f>IFERROR(__xludf.DUMMYFUNCTION("""COMPUTED_VALUE"""),1.0)</f>
        <v>1</v>
      </c>
      <c r="O66" s="34">
        <f>IFERROR(__xludf.DUMMYFUNCTION("""COMPUTED_VALUE"""),0.905982905982906)</f>
        <v>0.905982906</v>
      </c>
      <c r="P66" s="176">
        <f>IFERROR(__xludf.DUMMYFUNCTION("""COMPUTED_VALUE"""),5.867924528301887)</f>
        <v>5.867924528</v>
      </c>
    </row>
    <row r="67">
      <c r="A67" s="48" t="str">
        <f>IFERROR(__xludf.DUMMYFUNCTION("""COMPUTED_VALUE"""),"65")</f>
        <v>65</v>
      </c>
      <c r="B67" s="48" t="str">
        <f>IFERROR(__xludf.DUMMYFUNCTION("""COMPUTED_VALUE"""),"Trần Nhật Thương")</f>
        <v>Trần Nhật Thương</v>
      </c>
      <c r="C67" s="48" t="str">
        <f>IFERROR(__xludf.DUMMYFUNCTION("""COMPUTED_VALUE"""),"BC Hoài Nhơn-Bình Định")</f>
        <v>BC Hoài Nhơn-Bình Định</v>
      </c>
      <c r="D67" s="130">
        <f>IFERROR(__xludf.DUMMYFUNCTION("""COMPUTED_VALUE"""),141.0)</f>
        <v>141</v>
      </c>
      <c r="E67" s="131">
        <f>IFERROR(__xludf.DUMMYFUNCTION("""COMPUTED_VALUE"""),1.0)</f>
        <v>1</v>
      </c>
      <c r="F67" s="131">
        <f>IFERROR(__xludf.DUMMYFUNCTION("""COMPUTED_VALUE"""),0.950354609929078)</f>
        <v>0.9503546099</v>
      </c>
      <c r="G67" s="130">
        <f>IFERROR(__xludf.DUMMYFUNCTION("""COMPUTED_VALUE"""),13.0)</f>
        <v>13</v>
      </c>
      <c r="H67" s="131">
        <f>IFERROR(__xludf.DUMMYFUNCTION("""COMPUTED_VALUE"""),1.0)</f>
        <v>1</v>
      </c>
      <c r="I67" s="131">
        <f>IFERROR(__xludf.DUMMYFUNCTION("""COMPUTED_VALUE"""),0.7692307692307693)</f>
        <v>0.7692307692</v>
      </c>
      <c r="J67" s="130">
        <f>IFERROR(__xludf.DUMMYFUNCTION("""COMPUTED_VALUE"""),10.0)</f>
        <v>10</v>
      </c>
      <c r="K67" s="131">
        <f>IFERROR(__xludf.DUMMYFUNCTION("""COMPUTED_VALUE"""),1.0)</f>
        <v>1</v>
      </c>
      <c r="L67" s="131">
        <f>IFERROR(__xludf.DUMMYFUNCTION("""COMPUTED_VALUE"""),0.7)</f>
        <v>0.7</v>
      </c>
      <c r="M67" s="130">
        <f>IFERROR(__xludf.DUMMYFUNCTION("""COMPUTED_VALUE"""),164.0)</f>
        <v>164</v>
      </c>
      <c r="N67" s="131">
        <f>IFERROR(__xludf.DUMMYFUNCTION("""COMPUTED_VALUE"""),1.0)</f>
        <v>1</v>
      </c>
      <c r="O67" s="131">
        <f>IFERROR(__xludf.DUMMYFUNCTION("""COMPUTED_VALUE"""),0.9207317073170732)</f>
        <v>0.9207317073</v>
      </c>
      <c r="P67" s="177">
        <f>IFERROR(__xludf.DUMMYFUNCTION("""COMPUTED_VALUE"""),7.973509933774834)</f>
        <v>7.973509934</v>
      </c>
    </row>
    <row r="68">
      <c r="A68" s="178"/>
      <c r="B68" s="178"/>
      <c r="C68" s="178" t="str">
        <f>IFERROR(__xludf.DUMMYFUNCTION("""COMPUTED_VALUE"""),"Grand Total")</f>
        <v>Grand Total</v>
      </c>
      <c r="D68" s="88">
        <f>IFERROR(__xludf.DUMMYFUNCTION("""COMPUTED_VALUE"""),8613.0)</f>
        <v>8613</v>
      </c>
      <c r="E68" s="90">
        <f>IFERROR(__xludf.DUMMYFUNCTION("""COMPUTED_VALUE"""),0.9861836758388483)</f>
        <v>0.9861836758</v>
      </c>
      <c r="F68" s="90">
        <f>IFERROR(__xludf.DUMMYFUNCTION("""COMPUTED_VALUE"""),0.8480204342273308)</f>
        <v>0.8480204342</v>
      </c>
      <c r="G68" s="88">
        <f>IFERROR(__xludf.DUMMYFUNCTION("""COMPUTED_VALUE"""),969.0)</f>
        <v>969</v>
      </c>
      <c r="H68" s="90">
        <f>IFERROR(__xludf.DUMMYFUNCTION("""COMPUTED_VALUE"""),0.7358101135190919)</f>
        <v>0.7358101135</v>
      </c>
      <c r="I68" s="90">
        <f>IFERROR(__xludf.DUMMYFUNCTION("""COMPUTED_VALUE"""),0.5624355005159959)</f>
        <v>0.5624355005</v>
      </c>
      <c r="J68" s="88">
        <f>IFERROR(__xludf.DUMMYFUNCTION("""COMPUTED_VALUE"""),2169.0)</f>
        <v>2169</v>
      </c>
      <c r="K68" s="90">
        <f>IFERROR(__xludf.DUMMYFUNCTION("""COMPUTED_VALUE"""),0.9497464269248501)</f>
        <v>0.9497464269</v>
      </c>
      <c r="L68" s="90">
        <f>IFERROR(__xludf.DUMMYFUNCTION("""COMPUTED_VALUE"""),0.41678192715537116)</f>
        <v>0.4167819272</v>
      </c>
      <c r="M68" s="88">
        <f>IFERROR(__xludf.DUMMYFUNCTION("""COMPUTED_VALUE"""),11751.0)</f>
        <v>11751</v>
      </c>
      <c r="N68" s="90">
        <f>IFERROR(__xludf.DUMMYFUNCTION("""COMPUTED_VALUE"""),0.9588120159986384)</f>
        <v>0.958812016</v>
      </c>
      <c r="O68" s="90">
        <f>IFERROR(__xludf.DUMMYFUNCTION("""COMPUTED_VALUE"""),0.7448727767849544)</f>
        <v>0.7448727768</v>
      </c>
      <c r="P68" s="180">
        <f>IFERROR(__xludf.DUMMYFUNCTION("""COMPUTED_VALUE"""),12.93625042842454)</f>
        <v>12.93625043</v>
      </c>
      <c r="Q68" s="212"/>
      <c r="R68" s="213"/>
      <c r="S68" s="212"/>
      <c r="T68" s="212"/>
      <c r="U68" s="212"/>
      <c r="V68" s="212"/>
      <c r="W68" s="212"/>
      <c r="X68" s="212"/>
      <c r="Y68" s="212"/>
      <c r="Z68" s="212"/>
      <c r="AA68" s="212"/>
      <c r="AB68" s="212"/>
      <c r="AC68" s="212"/>
      <c r="AD68" s="212"/>
    </row>
    <row r="69">
      <c r="A69" s="130"/>
      <c r="D69" s="49"/>
      <c r="G69" s="49"/>
      <c r="J69" s="49"/>
      <c r="R69" s="50"/>
    </row>
    <row r="70">
      <c r="A70" s="130"/>
      <c r="G70" s="49"/>
      <c r="J70" s="49"/>
      <c r="R70" s="50"/>
    </row>
    <row r="71">
      <c r="A71" s="130"/>
      <c r="G71" s="49"/>
      <c r="J71" s="49"/>
      <c r="R71" s="50"/>
    </row>
    <row r="72">
      <c r="A72" s="130"/>
      <c r="G72" s="49"/>
      <c r="J72" s="49"/>
      <c r="R72" s="50"/>
    </row>
    <row r="73">
      <c r="A73" s="130"/>
      <c r="G73" s="49"/>
      <c r="J73" s="49"/>
      <c r="R73" s="50"/>
    </row>
    <row r="74">
      <c r="A74" s="130"/>
      <c r="G74" s="49"/>
      <c r="J74" s="49"/>
      <c r="R74" s="50"/>
    </row>
    <row r="75">
      <c r="A75" s="130"/>
      <c r="G75" s="49"/>
      <c r="J75" s="49"/>
      <c r="R75" s="50"/>
    </row>
    <row r="76">
      <c r="A76" s="130"/>
      <c r="G76" s="49"/>
      <c r="J76" s="49"/>
      <c r="R76" s="50"/>
    </row>
    <row r="77">
      <c r="A77" s="130"/>
      <c r="G77" s="49"/>
      <c r="R77" s="50"/>
    </row>
    <row r="78">
      <c r="A78" s="130"/>
      <c r="G78" s="49"/>
      <c r="R78" s="50"/>
    </row>
    <row r="79">
      <c r="A79" s="130"/>
      <c r="G79" s="49"/>
      <c r="R79" s="50"/>
    </row>
  </sheetData>
  <mergeCells count="8">
    <mergeCell ref="A1:A2"/>
    <mergeCell ref="B1:B2"/>
    <mergeCell ref="C1:C2"/>
    <mergeCell ref="D1:F1"/>
    <mergeCell ref="G1:I1"/>
    <mergeCell ref="J1:L1"/>
    <mergeCell ref="M1:N1"/>
    <mergeCell ref="O1:P1"/>
  </mergeCells>
  <conditionalFormatting sqref="O3:O58 R3:R23 S8:S11">
    <cfRule type="colorScale" priority="1">
      <colorScale>
        <cfvo type="min"/>
        <cfvo type="max"/>
        <color rgb="FFF4CCCC"/>
        <color rgb="FFFFFFFF"/>
      </colorScale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6.88"/>
    <col customWidth="1" min="2" max="2" width="12.13"/>
    <col customWidth="1" min="3" max="3" width="10.5"/>
    <col customWidth="1" min="4" max="4" width="9.75"/>
    <col customWidth="1" min="5" max="7" width="10.88"/>
    <col customWidth="1" min="8" max="8" width="10.5"/>
    <col customWidth="1" min="9" max="11" width="12.38"/>
  </cols>
  <sheetData>
    <row r="1">
      <c r="A1" s="214" t="s">
        <v>33</v>
      </c>
      <c r="B1" s="215" t="s">
        <v>34</v>
      </c>
      <c r="C1" s="74"/>
      <c r="D1" s="74"/>
      <c r="E1" s="74"/>
      <c r="F1" s="74"/>
      <c r="G1" s="74"/>
      <c r="H1" s="75"/>
      <c r="I1" s="216" t="s">
        <v>35</v>
      </c>
      <c r="J1" s="217" t="s">
        <v>36</v>
      </c>
      <c r="K1" s="218"/>
      <c r="L1" s="219"/>
      <c r="M1" s="220"/>
      <c r="N1" s="220"/>
      <c r="O1" s="220"/>
    </row>
    <row r="2">
      <c r="A2" s="221" t="str">
        <f>IFERROR(__xludf.DUMMYFUNCTION("IMPORTRANGE(""https://docs.google.com/spreadsheets/d/1487b2qDJjFxuit1ljyyJ220-vW46d0ImSvFQle7Fw-k/edit?gid=895647938#gid=895647938"",""PV ONT TTS!K3:s21"")"),"AM")</f>
        <v>AM</v>
      </c>
      <c r="B2" s="222" t="str">
        <f>IFERROR(__xludf.DUMMYFUNCTION("""COMPUTED_VALUE"""),"2026-05-13 - Thứ 4")</f>
        <v>2026-05-13 - Thứ 4</v>
      </c>
      <c r="C2" s="222" t="str">
        <f>IFERROR(__xludf.DUMMYFUNCTION("""COMPUTED_VALUE"""),"2026-05-14 - Thứ 5")</f>
        <v>2026-05-14 - Thứ 5</v>
      </c>
      <c r="D2" s="222" t="str">
        <f>IFERROR(__xludf.DUMMYFUNCTION("""COMPUTED_VALUE"""),"2026-05-15 - Thứ 6")</f>
        <v>2026-05-15 - Thứ 6</v>
      </c>
      <c r="E2" s="222" t="str">
        <f>IFERROR(__xludf.DUMMYFUNCTION("""COMPUTED_VALUE"""),"2026-05-16 - Thứ 7")</f>
        <v>2026-05-16 - Thứ 7</v>
      </c>
      <c r="F2" s="222" t="str">
        <f>IFERROR(__xludf.DUMMYFUNCTION("""COMPUTED_VALUE"""),"2026-05-17 - Chủ Nhật")</f>
        <v>2026-05-17 - Chủ Nhật</v>
      </c>
      <c r="G2" s="222" t="str">
        <f>IFERROR(__xludf.DUMMYFUNCTION("""COMPUTED_VALUE"""),"2026-05-18 - Thứ 2")</f>
        <v>2026-05-18 - Thứ 2</v>
      </c>
      <c r="H2" s="222" t="str">
        <f>IFERROR(__xludf.DUMMYFUNCTION("""COMPUTED_VALUE"""),"2026-05-19 - Thứ 3")</f>
        <v>2026-05-19 - Thứ 3</v>
      </c>
      <c r="I2" s="223" t="str">
        <f>IFERROR(__xludf.DUMMYFUNCTION("""COMPUTED_VALUE"""),"2026-05-20 - Thứ 4")</f>
        <v>2026-05-20 - Thứ 4</v>
      </c>
      <c r="J2" s="224" t="s">
        <v>37</v>
      </c>
      <c r="K2" s="224" t="s">
        <v>38</v>
      </c>
    </row>
    <row r="3">
      <c r="A3" s="128" t="str">
        <f>IFERROR(__xludf.DUMMYFUNCTION("""COMPUTED_VALUE"""),"Nguyễn Thị Bảo Nhi")</f>
        <v>Nguyễn Thị Bảo Nhi</v>
      </c>
      <c r="B3" s="129">
        <f>IFERROR(__xludf.DUMMYFUNCTION("""COMPUTED_VALUE"""),0.9061135371179039)</f>
        <v>0.9061135371</v>
      </c>
      <c r="C3" s="129">
        <f>IFERROR(__xludf.DUMMYFUNCTION("""COMPUTED_VALUE"""),0.9351669941060904)</f>
        <v>0.9351669941</v>
      </c>
      <c r="D3" s="129">
        <f>IFERROR(__xludf.DUMMYFUNCTION("""COMPUTED_VALUE"""),0.9586330935251799)</f>
        <v>0.9586330935</v>
      </c>
      <c r="E3" s="129">
        <f>IFERROR(__xludf.DUMMYFUNCTION("""COMPUTED_VALUE"""),0.9145833333333333)</f>
        <v>0.9145833333</v>
      </c>
      <c r="F3" s="129">
        <f>IFERROR(__xludf.DUMMYFUNCTION("""COMPUTED_VALUE"""),0.9129554655870445)</f>
        <v>0.9129554656</v>
      </c>
      <c r="G3" s="129">
        <f>IFERROR(__xludf.DUMMYFUNCTION("""COMPUTED_VALUE"""),0.9411764705882353)</f>
        <v>0.9411764706</v>
      </c>
      <c r="H3" s="129">
        <f>IFERROR(__xludf.DUMMYFUNCTION("""COMPUTED_VALUE"""),0.9018264840182648)</f>
        <v>0.901826484</v>
      </c>
      <c r="I3" s="129">
        <f>IFERROR(__xludf.DUMMYFUNCTION("""COMPUTED_VALUE"""),0.9013806706114399)</f>
        <v>0.9013806706</v>
      </c>
      <c r="J3" s="129">
        <f t="shared" ref="J3:J18" si="1">I3-B3</f>
        <v>-0.004732866506</v>
      </c>
      <c r="K3" s="129">
        <f t="shared" ref="K3:K18" si="2">I3-H3</f>
        <v>-0.0004458134068</v>
      </c>
    </row>
    <row r="4">
      <c r="A4" s="128" t="str">
        <f>IFERROR(__xludf.DUMMYFUNCTION("""COMPUTED_VALUE"""),"Nguyễn Công Luận")</f>
        <v>Nguyễn Công Luận</v>
      </c>
      <c r="B4" s="129">
        <f>IFERROR(__xludf.DUMMYFUNCTION("""COMPUTED_VALUE"""),0.9408528198074277)</f>
        <v>0.9408528198</v>
      </c>
      <c r="C4" s="129">
        <f>IFERROR(__xludf.DUMMYFUNCTION("""COMPUTED_VALUE"""),0.9423791821561338)</f>
        <v>0.9423791822</v>
      </c>
      <c r="D4" s="129">
        <f>IFERROR(__xludf.DUMMYFUNCTION("""COMPUTED_VALUE"""),0.9306930693069307)</f>
        <v>0.9306930693</v>
      </c>
      <c r="E4" s="129">
        <f>IFERROR(__xludf.DUMMYFUNCTION("""COMPUTED_VALUE"""),0.9110105580693816)</f>
        <v>0.9110105581</v>
      </c>
      <c r="F4" s="129">
        <f>IFERROR(__xludf.DUMMYFUNCTION("""COMPUTED_VALUE"""),0.9117221418234442)</f>
        <v>0.9117221418</v>
      </c>
      <c r="G4" s="129">
        <f>IFERROR(__xludf.DUMMYFUNCTION("""COMPUTED_VALUE"""),0.9236111111111112)</f>
        <v>0.9236111111</v>
      </c>
      <c r="H4" s="129">
        <f>IFERROR(__xludf.DUMMYFUNCTION("""COMPUTED_VALUE"""),0.8786407766990292)</f>
        <v>0.8786407767</v>
      </c>
      <c r="I4" s="129">
        <f>IFERROR(__xludf.DUMMYFUNCTION("""COMPUTED_VALUE"""),0.91015625)</f>
        <v>0.91015625</v>
      </c>
      <c r="J4" s="129">
        <f t="shared" si="1"/>
        <v>-0.03069656981</v>
      </c>
      <c r="K4" s="129">
        <f t="shared" si="2"/>
        <v>0.0315154733</v>
      </c>
    </row>
    <row r="5">
      <c r="A5" s="128" t="str">
        <f>IFERROR(__xludf.DUMMYFUNCTION("""COMPUTED_VALUE"""),"Ngô  Thị Bích Trâm ")</f>
        <v>Ngô  Thị Bích Trâm </v>
      </c>
      <c r="B5" s="129">
        <f>IFERROR(__xludf.DUMMYFUNCTION("""COMPUTED_VALUE"""),0.9505582137161085)</f>
        <v>0.9505582137</v>
      </c>
      <c r="C5" s="129">
        <f>IFERROR(__xludf.DUMMYFUNCTION("""COMPUTED_VALUE"""),0.9478079331941545)</f>
        <v>0.9478079332</v>
      </c>
      <c r="D5" s="129">
        <f>IFERROR(__xludf.DUMMYFUNCTION("""COMPUTED_VALUE"""),0.91651865008881)</f>
        <v>0.9165186501</v>
      </c>
      <c r="E5" s="129">
        <f>IFERROR(__xludf.DUMMYFUNCTION("""COMPUTED_VALUE"""),0.9427549194991055)</f>
        <v>0.9427549195</v>
      </c>
      <c r="F5" s="129">
        <f>IFERROR(__xludf.DUMMYFUNCTION("""COMPUTED_VALUE"""),0.9234527687296417)</f>
        <v>0.9234527687</v>
      </c>
      <c r="G5" s="129">
        <f>IFERROR(__xludf.DUMMYFUNCTION("""COMPUTED_VALUE"""),0.9437386569872959)</f>
        <v>0.943738657</v>
      </c>
      <c r="H5" s="129">
        <f>IFERROR(__xludf.DUMMYFUNCTION("""COMPUTED_VALUE"""),0.9525316455696202)</f>
        <v>0.9525316456</v>
      </c>
      <c r="I5" s="129">
        <f>IFERROR(__xludf.DUMMYFUNCTION("""COMPUTED_VALUE"""),0.9115168539325843)</f>
        <v>0.9115168539</v>
      </c>
      <c r="J5" s="129">
        <f t="shared" si="1"/>
        <v>-0.03904135978</v>
      </c>
      <c r="K5" s="129">
        <f t="shared" si="2"/>
        <v>-0.04101479164</v>
      </c>
    </row>
    <row r="6">
      <c r="A6" s="128" t="str">
        <f>IFERROR(__xludf.DUMMYFUNCTION("""COMPUTED_VALUE"""),"Nguyễn Văn Sáng")</f>
        <v>Nguyễn Văn Sáng</v>
      </c>
      <c r="B6" s="129">
        <f>IFERROR(__xludf.DUMMYFUNCTION("""COMPUTED_VALUE"""),0.9435975609756098)</f>
        <v>0.943597561</v>
      </c>
      <c r="C6" s="129">
        <f>IFERROR(__xludf.DUMMYFUNCTION("""COMPUTED_VALUE"""),0.9636913767019667)</f>
        <v>0.9636913767</v>
      </c>
      <c r="D6" s="129">
        <f>IFERROR(__xludf.DUMMYFUNCTION("""COMPUTED_VALUE"""),0.9793977812995246)</f>
        <v>0.9793977813</v>
      </c>
      <c r="E6" s="129">
        <f>IFERROR(__xludf.DUMMYFUNCTION("""COMPUTED_VALUE"""),0.9542682926829268)</f>
        <v>0.9542682927</v>
      </c>
      <c r="F6" s="129">
        <f>IFERROR(__xludf.DUMMYFUNCTION("""COMPUTED_VALUE"""),0.9508196721311475)</f>
        <v>0.9508196721</v>
      </c>
      <c r="G6" s="129">
        <f>IFERROR(__xludf.DUMMYFUNCTION("""COMPUTED_VALUE"""),0.9619205298013245)</f>
        <v>0.9619205298</v>
      </c>
      <c r="H6" s="129">
        <f>IFERROR(__xludf.DUMMYFUNCTION("""COMPUTED_VALUE"""),0.9258620689655173)</f>
        <v>0.925862069</v>
      </c>
      <c r="I6" s="129">
        <f>IFERROR(__xludf.DUMMYFUNCTION("""COMPUTED_VALUE"""),0.9329073482428115)</f>
        <v>0.9329073482</v>
      </c>
      <c r="J6" s="129">
        <f t="shared" si="1"/>
        <v>-0.01069021273</v>
      </c>
      <c r="K6" s="129">
        <f t="shared" si="2"/>
        <v>0.007045279277</v>
      </c>
    </row>
    <row r="7">
      <c r="A7" s="128" t="str">
        <f>IFERROR(__xludf.DUMMYFUNCTION("""COMPUTED_VALUE"""),"Phan Thị Mỹ Chi")</f>
        <v>Phan Thị Mỹ Chi</v>
      </c>
      <c r="B7" s="129">
        <f>IFERROR(__xludf.DUMMYFUNCTION("""COMPUTED_VALUE"""),0.9545454545454546)</f>
        <v>0.9545454545</v>
      </c>
      <c r="C7" s="129">
        <f>IFERROR(__xludf.DUMMYFUNCTION("""COMPUTED_VALUE"""),0.9656084656084656)</f>
        <v>0.9656084656</v>
      </c>
      <c r="D7" s="129">
        <f>IFERROR(__xludf.DUMMYFUNCTION("""COMPUTED_VALUE"""),0.9731903485254692)</f>
        <v>0.9731903485</v>
      </c>
      <c r="E7" s="129">
        <f>IFERROR(__xludf.DUMMYFUNCTION("""COMPUTED_VALUE"""),0.9301310043668122)</f>
        <v>0.9301310044</v>
      </c>
      <c r="F7" s="129">
        <f>IFERROR(__xludf.DUMMYFUNCTION("""COMPUTED_VALUE"""),0.9333333333333333)</f>
        <v>0.9333333333</v>
      </c>
      <c r="G7" s="129">
        <f>IFERROR(__xludf.DUMMYFUNCTION("""COMPUTED_VALUE"""),0.9501312335958005)</f>
        <v>0.9501312336</v>
      </c>
      <c r="H7" s="129">
        <f>IFERROR(__xludf.DUMMYFUNCTION("""COMPUTED_VALUE"""),0.9215686274509803)</f>
        <v>0.9215686275</v>
      </c>
      <c r="I7" s="129">
        <f>IFERROR(__xludf.DUMMYFUNCTION("""COMPUTED_VALUE"""),0.9335863377609108)</f>
        <v>0.9335863378</v>
      </c>
      <c r="J7" s="129">
        <f t="shared" si="1"/>
        <v>-0.02095911678</v>
      </c>
      <c r="K7" s="129">
        <f t="shared" si="2"/>
        <v>0.01201771031</v>
      </c>
    </row>
    <row r="8">
      <c r="A8" s="128" t="str">
        <f>IFERROR(__xludf.DUMMYFUNCTION("""COMPUTED_VALUE"""),"Lê Văn Tài")</f>
        <v>Lê Văn Tài</v>
      </c>
      <c r="B8" s="129">
        <f>IFERROR(__xludf.DUMMYFUNCTION("""COMPUTED_VALUE"""),0.948905109489051)</f>
        <v>0.9489051095</v>
      </c>
      <c r="C8" s="129">
        <f>IFERROR(__xludf.DUMMYFUNCTION("""COMPUTED_VALUE"""),0.9559118236472945)</f>
        <v>0.9559118236</v>
      </c>
      <c r="D8" s="129">
        <f>IFERROR(__xludf.DUMMYFUNCTION("""COMPUTED_VALUE"""),0.9549902152641878)</f>
        <v>0.9549902153</v>
      </c>
      <c r="E8" s="129">
        <f>IFERROR(__xludf.DUMMYFUNCTION("""COMPUTED_VALUE"""),0.967680608365019)</f>
        <v>0.9676806084</v>
      </c>
      <c r="F8" s="129">
        <f>IFERROR(__xludf.DUMMYFUNCTION("""COMPUTED_VALUE"""),0.9596928982725528)</f>
        <v>0.9596928983</v>
      </c>
      <c r="G8" s="129">
        <f>IFERROR(__xludf.DUMMYFUNCTION("""COMPUTED_VALUE"""),0.9307359307359307)</f>
        <v>0.9307359307</v>
      </c>
      <c r="H8" s="129">
        <f>IFERROR(__xludf.DUMMYFUNCTION("""COMPUTED_VALUE"""),0.9672897196261683)</f>
        <v>0.9672897196</v>
      </c>
      <c r="I8" s="129">
        <f>IFERROR(__xludf.DUMMYFUNCTION("""COMPUTED_VALUE"""),0.9364035087719298)</f>
        <v>0.9364035088</v>
      </c>
      <c r="J8" s="129">
        <f t="shared" si="1"/>
        <v>-0.01250160072</v>
      </c>
      <c r="K8" s="129">
        <f t="shared" si="2"/>
        <v>-0.03088621085</v>
      </c>
    </row>
    <row r="9">
      <c r="A9" s="128" t="str">
        <f>IFERROR(__xludf.DUMMYFUNCTION("""COMPUTED_VALUE"""),"Nguyễn Đình Trung")</f>
        <v>Nguyễn Đình Trung</v>
      </c>
      <c r="B9" s="129">
        <f>IFERROR(__xludf.DUMMYFUNCTION("""COMPUTED_VALUE"""),0.9662576687116564)</f>
        <v>0.9662576687</v>
      </c>
      <c r="C9" s="129">
        <f>IFERROR(__xludf.DUMMYFUNCTION("""COMPUTED_VALUE"""),0.9635627530364372)</f>
        <v>0.963562753</v>
      </c>
      <c r="D9" s="129">
        <f>IFERROR(__xludf.DUMMYFUNCTION("""COMPUTED_VALUE"""),0.9342105263157895)</f>
        <v>0.9342105263</v>
      </c>
      <c r="E9" s="129">
        <f>IFERROR(__xludf.DUMMYFUNCTION("""COMPUTED_VALUE"""),0.9459459459459459)</f>
        <v>0.9459459459</v>
      </c>
      <c r="F9" s="129">
        <f>IFERROR(__xludf.DUMMYFUNCTION("""COMPUTED_VALUE"""),0.9649737302977233)</f>
        <v>0.9649737303</v>
      </c>
      <c r="G9" s="129">
        <f>IFERROR(__xludf.DUMMYFUNCTION("""COMPUTED_VALUE"""),0.9629629629629629)</f>
        <v>0.962962963</v>
      </c>
      <c r="H9" s="129">
        <f>IFERROR(__xludf.DUMMYFUNCTION("""COMPUTED_VALUE"""),0.9628571428571429)</f>
        <v>0.9628571429</v>
      </c>
      <c r="I9" s="129">
        <f>IFERROR(__xludf.DUMMYFUNCTION("""COMPUTED_VALUE"""),0.9474431818181818)</f>
        <v>0.9474431818</v>
      </c>
      <c r="J9" s="129">
        <f t="shared" si="1"/>
        <v>-0.01881448689</v>
      </c>
      <c r="K9" s="129">
        <f t="shared" si="2"/>
        <v>-0.01541396104</v>
      </c>
    </row>
    <row r="10">
      <c r="A10" s="128" t="str">
        <f>IFERROR(__xludf.DUMMYFUNCTION("""COMPUTED_VALUE"""),"Mai Đức Hoàng Long")</f>
        <v>Mai Đức Hoàng Long</v>
      </c>
      <c r="B10" s="129">
        <f>IFERROR(__xludf.DUMMYFUNCTION("""COMPUTED_VALUE"""),0.95)</f>
        <v>0.95</v>
      </c>
      <c r="C10" s="129">
        <f>IFERROR(__xludf.DUMMYFUNCTION("""COMPUTED_VALUE"""),0.9581993569131833)</f>
        <v>0.9581993569</v>
      </c>
      <c r="D10" s="129">
        <f>IFERROR(__xludf.DUMMYFUNCTION("""COMPUTED_VALUE"""),0.9700996677740864)</f>
        <v>0.9700996678</v>
      </c>
      <c r="E10" s="129">
        <f>IFERROR(__xludf.DUMMYFUNCTION("""COMPUTED_VALUE"""),0.9411764705882353)</f>
        <v>0.9411764706</v>
      </c>
      <c r="F10" s="129">
        <f>IFERROR(__xludf.DUMMYFUNCTION("""COMPUTED_VALUE"""),0.9270516717325228)</f>
        <v>0.9270516717</v>
      </c>
      <c r="G10" s="129">
        <f>IFERROR(__xludf.DUMMYFUNCTION("""COMPUTED_VALUE"""),0.9452054794520548)</f>
        <v>0.9452054795</v>
      </c>
      <c r="H10" s="129">
        <f>IFERROR(__xludf.DUMMYFUNCTION("""COMPUTED_VALUE"""),0.9559748427672956)</f>
        <v>0.9559748428</v>
      </c>
      <c r="I10" s="129">
        <f>IFERROR(__xludf.DUMMYFUNCTION("""COMPUTED_VALUE"""),0.95)</f>
        <v>0.95</v>
      </c>
      <c r="J10" s="129">
        <f t="shared" si="1"/>
        <v>0</v>
      </c>
      <c r="K10" s="129">
        <f t="shared" si="2"/>
        <v>-0.005974842767</v>
      </c>
    </row>
    <row r="11" ht="15.0" customHeight="1">
      <c r="A11" s="128" t="str">
        <f>IFERROR(__xludf.DUMMYFUNCTION("""COMPUTED_VALUE"""),"Nguyễn  Ngọc Hà")</f>
        <v>Nguyễn  Ngọc Hà</v>
      </c>
      <c r="B11" s="129">
        <f>IFERROR(__xludf.DUMMYFUNCTION("""COMPUTED_VALUE"""),0.9618055555555556)</f>
        <v>0.9618055556</v>
      </c>
      <c r="C11" s="129">
        <f>IFERROR(__xludf.DUMMYFUNCTION("""COMPUTED_VALUE"""),0.9753086419753086)</f>
        <v>0.975308642</v>
      </c>
      <c r="D11" s="129">
        <f>IFERROR(__xludf.DUMMYFUNCTION("""COMPUTED_VALUE"""),0.985239852398524)</f>
        <v>0.9852398524</v>
      </c>
      <c r="E11" s="129">
        <f>IFERROR(__xludf.DUMMYFUNCTION("""COMPUTED_VALUE"""),0.9413680781758957)</f>
        <v>0.9413680782</v>
      </c>
      <c r="F11" s="129">
        <f>IFERROR(__xludf.DUMMYFUNCTION("""COMPUTED_VALUE"""),0.9230769230769231)</f>
        <v>0.9230769231</v>
      </c>
      <c r="G11" s="129">
        <f>IFERROR(__xludf.DUMMYFUNCTION("""COMPUTED_VALUE"""),0.9348534201954397)</f>
        <v>0.9348534202</v>
      </c>
      <c r="H11" s="129">
        <f>IFERROR(__xludf.DUMMYFUNCTION("""COMPUTED_VALUE"""),0.920704845814978)</f>
        <v>0.9207048458</v>
      </c>
      <c r="I11" s="129">
        <f>IFERROR(__xludf.DUMMYFUNCTION("""COMPUTED_VALUE"""),0.9580838323353293)</f>
        <v>0.9580838323</v>
      </c>
      <c r="J11" s="129">
        <f t="shared" si="1"/>
        <v>-0.00372172322</v>
      </c>
      <c r="K11" s="129">
        <f t="shared" si="2"/>
        <v>0.03737898652</v>
      </c>
    </row>
    <row r="12" ht="15.0" customHeight="1">
      <c r="A12" s="128" t="str">
        <f>IFERROR(__xludf.DUMMYFUNCTION("""COMPUTED_VALUE"""),"Trần Nhật Thương")</f>
        <v>Trần Nhật Thương</v>
      </c>
      <c r="B12" s="129">
        <f>IFERROR(__xludf.DUMMYFUNCTION("""COMPUTED_VALUE"""),0.9689542483660131)</f>
        <v>0.9689542484</v>
      </c>
      <c r="C12" s="129">
        <f>IFERROR(__xludf.DUMMYFUNCTION("""COMPUTED_VALUE"""),0.9851485148514851)</f>
        <v>0.9851485149</v>
      </c>
      <c r="D12" s="129">
        <f>IFERROR(__xludf.DUMMYFUNCTION("""COMPUTED_VALUE"""),0.964516129032258)</f>
        <v>0.964516129</v>
      </c>
      <c r="E12" s="129">
        <f>IFERROR(__xludf.DUMMYFUNCTION("""COMPUTED_VALUE"""),0.9649446494464945)</f>
        <v>0.9649446494</v>
      </c>
      <c r="F12" s="129">
        <f>IFERROR(__xludf.DUMMYFUNCTION("""COMPUTED_VALUE"""),0.9716981132075472)</f>
        <v>0.9716981132</v>
      </c>
      <c r="G12" s="129">
        <f>IFERROR(__xludf.DUMMYFUNCTION("""COMPUTED_VALUE"""),0.9667318982387475)</f>
        <v>0.9667318982</v>
      </c>
      <c r="H12" s="129">
        <f>IFERROR(__xludf.DUMMYFUNCTION("""COMPUTED_VALUE"""),0.9711286089238845)</f>
        <v>0.9711286089</v>
      </c>
      <c r="I12" s="129">
        <f>IFERROR(__xludf.DUMMYFUNCTION("""COMPUTED_VALUE"""),0.9618008185538881)</f>
        <v>0.9618008186</v>
      </c>
      <c r="J12" s="129">
        <f t="shared" si="1"/>
        <v>-0.007153429812</v>
      </c>
      <c r="K12" s="129">
        <f t="shared" si="2"/>
        <v>-0.00932779037</v>
      </c>
    </row>
    <row r="13" ht="15.0" customHeight="1">
      <c r="A13" s="128" t="str">
        <f>IFERROR(__xludf.DUMMYFUNCTION("""COMPUTED_VALUE"""),"Nguyễn  Hoàng Anh ")</f>
        <v>Nguyễn  Hoàng Anh </v>
      </c>
      <c r="B13" s="129">
        <f>IFERROR(__xludf.DUMMYFUNCTION("""COMPUTED_VALUE"""),0.9573333333333334)</f>
        <v>0.9573333333</v>
      </c>
      <c r="C13" s="129">
        <f>IFERROR(__xludf.DUMMYFUNCTION("""COMPUTED_VALUE"""),0.9701149425287356)</f>
        <v>0.9701149425</v>
      </c>
      <c r="D13" s="129">
        <f>IFERROR(__xludf.DUMMYFUNCTION("""COMPUTED_VALUE"""),0.9829683698296837)</f>
        <v>0.9829683698</v>
      </c>
      <c r="E13" s="129">
        <f>IFERROR(__xludf.DUMMYFUNCTION("""COMPUTED_VALUE"""),0.9638297872340426)</f>
        <v>0.9638297872</v>
      </c>
      <c r="F13" s="129">
        <f>IFERROR(__xludf.DUMMYFUNCTION("""COMPUTED_VALUE"""),0.9588744588744589)</f>
        <v>0.9588744589</v>
      </c>
      <c r="G13" s="129">
        <f>IFERROR(__xludf.DUMMYFUNCTION("""COMPUTED_VALUE"""),0.9548693586698337)</f>
        <v>0.9548693587</v>
      </c>
      <c r="H13" s="129">
        <f>IFERROR(__xludf.DUMMYFUNCTION("""COMPUTED_VALUE"""),0.9581151832460733)</f>
        <v>0.9581151832</v>
      </c>
      <c r="I13" s="129">
        <f>IFERROR(__xludf.DUMMYFUNCTION("""COMPUTED_VALUE"""),0.9647887323943662)</f>
        <v>0.9647887324</v>
      </c>
      <c r="J13" s="129">
        <f t="shared" si="1"/>
        <v>0.007455399061</v>
      </c>
      <c r="K13" s="129">
        <f t="shared" si="2"/>
        <v>0.006673549148</v>
      </c>
    </row>
    <row r="14">
      <c r="A14" s="133" t="str">
        <f>IFERROR(__xludf.DUMMYFUNCTION("""COMPUTED_VALUE"""),"Huỳnh Thị Mới ")</f>
        <v>Huỳnh Thị Mới </v>
      </c>
      <c r="B14" s="225">
        <f>IFERROR(__xludf.DUMMYFUNCTION("""COMPUTED_VALUE"""),0.9779527559055118)</f>
        <v>0.9779527559</v>
      </c>
      <c r="C14" s="225">
        <f>IFERROR(__xludf.DUMMYFUNCTION("""COMPUTED_VALUE"""),0.984984984984985)</f>
        <v>0.984984985</v>
      </c>
      <c r="D14" s="225">
        <f>IFERROR(__xludf.DUMMYFUNCTION("""COMPUTED_VALUE"""),0.9609756097560975)</f>
        <v>0.9609756098</v>
      </c>
      <c r="E14" s="225">
        <f>IFERROR(__xludf.DUMMYFUNCTION("""COMPUTED_VALUE"""),0.9793510324483776)</f>
        <v>0.9793510324</v>
      </c>
      <c r="F14" s="225">
        <f>IFERROR(__xludf.DUMMYFUNCTION("""COMPUTED_VALUE"""),0.9615384615384616)</f>
        <v>0.9615384615</v>
      </c>
      <c r="G14" s="225">
        <f>IFERROR(__xludf.DUMMYFUNCTION("""COMPUTED_VALUE"""),0.9656419529837251)</f>
        <v>0.965641953</v>
      </c>
      <c r="H14" s="225">
        <f>IFERROR(__xludf.DUMMYFUNCTION("""COMPUTED_VALUE"""),0.9714285714285714)</f>
        <v>0.9714285714</v>
      </c>
      <c r="I14" s="226">
        <f>IFERROR(__xludf.DUMMYFUNCTION("""COMPUTED_VALUE"""),0.9661971830985916)</f>
        <v>0.9661971831</v>
      </c>
      <c r="J14" s="129">
        <f t="shared" si="1"/>
        <v>-0.01175557281</v>
      </c>
      <c r="K14" s="129">
        <f t="shared" si="2"/>
        <v>-0.00523138833</v>
      </c>
    </row>
    <row r="15">
      <c r="A15" s="133" t="str">
        <f>IFERROR(__xludf.DUMMYFUNCTION("""COMPUTED_VALUE"""),"Phan Thanh Thức")</f>
        <v>Phan Thanh Thức</v>
      </c>
      <c r="B15" s="225">
        <f>IFERROR(__xludf.DUMMYFUNCTION("""COMPUTED_VALUE"""),0.9742574257425742)</f>
        <v>0.9742574257</v>
      </c>
      <c r="C15" s="225">
        <f>IFERROR(__xludf.DUMMYFUNCTION("""COMPUTED_VALUE"""),0.9755058572949947)</f>
        <v>0.9755058573</v>
      </c>
      <c r="D15" s="225">
        <f>IFERROR(__xludf.DUMMYFUNCTION("""COMPUTED_VALUE"""),0.9587737843551797)</f>
        <v>0.9587737844</v>
      </c>
      <c r="E15" s="225">
        <f>IFERROR(__xludf.DUMMYFUNCTION("""COMPUTED_VALUE"""),0.9669327251995439)</f>
        <v>0.9669327252</v>
      </c>
      <c r="F15" s="225">
        <f>IFERROR(__xludf.DUMMYFUNCTION("""COMPUTED_VALUE"""),0.968186638388123)</f>
        <v>0.9681866384</v>
      </c>
      <c r="G15" s="225">
        <f>IFERROR(__xludf.DUMMYFUNCTION("""COMPUTED_VALUE"""),0.9641485275288092)</f>
        <v>0.9641485275</v>
      </c>
      <c r="H15" s="225">
        <f>IFERROR(__xludf.DUMMYFUNCTION("""COMPUTED_VALUE"""),0.9534109816971714)</f>
        <v>0.9534109817</v>
      </c>
      <c r="I15" s="226">
        <f>IFERROR(__xludf.DUMMYFUNCTION("""COMPUTED_VALUE"""),0.969672131147541)</f>
        <v>0.9696721311</v>
      </c>
      <c r="J15" s="129">
        <f t="shared" si="1"/>
        <v>-0.004585294595</v>
      </c>
      <c r="K15" s="129">
        <f t="shared" si="2"/>
        <v>0.01626114945</v>
      </c>
    </row>
    <row r="16">
      <c r="A16" s="227" t="str">
        <f>IFERROR(__xludf.DUMMYFUNCTION("""COMPUTED_VALUE"""),"Võ Thanh Diệu ")</f>
        <v>Võ Thanh Diệu </v>
      </c>
      <c r="B16" s="226">
        <f>IFERROR(__xludf.DUMMYFUNCTION("""COMPUTED_VALUE"""),0.9829984544049459)</f>
        <v>0.9829984544</v>
      </c>
      <c r="C16" s="226">
        <f>IFERROR(__xludf.DUMMYFUNCTION("""COMPUTED_VALUE"""),0.9761904761904762)</f>
        <v>0.9761904762</v>
      </c>
      <c r="D16" s="226">
        <f>IFERROR(__xludf.DUMMYFUNCTION("""COMPUTED_VALUE"""),0.975609756097561)</f>
        <v>0.9756097561</v>
      </c>
      <c r="E16" s="226">
        <f>IFERROR(__xludf.DUMMYFUNCTION("""COMPUTED_VALUE"""),0.9565943238731218)</f>
        <v>0.9565943239</v>
      </c>
      <c r="F16" s="226">
        <f>IFERROR(__xludf.DUMMYFUNCTION("""COMPUTED_VALUE"""),0.9610169491525423)</f>
        <v>0.9610169492</v>
      </c>
      <c r="G16" s="226">
        <f>IFERROR(__xludf.DUMMYFUNCTION("""COMPUTED_VALUE"""),0.9581881533101045)</f>
        <v>0.9581881533</v>
      </c>
      <c r="H16" s="226">
        <f>IFERROR(__xludf.DUMMYFUNCTION("""COMPUTED_VALUE"""),0.9349397590361446)</f>
        <v>0.934939759</v>
      </c>
      <c r="I16" s="226">
        <f>IFERROR(__xludf.DUMMYFUNCTION("""COMPUTED_VALUE"""),0.9762845849802372)</f>
        <v>0.976284585</v>
      </c>
      <c r="J16" s="129">
        <f t="shared" si="1"/>
        <v>-0.006713869425</v>
      </c>
      <c r="K16" s="129">
        <f t="shared" si="2"/>
        <v>0.04134482594</v>
      </c>
      <c r="L16" s="50"/>
      <c r="M16" s="50"/>
      <c r="N16" s="50"/>
      <c r="O16" s="50"/>
    </row>
    <row r="17">
      <c r="A17" s="227" t="str">
        <f>IFERROR(__xludf.DUMMYFUNCTION("""COMPUTED_VALUE"""),"Lê Trọng Khiêm")</f>
        <v>Lê Trọng Khiêm</v>
      </c>
      <c r="B17" s="226">
        <f>IFERROR(__xludf.DUMMYFUNCTION("""COMPUTED_VALUE"""),0.9913194444444444)</f>
        <v>0.9913194444</v>
      </c>
      <c r="C17" s="226">
        <f>IFERROR(__xludf.DUMMYFUNCTION("""COMPUTED_VALUE"""),0.9883040935672515)</f>
        <v>0.9883040936</v>
      </c>
      <c r="D17" s="226">
        <f>IFERROR(__xludf.DUMMYFUNCTION("""COMPUTED_VALUE"""),0.9666110183639399)</f>
        <v>0.9666110184</v>
      </c>
      <c r="E17" s="226">
        <f>IFERROR(__xludf.DUMMYFUNCTION("""COMPUTED_VALUE"""),0.9737302977232924)</f>
        <v>0.9737302977</v>
      </c>
      <c r="F17" s="226">
        <f>IFERROR(__xludf.DUMMYFUNCTION("""COMPUTED_VALUE"""),0.980327868852459)</f>
        <v>0.9803278689</v>
      </c>
      <c r="G17" s="226">
        <f>IFERROR(__xludf.DUMMYFUNCTION("""COMPUTED_VALUE"""),0.9690189328743546)</f>
        <v>0.9690189329</v>
      </c>
      <c r="H17" s="226">
        <f>IFERROR(__xludf.DUMMYFUNCTION("""COMPUTED_VALUE"""),0.9648711943793911)</f>
        <v>0.9648711944</v>
      </c>
      <c r="I17" s="226">
        <f>IFERROR(__xludf.DUMMYFUNCTION("""COMPUTED_VALUE"""),0.9866666666666667)</f>
        <v>0.9866666667</v>
      </c>
      <c r="J17" s="129">
        <f t="shared" si="1"/>
        <v>-0.004652777778</v>
      </c>
      <c r="K17" s="129">
        <f t="shared" si="2"/>
        <v>0.02179547229</v>
      </c>
      <c r="L17" s="50"/>
      <c r="M17" s="50"/>
      <c r="N17" s="50"/>
      <c r="O17" s="50"/>
    </row>
    <row r="18">
      <c r="A18" s="228" t="str">
        <f>IFERROR(__xludf.DUMMYFUNCTION("""COMPUTED_VALUE"""),"Grand Total")</f>
        <v>Grand Total</v>
      </c>
      <c r="B18" s="229">
        <f>IFERROR(__xludf.DUMMYFUNCTION("""COMPUTED_VALUE"""),0.9602594339622641)</f>
        <v>0.960259434</v>
      </c>
      <c r="C18" s="229">
        <f>IFERROR(__xludf.DUMMYFUNCTION("""COMPUTED_VALUE"""),0.9674182358771061)</f>
        <v>0.9674182359</v>
      </c>
      <c r="D18" s="229">
        <f>IFERROR(__xludf.DUMMYFUNCTION("""COMPUTED_VALUE"""),0.9592235380295446)</f>
        <v>0.959223538</v>
      </c>
      <c r="E18" s="229">
        <f>IFERROR(__xludf.DUMMYFUNCTION("""COMPUTED_VALUE"""),0.9517654099341711)</f>
        <v>0.9517654099</v>
      </c>
      <c r="F18" s="229">
        <f>IFERROR(__xludf.DUMMYFUNCTION("""COMPUTED_VALUE"""),0.9500060088931619)</f>
        <v>0.9500060089</v>
      </c>
      <c r="G18" s="229">
        <f>IFERROR(__xludf.DUMMYFUNCTION("""COMPUTED_VALUE"""),0.9530271398747391)</f>
        <v>0.9530271399</v>
      </c>
      <c r="H18" s="229">
        <f>IFERROR(__xludf.DUMMYFUNCTION("""COMPUTED_VALUE"""),0.9428571428571428)</f>
        <v>0.9428571429</v>
      </c>
      <c r="I18" s="229">
        <f>IFERROR(__xludf.DUMMYFUNCTION("""COMPUTED_VALUE"""),0.949013848090642)</f>
        <v>0.9490138481</v>
      </c>
      <c r="J18" s="230">
        <f t="shared" si="1"/>
        <v>-0.01124558587</v>
      </c>
      <c r="K18" s="230">
        <f t="shared" si="2"/>
        <v>0.006156705233</v>
      </c>
    </row>
    <row r="19">
      <c r="A19" s="48"/>
      <c r="B19" s="48"/>
      <c r="C19" s="48"/>
      <c r="D19" s="48"/>
      <c r="E19" s="48"/>
      <c r="F19" s="48"/>
      <c r="G19" s="48"/>
      <c r="H19" s="48"/>
      <c r="I19" s="48"/>
      <c r="L19" s="50"/>
      <c r="M19" s="50"/>
      <c r="N19" s="50"/>
      <c r="O19" s="50"/>
    </row>
    <row r="20" ht="3.0" customHeight="1">
      <c r="A20" s="48"/>
      <c r="B20" s="48"/>
      <c r="C20" s="48"/>
      <c r="D20" s="48"/>
      <c r="E20" s="48"/>
      <c r="F20" s="48"/>
      <c r="G20" s="48"/>
      <c r="H20" s="48"/>
      <c r="I20" s="48"/>
      <c r="L20" s="231"/>
      <c r="M20" s="231"/>
      <c r="N20" s="231"/>
      <c r="O20" s="231"/>
    </row>
    <row r="21" ht="3.0" customHeight="1">
      <c r="A21" s="197"/>
      <c r="B21" s="197"/>
      <c r="C21" s="197"/>
      <c r="D21" s="197"/>
      <c r="E21" s="197"/>
      <c r="F21" s="197"/>
      <c r="G21" s="197"/>
      <c r="H21" s="197"/>
      <c r="I21" s="197"/>
      <c r="J21" s="208"/>
      <c r="K21" s="208"/>
      <c r="L21" s="50"/>
      <c r="M21" s="50"/>
      <c r="N21" s="50"/>
      <c r="O21" s="50"/>
    </row>
    <row r="22" ht="3.0" customHeight="1">
      <c r="B22" s="130"/>
      <c r="C22" s="130"/>
      <c r="D22" s="130"/>
      <c r="E22" s="130"/>
      <c r="F22" s="130"/>
      <c r="G22" s="130"/>
      <c r="H22" s="130"/>
      <c r="I22" s="130"/>
      <c r="J22" s="130"/>
      <c r="K22" s="130"/>
    </row>
    <row r="23">
      <c r="A23" s="232" t="s">
        <v>39</v>
      </c>
      <c r="B23" s="233" t="s">
        <v>34</v>
      </c>
      <c r="C23" s="218"/>
      <c r="D23" s="218"/>
      <c r="E23" s="218"/>
      <c r="F23" s="218"/>
      <c r="G23" s="218"/>
      <c r="H23" s="234"/>
      <c r="I23" s="235" t="s">
        <v>35</v>
      </c>
      <c r="J23" s="236" t="s">
        <v>36</v>
      </c>
      <c r="K23" s="218"/>
      <c r="L23" s="219"/>
      <c r="M23" s="220"/>
      <c r="N23" s="220"/>
      <c r="O23" s="220"/>
    </row>
    <row r="24">
      <c r="A24" s="237" t="str">
        <f>IFERROR(__xludf.DUMMYFUNCTION("IMPORTRANGE(""https://docs.google.com/spreadsheets/d/1487b2qDJjFxuit1ljyyJ220-vW46d0ImSvFQle7Fw-k/edit?gid=895647938#gid=895647938"",""PV ONT TTS!K28:S95"")"),"Bưu cục")</f>
        <v>Bưu cục</v>
      </c>
      <c r="B24" s="237" t="str">
        <f>IFERROR(__xludf.DUMMYFUNCTION("""COMPUTED_VALUE"""),"2026-05-13 - Thứ 4")</f>
        <v>2026-05-13 - Thứ 4</v>
      </c>
      <c r="C24" s="237" t="str">
        <f>IFERROR(__xludf.DUMMYFUNCTION("""COMPUTED_VALUE"""),"2026-05-14 - Thứ 5")</f>
        <v>2026-05-14 - Thứ 5</v>
      </c>
      <c r="D24" s="237" t="str">
        <f>IFERROR(__xludf.DUMMYFUNCTION("""COMPUTED_VALUE"""),"2026-05-15 - Thứ 6")</f>
        <v>2026-05-15 - Thứ 6</v>
      </c>
      <c r="E24" s="237" t="str">
        <f>IFERROR(__xludf.DUMMYFUNCTION("""COMPUTED_VALUE"""),"2026-05-16 - Thứ 7")</f>
        <v>2026-05-16 - Thứ 7</v>
      </c>
      <c r="F24" s="237" t="str">
        <f>IFERROR(__xludf.DUMMYFUNCTION("""COMPUTED_VALUE"""),"2026-05-17 - Chủ Nhật")</f>
        <v>2026-05-17 - Chủ Nhật</v>
      </c>
      <c r="G24" s="237" t="str">
        <f>IFERROR(__xludf.DUMMYFUNCTION("""COMPUTED_VALUE"""),"2026-05-18 - Thứ 2")</f>
        <v>2026-05-18 - Thứ 2</v>
      </c>
      <c r="H24" s="237" t="str">
        <f>IFERROR(__xludf.DUMMYFUNCTION("""COMPUTED_VALUE"""),"2026-05-19 - Thứ 3")</f>
        <v>2026-05-19 - Thứ 3</v>
      </c>
      <c r="I24" s="238" t="str">
        <f>IFERROR(__xludf.DUMMYFUNCTION("""COMPUTED_VALUE"""),"2026-05-20 - Thứ 4")</f>
        <v>2026-05-20 - Thứ 4</v>
      </c>
      <c r="J24" s="239" t="s">
        <v>37</v>
      </c>
      <c r="K24" s="239" t="s">
        <v>38</v>
      </c>
      <c r="L24" s="240"/>
      <c r="M24" s="240"/>
      <c r="N24" s="240"/>
      <c r="O24" s="240"/>
    </row>
    <row r="25" hidden="1">
      <c r="A25" s="241" t="str">
        <f>IFERROR(__xludf.DUMMYFUNCTION("""COMPUTED_VALUE"""),"BC 09 Quốc Lộ 14-Hoà Phú-Đắk Lắk")</f>
        <v>BC 09 Quốc Lộ 14-Hoà Phú-Đắk Lắk</v>
      </c>
      <c r="B25" s="242"/>
      <c r="C25" s="243">
        <f>IFERROR(__xludf.DUMMYFUNCTION("""COMPUTED_VALUE"""),0.6428571428571429)</f>
        <v>0.6428571429</v>
      </c>
      <c r="D25" s="243">
        <f>IFERROR(__xludf.DUMMYFUNCTION("""COMPUTED_VALUE"""),0.8555555555555555)</f>
        <v>0.8555555556</v>
      </c>
      <c r="E25" s="243">
        <f>IFERROR(__xludf.DUMMYFUNCTION("""COMPUTED_VALUE"""),0.6875)</f>
        <v>0.6875</v>
      </c>
      <c r="F25" s="243">
        <f>IFERROR(__xludf.DUMMYFUNCTION("""COMPUTED_VALUE"""),0.7647058823529411)</f>
        <v>0.7647058824</v>
      </c>
      <c r="G25" s="243">
        <f>IFERROR(__xludf.DUMMYFUNCTION("""COMPUTED_VALUE"""),0.8833333333333333)</f>
        <v>0.8833333333</v>
      </c>
      <c r="H25" s="243">
        <f>IFERROR(__xludf.DUMMYFUNCTION("""COMPUTED_VALUE"""),0.84375)</f>
        <v>0.84375</v>
      </c>
      <c r="I25" s="244">
        <f>IFERROR(__xludf.DUMMYFUNCTION("""COMPUTED_VALUE"""),0.640625)</f>
        <v>0.640625</v>
      </c>
      <c r="J25" s="244">
        <f t="shared" ref="J25:J91" si="3">I25-B25</f>
        <v>0.640625</v>
      </c>
      <c r="K25" s="244">
        <f t="shared" ref="K25:K91" si="4">I25-H25</f>
        <v>-0.203125</v>
      </c>
    </row>
    <row r="26" hidden="1">
      <c r="A26" s="241" t="str">
        <f>IFERROR(__xludf.DUMMYFUNCTION("""COMPUTED_VALUE"""),"BC 34 Quang Trung-Eakar-Đắk Lắk")</f>
        <v>BC 34 Quang Trung-Eakar-Đắk Lắk</v>
      </c>
      <c r="B26" s="243">
        <f>IFERROR(__xludf.DUMMYFUNCTION("""COMPUTED_VALUE"""),0.8211382113821138)</f>
        <v>0.8211382114</v>
      </c>
      <c r="C26" s="243">
        <f>IFERROR(__xludf.DUMMYFUNCTION("""COMPUTED_VALUE"""),0.8854166666666666)</f>
        <v>0.8854166667</v>
      </c>
      <c r="D26" s="243">
        <f>IFERROR(__xludf.DUMMYFUNCTION("""COMPUTED_VALUE"""),0.9381443298969072)</f>
        <v>0.9381443299</v>
      </c>
      <c r="E26" s="243">
        <f>IFERROR(__xludf.DUMMYFUNCTION("""COMPUTED_VALUE"""),0.896)</f>
        <v>0.896</v>
      </c>
      <c r="F26" s="243">
        <f>IFERROR(__xludf.DUMMYFUNCTION("""COMPUTED_VALUE"""),0.8666666666666667)</f>
        <v>0.8666666667</v>
      </c>
      <c r="G26" s="243">
        <f>IFERROR(__xludf.DUMMYFUNCTION("""COMPUTED_VALUE"""),0.9306930693069307)</f>
        <v>0.9306930693</v>
      </c>
      <c r="H26" s="243">
        <f>IFERROR(__xludf.DUMMYFUNCTION("""COMPUTED_VALUE"""),0.8571428571428571)</f>
        <v>0.8571428571</v>
      </c>
      <c r="I26" s="244">
        <f>IFERROR(__xludf.DUMMYFUNCTION("""COMPUTED_VALUE"""),0.81)</f>
        <v>0.81</v>
      </c>
      <c r="J26" s="244">
        <f t="shared" si="3"/>
        <v>-0.01113821138</v>
      </c>
      <c r="K26" s="244">
        <f t="shared" si="4"/>
        <v>-0.04714285714</v>
      </c>
    </row>
    <row r="27" hidden="1">
      <c r="A27" s="241" t="str">
        <f>IFERROR(__xludf.DUMMYFUNCTION("""COMPUTED_VALUE"""),"BC Phạm Văn Đồng-Pơng Đrang-Krông Búk-Đắk Lắk")</f>
        <v>BC Phạm Văn Đồng-Pơng Đrang-Krông Búk-Đắk Lắk</v>
      </c>
      <c r="B27" s="243">
        <f>IFERROR(__xludf.DUMMYFUNCTION("""COMPUTED_VALUE"""),0.9120879120879121)</f>
        <v>0.9120879121</v>
      </c>
      <c r="C27" s="243">
        <f>IFERROR(__xludf.DUMMYFUNCTION("""COMPUTED_VALUE"""),0.9203539823008849)</f>
        <v>0.9203539823</v>
      </c>
      <c r="D27" s="243">
        <f>IFERROR(__xludf.DUMMYFUNCTION("""COMPUTED_VALUE"""),0.896551724137931)</f>
        <v>0.8965517241</v>
      </c>
      <c r="E27" s="243">
        <f>IFERROR(__xludf.DUMMYFUNCTION("""COMPUTED_VALUE"""),1.0)</f>
        <v>1</v>
      </c>
      <c r="F27" s="243">
        <f>IFERROR(__xludf.DUMMYFUNCTION("""COMPUTED_VALUE"""),0.9457364341085271)</f>
        <v>0.9457364341</v>
      </c>
      <c r="G27" s="243">
        <f>IFERROR(__xludf.DUMMYFUNCTION("""COMPUTED_VALUE"""),0.9032258064516129)</f>
        <v>0.9032258065</v>
      </c>
      <c r="H27" s="243">
        <f>IFERROR(__xludf.DUMMYFUNCTION("""COMPUTED_VALUE"""),0.9135802469135802)</f>
        <v>0.9135802469</v>
      </c>
      <c r="I27" s="244">
        <f>IFERROR(__xludf.DUMMYFUNCTION("""COMPUTED_VALUE"""),0.8584070796460177)</f>
        <v>0.8584070796</v>
      </c>
      <c r="J27" s="244">
        <f t="shared" si="3"/>
        <v>-0.05368083244</v>
      </c>
      <c r="K27" s="244">
        <f t="shared" si="4"/>
        <v>-0.05517316727</v>
      </c>
    </row>
    <row r="28" hidden="1">
      <c r="A28" s="241" t="str">
        <f>IFERROR(__xludf.DUMMYFUNCTION("""COMPUTED_VALUE"""),"BC 70 Đường 30/4-Ea Tam-Buôn Ma Thuột-Đắk Lắk ")</f>
        <v>BC 70 Đường 30/4-Ea Tam-Buôn Ma Thuột-Đắk Lắk </v>
      </c>
      <c r="B28" s="243">
        <f>IFERROR(__xludf.DUMMYFUNCTION("""COMPUTED_VALUE"""),0.813953488372093)</f>
        <v>0.8139534884</v>
      </c>
      <c r="C28" s="243">
        <f>IFERROR(__xludf.DUMMYFUNCTION("""COMPUTED_VALUE"""),0.9838709677419355)</f>
        <v>0.9838709677</v>
      </c>
      <c r="D28" s="243">
        <f>IFERROR(__xludf.DUMMYFUNCTION("""COMPUTED_VALUE"""),0.9827586206896551)</f>
        <v>0.9827586207</v>
      </c>
      <c r="E28" s="243">
        <f>IFERROR(__xludf.DUMMYFUNCTION("""COMPUTED_VALUE"""),0.9903846153846154)</f>
        <v>0.9903846154</v>
      </c>
      <c r="F28" s="243">
        <f>IFERROR(__xludf.DUMMYFUNCTION("""COMPUTED_VALUE"""),0.8787878787878788)</f>
        <v>0.8787878788</v>
      </c>
      <c r="G28" s="243">
        <f>IFERROR(__xludf.DUMMYFUNCTION("""COMPUTED_VALUE"""),0.8679245283018868)</f>
        <v>0.8679245283</v>
      </c>
      <c r="H28" s="243">
        <f>IFERROR(__xludf.DUMMYFUNCTION("""COMPUTED_VALUE"""),0.8106060606060606)</f>
        <v>0.8106060606</v>
      </c>
      <c r="I28" s="244">
        <f>IFERROR(__xludf.DUMMYFUNCTION("""COMPUTED_VALUE"""),0.8723404255319149)</f>
        <v>0.8723404255</v>
      </c>
      <c r="J28" s="244">
        <f t="shared" si="3"/>
        <v>0.05838693716</v>
      </c>
      <c r="K28" s="244">
        <f t="shared" si="4"/>
        <v>0.06173436493</v>
      </c>
    </row>
    <row r="29" hidden="1">
      <c r="A29" s="241" t="str">
        <f>IFERROR(__xludf.DUMMYFUNCTION("""COMPUTED_VALUE"""),"BC 172 Hùng Vương-Chư Prông-Gia Lai")</f>
        <v>BC 172 Hùng Vương-Chư Prông-Gia Lai</v>
      </c>
      <c r="B29" s="243">
        <f>IFERROR(__xludf.DUMMYFUNCTION("""COMPUTED_VALUE"""),0.9741379310344828)</f>
        <v>0.974137931</v>
      </c>
      <c r="C29" s="243">
        <f>IFERROR(__xludf.DUMMYFUNCTION("""COMPUTED_VALUE"""),0.9503105590062112)</f>
        <v>0.950310559</v>
      </c>
      <c r="D29" s="243">
        <f>IFERROR(__xludf.DUMMYFUNCTION("""COMPUTED_VALUE"""),0.922077922077922)</f>
        <v>0.9220779221</v>
      </c>
      <c r="E29" s="243">
        <f>IFERROR(__xludf.DUMMYFUNCTION("""COMPUTED_VALUE"""),0.9265536723163842)</f>
        <v>0.9265536723</v>
      </c>
      <c r="F29" s="243">
        <f>IFERROR(__xludf.DUMMYFUNCTION("""COMPUTED_VALUE"""),0.9461538461538461)</f>
        <v>0.9461538462</v>
      </c>
      <c r="G29" s="243">
        <f>IFERROR(__xludf.DUMMYFUNCTION("""COMPUTED_VALUE"""),0.9679144385026738)</f>
        <v>0.9679144385</v>
      </c>
      <c r="H29" s="243">
        <f>IFERROR(__xludf.DUMMYFUNCTION("""COMPUTED_VALUE"""),0.956140350877193)</f>
        <v>0.9561403509</v>
      </c>
      <c r="I29" s="244">
        <f>IFERROR(__xludf.DUMMYFUNCTION("""COMPUTED_VALUE"""),0.8817567567567568)</f>
        <v>0.8817567568</v>
      </c>
      <c r="J29" s="244">
        <f t="shared" si="3"/>
        <v>-0.09238117428</v>
      </c>
      <c r="K29" s="244">
        <f t="shared" si="4"/>
        <v>-0.07438359412</v>
      </c>
    </row>
    <row r="30" hidden="1">
      <c r="A30" s="241" t="str">
        <f>IFERROR(__xludf.DUMMYFUNCTION("""COMPUTED_VALUE"""),"BC 138 Hùng Vương-Phú Thiện-Gia Lai")</f>
        <v>BC 138 Hùng Vương-Phú Thiện-Gia Lai</v>
      </c>
      <c r="B30" s="243">
        <f>IFERROR(__xludf.DUMMYFUNCTION("""COMPUTED_VALUE"""),0.9447513812154696)</f>
        <v>0.9447513812</v>
      </c>
      <c r="C30" s="243">
        <f>IFERROR(__xludf.DUMMYFUNCTION("""COMPUTED_VALUE"""),0.9393939393939394)</f>
        <v>0.9393939394</v>
      </c>
      <c r="D30" s="243">
        <f>IFERROR(__xludf.DUMMYFUNCTION("""COMPUTED_VALUE"""),0.9477124183006536)</f>
        <v>0.9477124183</v>
      </c>
      <c r="E30" s="243">
        <f>IFERROR(__xludf.DUMMYFUNCTION("""COMPUTED_VALUE"""),0.920863309352518)</f>
        <v>0.9208633094</v>
      </c>
      <c r="F30" s="243">
        <f>IFERROR(__xludf.DUMMYFUNCTION("""COMPUTED_VALUE"""),0.9101796407185628)</f>
        <v>0.9101796407</v>
      </c>
      <c r="G30" s="243">
        <f>IFERROR(__xludf.DUMMYFUNCTION("""COMPUTED_VALUE"""),0.9117647058823529)</f>
        <v>0.9117647059</v>
      </c>
      <c r="H30" s="243">
        <f>IFERROR(__xludf.DUMMYFUNCTION("""COMPUTED_VALUE"""),0.9213483146067416)</f>
        <v>0.9213483146</v>
      </c>
      <c r="I30" s="244">
        <f>IFERROR(__xludf.DUMMYFUNCTION("""COMPUTED_VALUE"""),0.888235294117647)</f>
        <v>0.8882352941</v>
      </c>
      <c r="J30" s="244">
        <f t="shared" si="3"/>
        <v>-0.0565160871</v>
      </c>
      <c r="K30" s="244">
        <f t="shared" si="4"/>
        <v>-0.03311302049</v>
      </c>
    </row>
    <row r="31" hidden="1">
      <c r="A31" s="241" t="str">
        <f>IFERROR(__xludf.DUMMYFUNCTION("""COMPUTED_VALUE"""),"BC 172 Quang Trung-Đức Cơ-Gia Lai")</f>
        <v>BC 172 Quang Trung-Đức Cơ-Gia Lai</v>
      </c>
      <c r="B31" s="243">
        <f>IFERROR(__xludf.DUMMYFUNCTION("""COMPUTED_VALUE"""),0.9304347826086956)</f>
        <v>0.9304347826</v>
      </c>
      <c r="C31" s="243">
        <f>IFERROR(__xludf.DUMMYFUNCTION("""COMPUTED_VALUE"""),0.9175257731958762)</f>
        <v>0.9175257732</v>
      </c>
      <c r="D31" s="243">
        <f>IFERROR(__xludf.DUMMYFUNCTION("""COMPUTED_VALUE"""),0.9111111111111111)</f>
        <v>0.9111111111</v>
      </c>
      <c r="E31" s="243">
        <f>IFERROR(__xludf.DUMMYFUNCTION("""COMPUTED_VALUE"""),0.8676470588235294)</f>
        <v>0.8676470588</v>
      </c>
      <c r="F31" s="243">
        <f>IFERROR(__xludf.DUMMYFUNCTION("""COMPUTED_VALUE"""),0.8934426229508197)</f>
        <v>0.893442623</v>
      </c>
      <c r="G31" s="243">
        <f>IFERROR(__xludf.DUMMYFUNCTION("""COMPUTED_VALUE"""),0.8813559322033898)</f>
        <v>0.8813559322</v>
      </c>
      <c r="H31" s="243">
        <f>IFERROR(__xludf.DUMMYFUNCTION("""COMPUTED_VALUE"""),0.7840909090909091)</f>
        <v>0.7840909091</v>
      </c>
      <c r="I31" s="244">
        <f>IFERROR(__xludf.DUMMYFUNCTION("""COMPUTED_VALUE"""),0.8910256410256411)</f>
        <v>0.891025641</v>
      </c>
      <c r="J31" s="244">
        <f t="shared" si="3"/>
        <v>-0.03940914158</v>
      </c>
      <c r="K31" s="244">
        <f t="shared" si="4"/>
        <v>0.1069347319</v>
      </c>
    </row>
    <row r="32" hidden="1">
      <c r="A32" s="241" t="str">
        <f>IFERROR(__xludf.DUMMYFUNCTION("""COMPUTED_VALUE"""),"BC 39 Nguyễn Huệ-Ayun Pa-Gia Lai")</f>
        <v>BC 39 Nguyễn Huệ-Ayun Pa-Gia Lai</v>
      </c>
      <c r="B32" s="243">
        <f>IFERROR(__xludf.DUMMYFUNCTION("""COMPUTED_VALUE"""),0.9540229885057471)</f>
        <v>0.9540229885</v>
      </c>
      <c r="C32" s="243">
        <f>IFERROR(__xludf.DUMMYFUNCTION("""COMPUTED_VALUE"""),0.9310344827586207)</f>
        <v>0.9310344828</v>
      </c>
      <c r="D32" s="243">
        <f>IFERROR(__xludf.DUMMYFUNCTION("""COMPUTED_VALUE"""),0.9083969465648855)</f>
        <v>0.9083969466</v>
      </c>
      <c r="E32" s="243">
        <f>IFERROR(__xludf.DUMMYFUNCTION("""COMPUTED_VALUE"""),0.9328358208955224)</f>
        <v>0.9328358209</v>
      </c>
      <c r="F32" s="243">
        <f>IFERROR(__xludf.DUMMYFUNCTION("""COMPUTED_VALUE"""),0.8679245283018868)</f>
        <v>0.8679245283</v>
      </c>
      <c r="G32" s="243">
        <f>IFERROR(__xludf.DUMMYFUNCTION("""COMPUTED_VALUE"""),0.9357798165137615)</f>
        <v>0.9357798165</v>
      </c>
      <c r="H32" s="243">
        <f>IFERROR(__xludf.DUMMYFUNCTION("""COMPUTED_VALUE"""),0.8924731182795699)</f>
        <v>0.8924731183</v>
      </c>
      <c r="I32" s="244">
        <f>IFERROR(__xludf.DUMMYFUNCTION("""COMPUTED_VALUE"""),0.9084967320261438)</f>
        <v>0.908496732</v>
      </c>
      <c r="J32" s="244">
        <f t="shared" si="3"/>
        <v>-0.04552625648</v>
      </c>
      <c r="K32" s="244">
        <f t="shared" si="4"/>
        <v>0.01602361375</v>
      </c>
    </row>
    <row r="33" hidden="1">
      <c r="A33" s="241" t="str">
        <f>IFERROR(__xludf.DUMMYFUNCTION("""COMPUTED_VALUE"""),"BC 61 Quang Trung-Xã Vân Canh-Bình Định")</f>
        <v>BC 61 Quang Trung-Xã Vân Canh-Bình Định</v>
      </c>
      <c r="B33" s="243">
        <f>IFERROR(__xludf.DUMMYFUNCTION("""COMPUTED_VALUE"""),1.0)</f>
        <v>1</v>
      </c>
      <c r="C33" s="243">
        <f>IFERROR(__xludf.DUMMYFUNCTION("""COMPUTED_VALUE"""),0.9259259259259259)</f>
        <v>0.9259259259</v>
      </c>
      <c r="D33" s="243">
        <f>IFERROR(__xludf.DUMMYFUNCTION("""COMPUTED_VALUE"""),0.9347826086956522)</f>
        <v>0.9347826087</v>
      </c>
      <c r="E33" s="243">
        <f>IFERROR(__xludf.DUMMYFUNCTION("""COMPUTED_VALUE"""),0.926829268292683)</f>
        <v>0.9268292683</v>
      </c>
      <c r="F33" s="243">
        <f>IFERROR(__xludf.DUMMYFUNCTION("""COMPUTED_VALUE"""),0.9272727272727272)</f>
        <v>0.9272727273</v>
      </c>
      <c r="G33" s="243">
        <f>IFERROR(__xludf.DUMMYFUNCTION("""COMPUTED_VALUE"""),0.9)</f>
        <v>0.9</v>
      </c>
      <c r="H33" s="243">
        <f>IFERROR(__xludf.DUMMYFUNCTION("""COMPUTED_VALUE"""),0.95)</f>
        <v>0.95</v>
      </c>
      <c r="I33" s="244">
        <f>IFERROR(__xludf.DUMMYFUNCTION("""COMPUTED_VALUE"""),0.9113924050632911)</f>
        <v>0.9113924051</v>
      </c>
      <c r="J33" s="244">
        <f t="shared" si="3"/>
        <v>-0.08860759494</v>
      </c>
      <c r="K33" s="244">
        <f t="shared" si="4"/>
        <v>-0.03860759494</v>
      </c>
    </row>
    <row r="34" hidden="1">
      <c r="A34" s="241" t="str">
        <f>IFERROR(__xludf.DUMMYFUNCTION("""COMPUTED_VALUE"""),"BC 327A Cách Mạng Tháng 8-Pleiku-Gia Lai")</f>
        <v>BC 327A Cách Mạng Tháng 8-Pleiku-Gia Lai</v>
      </c>
      <c r="B34" s="243">
        <f>IFERROR(__xludf.DUMMYFUNCTION("""COMPUTED_VALUE"""),0.9722222222222222)</f>
        <v>0.9722222222</v>
      </c>
      <c r="C34" s="243">
        <f>IFERROR(__xludf.DUMMYFUNCTION("""COMPUTED_VALUE"""),0.9938650306748467)</f>
        <v>0.9938650307</v>
      </c>
      <c r="D34" s="243">
        <f>IFERROR(__xludf.DUMMYFUNCTION("""COMPUTED_VALUE"""),0.9130434782608695)</f>
        <v>0.9130434783</v>
      </c>
      <c r="E34" s="243">
        <f>IFERROR(__xludf.DUMMYFUNCTION("""COMPUTED_VALUE"""),0.9459459459459459)</f>
        <v>0.9459459459</v>
      </c>
      <c r="F34" s="243">
        <f>IFERROR(__xludf.DUMMYFUNCTION("""COMPUTED_VALUE"""),0.9758064516129032)</f>
        <v>0.9758064516</v>
      </c>
      <c r="G34" s="243">
        <f>IFERROR(__xludf.DUMMYFUNCTION("""COMPUTED_VALUE"""),0.9467455621301775)</f>
        <v>0.9467455621</v>
      </c>
      <c r="H34" s="243">
        <f>IFERROR(__xludf.DUMMYFUNCTION("""COMPUTED_VALUE"""),0.9541284403669725)</f>
        <v>0.9541284404</v>
      </c>
      <c r="I34" s="245">
        <f>IFERROR(__xludf.DUMMYFUNCTION("""COMPUTED_VALUE"""),0.9146341463414634)</f>
        <v>0.9146341463</v>
      </c>
      <c r="J34" s="244">
        <f t="shared" si="3"/>
        <v>-0.05758807588</v>
      </c>
      <c r="K34" s="244">
        <f t="shared" si="4"/>
        <v>-0.03949429403</v>
      </c>
      <c r="L34" s="171"/>
      <c r="M34" s="171"/>
      <c r="N34" s="171"/>
      <c r="O34" s="171"/>
    </row>
    <row r="35" hidden="1">
      <c r="A35" s="241" t="str">
        <f>IFERROR(__xludf.DUMMYFUNCTION("""COMPUTED_VALUE"""),"BC 941 Giải Phóng-Ea Đrăng-Ea H'Leo-Đắk Lắk")</f>
        <v>BC 941 Giải Phóng-Ea Đrăng-Ea H'Leo-Đắk Lắk</v>
      </c>
      <c r="B35" s="243">
        <f>IFERROR(__xludf.DUMMYFUNCTION("""COMPUTED_VALUE"""),0.9438202247191011)</f>
        <v>0.9438202247</v>
      </c>
      <c r="C35" s="243">
        <f>IFERROR(__xludf.DUMMYFUNCTION("""COMPUTED_VALUE"""),0.8981481481481481)</f>
        <v>0.8981481481</v>
      </c>
      <c r="D35" s="243">
        <f>IFERROR(__xludf.DUMMYFUNCTION("""COMPUTED_VALUE"""),0.9435483870967742)</f>
        <v>0.9435483871</v>
      </c>
      <c r="E35" s="243">
        <f>IFERROR(__xludf.DUMMYFUNCTION("""COMPUTED_VALUE"""),0.9583333333333334)</f>
        <v>0.9583333333</v>
      </c>
      <c r="F35" s="243">
        <f>IFERROR(__xludf.DUMMYFUNCTION("""COMPUTED_VALUE"""),0.9159663865546218)</f>
        <v>0.9159663866</v>
      </c>
      <c r="G35" s="243">
        <f>IFERROR(__xludf.DUMMYFUNCTION("""COMPUTED_VALUE"""),0.9304347826086956)</f>
        <v>0.9304347826</v>
      </c>
      <c r="H35" s="243">
        <f>IFERROR(__xludf.DUMMYFUNCTION("""COMPUTED_VALUE"""),0.9711538461538461)</f>
        <v>0.9711538462</v>
      </c>
      <c r="I35" s="245">
        <f>IFERROR(__xludf.DUMMYFUNCTION("""COMPUTED_VALUE"""),0.9157894736842105)</f>
        <v>0.9157894737</v>
      </c>
      <c r="J35" s="244">
        <f t="shared" si="3"/>
        <v>-0.02803075103</v>
      </c>
      <c r="K35" s="244">
        <f t="shared" si="4"/>
        <v>-0.05536437247</v>
      </c>
      <c r="L35" s="171"/>
      <c r="M35" s="171"/>
      <c r="N35" s="171"/>
      <c r="O35" s="171"/>
    </row>
    <row r="36" hidden="1">
      <c r="A36" s="246" t="str">
        <f>IFERROR(__xludf.DUMMYFUNCTION("""COMPUTED_VALUE"""),"BC 01 An Bình-Ea KNốp-Ea Kar-Đắk Lắk")</f>
        <v>BC 01 An Bình-Ea KNốp-Ea Kar-Đắk Lắk</v>
      </c>
      <c r="B36" s="245">
        <f>IFERROR(__xludf.DUMMYFUNCTION("""COMPUTED_VALUE"""),0.9038461538461539)</f>
        <v>0.9038461538</v>
      </c>
      <c r="C36" s="245">
        <f>IFERROR(__xludf.DUMMYFUNCTION("""COMPUTED_VALUE"""),1.0)</f>
        <v>1</v>
      </c>
      <c r="D36" s="245">
        <f>IFERROR(__xludf.DUMMYFUNCTION("""COMPUTED_VALUE"""),0.9538461538461539)</f>
        <v>0.9538461538</v>
      </c>
      <c r="E36" s="245">
        <f>IFERROR(__xludf.DUMMYFUNCTION("""COMPUTED_VALUE"""),0.835820895522388)</f>
        <v>0.8358208955</v>
      </c>
      <c r="F36" s="245">
        <f>IFERROR(__xludf.DUMMYFUNCTION("""COMPUTED_VALUE"""),0.8088235294117647)</f>
        <v>0.8088235294</v>
      </c>
      <c r="G36" s="245">
        <f>IFERROR(__xludf.DUMMYFUNCTION("""COMPUTED_VALUE"""),0.8356164383561644)</f>
        <v>0.8356164384</v>
      </c>
      <c r="H36" s="245">
        <f>IFERROR(__xludf.DUMMYFUNCTION("""COMPUTED_VALUE"""),0.9130434782608695)</f>
        <v>0.9130434783</v>
      </c>
      <c r="I36" s="245">
        <f>IFERROR(__xludf.DUMMYFUNCTION("""COMPUTED_VALUE"""),0.9178082191780822)</f>
        <v>0.9178082192</v>
      </c>
      <c r="J36" s="244">
        <f t="shared" si="3"/>
        <v>0.01396206533</v>
      </c>
      <c r="K36" s="244">
        <f t="shared" si="4"/>
        <v>0.004764740917</v>
      </c>
      <c r="L36" s="171"/>
      <c r="M36" s="171"/>
      <c r="N36" s="171"/>
      <c r="O36" s="171"/>
    </row>
    <row r="37" hidden="1">
      <c r="A37" s="246" t="str">
        <f>IFERROR(__xludf.DUMMYFUNCTION("""COMPUTED_VALUE"""),"BC Ea Phê-Krông Pắk-Đắk Lắk")</f>
        <v>BC Ea Phê-Krông Pắk-Đắk Lắk</v>
      </c>
      <c r="B37" s="245">
        <f>IFERROR(__xludf.DUMMYFUNCTION("""COMPUTED_VALUE"""),0.935064935064935)</f>
        <v>0.9350649351</v>
      </c>
      <c r="C37" s="245">
        <f>IFERROR(__xludf.DUMMYFUNCTION("""COMPUTED_VALUE"""),0.9186046511627907)</f>
        <v>0.9186046512</v>
      </c>
      <c r="D37" s="245">
        <f>IFERROR(__xludf.DUMMYFUNCTION("""COMPUTED_VALUE"""),0.9705882352941176)</f>
        <v>0.9705882353</v>
      </c>
      <c r="E37" s="245">
        <f>IFERROR(__xludf.DUMMYFUNCTION("""COMPUTED_VALUE"""),0.8765432098765432)</f>
        <v>0.8765432099</v>
      </c>
      <c r="F37" s="245">
        <f>IFERROR(__xludf.DUMMYFUNCTION("""COMPUTED_VALUE"""),0.9058823529411765)</f>
        <v>0.9058823529</v>
      </c>
      <c r="G37" s="245">
        <f>IFERROR(__xludf.DUMMYFUNCTION("""COMPUTED_VALUE"""),0.9552238805970149)</f>
        <v>0.9552238806</v>
      </c>
      <c r="H37" s="245">
        <f>IFERROR(__xludf.DUMMYFUNCTION("""COMPUTED_VALUE"""),0.8095238095238095)</f>
        <v>0.8095238095</v>
      </c>
      <c r="I37" s="245">
        <f>IFERROR(__xludf.DUMMYFUNCTION("""COMPUTED_VALUE"""),0.9213483146067416)</f>
        <v>0.9213483146</v>
      </c>
      <c r="J37" s="244">
        <f t="shared" si="3"/>
        <v>-0.01371662046</v>
      </c>
      <c r="K37" s="244">
        <f t="shared" si="4"/>
        <v>0.1118245051</v>
      </c>
      <c r="L37" s="171"/>
      <c r="M37" s="171"/>
      <c r="N37" s="171"/>
      <c r="O37" s="171"/>
    </row>
    <row r="38" hidden="1">
      <c r="A38" s="246" t="str">
        <f>IFERROR(__xludf.DUMMYFUNCTION("""COMPUTED_VALUE"""),"BC 236A Nguyễn Huệ-Đak Đoa-Gia Lai")</f>
        <v>BC 236A Nguyễn Huệ-Đak Đoa-Gia Lai</v>
      </c>
      <c r="B38" s="245">
        <f>IFERROR(__xludf.DUMMYFUNCTION("""COMPUTED_VALUE"""),0.9158415841584159)</f>
        <v>0.9158415842</v>
      </c>
      <c r="C38" s="245">
        <f>IFERROR(__xludf.DUMMYFUNCTION("""COMPUTED_VALUE"""),0.9044585987261147)</f>
        <v>0.9044585987</v>
      </c>
      <c r="D38" s="245">
        <f>IFERROR(__xludf.DUMMYFUNCTION("""COMPUTED_VALUE"""),0.8677248677248677)</f>
        <v>0.8677248677</v>
      </c>
      <c r="E38" s="245">
        <f>IFERROR(__xludf.DUMMYFUNCTION("""COMPUTED_VALUE"""),0.9319371727748691)</f>
        <v>0.9319371728</v>
      </c>
      <c r="F38" s="245">
        <f>IFERROR(__xludf.DUMMYFUNCTION("""COMPUTED_VALUE"""),0.8615384615384616)</f>
        <v>0.8615384615</v>
      </c>
      <c r="G38" s="245">
        <f>IFERROR(__xludf.DUMMYFUNCTION("""COMPUTED_VALUE"""),0.9038461538461539)</f>
        <v>0.9038461538</v>
      </c>
      <c r="H38" s="245">
        <f>IFERROR(__xludf.DUMMYFUNCTION("""COMPUTED_VALUE"""),0.9298245614035088)</f>
        <v>0.9298245614</v>
      </c>
      <c r="I38" s="245">
        <f>IFERROR(__xludf.DUMMYFUNCTION("""COMPUTED_VALUE"""),0.9227272727272727)</f>
        <v>0.9227272727</v>
      </c>
      <c r="J38" s="244">
        <f t="shared" si="3"/>
        <v>0.006885688569</v>
      </c>
      <c r="K38" s="244">
        <f t="shared" si="4"/>
        <v>-0.007097288676</v>
      </c>
      <c r="L38" s="171"/>
      <c r="M38" s="171"/>
      <c r="N38" s="171"/>
      <c r="O38" s="171"/>
    </row>
    <row r="39" hidden="1">
      <c r="A39" s="246" t="str">
        <f>IFERROR(__xludf.DUMMYFUNCTION("""COMPUTED_VALUE"""),"BC 153 Hùng Vương-Ia Grai-Gia Lai")</f>
        <v>BC 153 Hùng Vương-Ia Grai-Gia Lai</v>
      </c>
      <c r="B39" s="245">
        <f>IFERROR(__xludf.DUMMYFUNCTION("""COMPUTED_VALUE"""),0.912568306010929)</f>
        <v>0.912568306</v>
      </c>
      <c r="C39" s="245">
        <f>IFERROR(__xludf.DUMMYFUNCTION("""COMPUTED_VALUE"""),0.9479166666666666)</f>
        <v>0.9479166667</v>
      </c>
      <c r="D39" s="245">
        <f>IFERROR(__xludf.DUMMYFUNCTION("""COMPUTED_VALUE"""),0.9681528662420382)</f>
        <v>0.9681528662</v>
      </c>
      <c r="E39" s="245">
        <f>IFERROR(__xludf.DUMMYFUNCTION("""COMPUTED_VALUE"""),0.928)</f>
        <v>0.928</v>
      </c>
      <c r="F39" s="245">
        <f>IFERROR(__xludf.DUMMYFUNCTION("""COMPUTED_VALUE"""),0.9266666666666666)</f>
        <v>0.9266666667</v>
      </c>
      <c r="G39" s="245">
        <f>IFERROR(__xludf.DUMMYFUNCTION("""COMPUTED_VALUE"""),0.9481481481481482)</f>
        <v>0.9481481481</v>
      </c>
      <c r="H39" s="245">
        <f>IFERROR(__xludf.DUMMYFUNCTION("""COMPUTED_VALUE"""),0.9325842696629213)</f>
        <v>0.9325842697</v>
      </c>
      <c r="I39" s="245">
        <f>IFERROR(__xludf.DUMMYFUNCTION("""COMPUTED_VALUE"""),0.9244186046511628)</f>
        <v>0.9244186047</v>
      </c>
      <c r="J39" s="244">
        <f t="shared" si="3"/>
        <v>0.01185029864</v>
      </c>
      <c r="K39" s="244">
        <f t="shared" si="4"/>
        <v>-0.008165665012</v>
      </c>
      <c r="L39" s="171"/>
      <c r="M39" s="171"/>
      <c r="N39" s="171"/>
      <c r="O39" s="171"/>
    </row>
    <row r="40" hidden="1">
      <c r="A40" s="246" t="str">
        <f>IFERROR(__xludf.DUMMYFUNCTION("""COMPUTED_VALUE"""),"BC 499 Phạm Văn Đồng-Pleiku-Gia Lai")</f>
        <v>BC 499 Phạm Văn Đồng-Pleiku-Gia Lai</v>
      </c>
      <c r="B40" s="245">
        <f>IFERROR(__xludf.DUMMYFUNCTION("""COMPUTED_VALUE"""),0.9765258215962441)</f>
        <v>0.9765258216</v>
      </c>
      <c r="C40" s="245">
        <f>IFERROR(__xludf.DUMMYFUNCTION("""COMPUTED_VALUE"""),0.9693877551020408)</f>
        <v>0.9693877551</v>
      </c>
      <c r="D40" s="245">
        <f>IFERROR(__xludf.DUMMYFUNCTION("""COMPUTED_VALUE"""),0.9776119402985075)</f>
        <v>0.9776119403</v>
      </c>
      <c r="E40" s="245">
        <f>IFERROR(__xludf.DUMMYFUNCTION("""COMPUTED_VALUE"""),0.9252336448598131)</f>
        <v>0.9252336449</v>
      </c>
      <c r="F40" s="245">
        <f>IFERROR(__xludf.DUMMYFUNCTION("""COMPUTED_VALUE"""),0.9461077844311377)</f>
        <v>0.9461077844</v>
      </c>
      <c r="G40" s="245">
        <f>IFERROR(__xludf.DUMMYFUNCTION("""COMPUTED_VALUE"""),0.9391891891891891)</f>
        <v>0.9391891892</v>
      </c>
      <c r="H40" s="245">
        <f>IFERROR(__xludf.DUMMYFUNCTION("""COMPUTED_VALUE"""),0.8857142857142857)</f>
        <v>0.8857142857</v>
      </c>
      <c r="I40" s="245">
        <f>IFERROR(__xludf.DUMMYFUNCTION("""COMPUTED_VALUE"""),0.9282511210762332)</f>
        <v>0.9282511211</v>
      </c>
      <c r="J40" s="244">
        <f t="shared" si="3"/>
        <v>-0.04827470052</v>
      </c>
      <c r="K40" s="244">
        <f t="shared" si="4"/>
        <v>0.04253683536</v>
      </c>
      <c r="L40" s="171"/>
      <c r="M40" s="171"/>
      <c r="N40" s="171"/>
      <c r="O40" s="171"/>
    </row>
    <row r="41" hidden="1">
      <c r="A41" s="246" t="str">
        <f>IFERROR(__xludf.DUMMYFUNCTION("""COMPUTED_VALUE"""),"BC 56 Đường 17 Tháng 3-Chư Sê-Gia Lai")</f>
        <v>BC 56 Đường 17 Tháng 3-Chư Sê-Gia Lai</v>
      </c>
      <c r="B41" s="245">
        <f>IFERROR(__xludf.DUMMYFUNCTION("""COMPUTED_VALUE"""),0.9263803680981595)</f>
        <v>0.9263803681</v>
      </c>
      <c r="C41" s="245">
        <f>IFERROR(__xludf.DUMMYFUNCTION("""COMPUTED_VALUE"""),0.954954954954955)</f>
        <v>0.954954955</v>
      </c>
      <c r="D41" s="245">
        <f>IFERROR(__xludf.DUMMYFUNCTION("""COMPUTED_VALUE"""),0.9454545454545454)</f>
        <v>0.9454545455</v>
      </c>
      <c r="E41" s="245">
        <f>IFERROR(__xludf.DUMMYFUNCTION("""COMPUTED_VALUE"""),0.8926174496644296)</f>
        <v>0.8926174497</v>
      </c>
      <c r="F41" s="245">
        <f>IFERROR(__xludf.DUMMYFUNCTION("""COMPUTED_VALUE"""),0.9580838323353293)</f>
        <v>0.9580838323</v>
      </c>
      <c r="G41" s="245">
        <f>IFERROR(__xludf.DUMMYFUNCTION("""COMPUTED_VALUE"""),0.9558823529411765)</f>
        <v>0.9558823529</v>
      </c>
      <c r="H41" s="245">
        <f>IFERROR(__xludf.DUMMYFUNCTION("""COMPUTED_VALUE"""),0.8787878787878788)</f>
        <v>0.8787878788</v>
      </c>
      <c r="I41" s="245">
        <f>IFERROR(__xludf.DUMMYFUNCTION("""COMPUTED_VALUE"""),0.9318181818181818)</f>
        <v>0.9318181818</v>
      </c>
      <c r="J41" s="244">
        <f t="shared" si="3"/>
        <v>0.00543781372</v>
      </c>
      <c r="K41" s="244">
        <f t="shared" si="4"/>
        <v>0.05303030303</v>
      </c>
      <c r="L41" s="171"/>
      <c r="M41" s="171"/>
      <c r="N41" s="171"/>
      <c r="O41" s="171"/>
    </row>
    <row r="42" hidden="1">
      <c r="A42" s="246" t="str">
        <f>IFERROR(__xludf.DUMMYFUNCTION("""COMPUTED_VALUE"""),"BC Km18-Cư Kuin-Đắk Lắk")</f>
        <v>BC Km18-Cư Kuin-Đắk Lắk</v>
      </c>
      <c r="B42" s="245">
        <f>IFERROR(__xludf.DUMMYFUNCTION("""COMPUTED_VALUE"""),0.9629629629629629)</f>
        <v>0.962962963</v>
      </c>
      <c r="C42" s="245">
        <f>IFERROR(__xludf.DUMMYFUNCTION("""COMPUTED_VALUE"""),0.967741935483871)</f>
        <v>0.9677419355</v>
      </c>
      <c r="D42" s="245">
        <f>IFERROR(__xludf.DUMMYFUNCTION("""COMPUTED_VALUE"""),0.99)</f>
        <v>0.99</v>
      </c>
      <c r="E42" s="245">
        <f>IFERROR(__xludf.DUMMYFUNCTION("""COMPUTED_VALUE"""),0.928)</f>
        <v>0.928</v>
      </c>
      <c r="F42" s="245">
        <f>IFERROR(__xludf.DUMMYFUNCTION("""COMPUTED_VALUE"""),0.9552238805970149)</f>
        <v>0.9552238806</v>
      </c>
      <c r="G42" s="245">
        <f>IFERROR(__xludf.DUMMYFUNCTION("""COMPUTED_VALUE"""),0.9384615384615385)</f>
        <v>0.9384615385</v>
      </c>
      <c r="H42" s="245">
        <f>IFERROR(__xludf.DUMMYFUNCTION("""COMPUTED_VALUE"""),0.94)</f>
        <v>0.94</v>
      </c>
      <c r="I42" s="245">
        <f>IFERROR(__xludf.DUMMYFUNCTION("""COMPUTED_VALUE"""),0.9326923076923077)</f>
        <v>0.9326923077</v>
      </c>
      <c r="J42" s="244">
        <f t="shared" si="3"/>
        <v>-0.03027065527</v>
      </c>
      <c r="K42" s="244">
        <f t="shared" si="4"/>
        <v>-0.007307692308</v>
      </c>
      <c r="L42" s="171"/>
      <c r="M42" s="171"/>
      <c r="N42" s="171"/>
      <c r="O42" s="171"/>
    </row>
    <row r="43" hidden="1">
      <c r="A43" s="246" t="str">
        <f>IFERROR(__xludf.DUMMYFUNCTION("""COMPUTED_VALUE"""),"BC 204 Trần Hưng Đạo-Buôn Hồ-Đắk Lắk")</f>
        <v>BC 204 Trần Hưng Đạo-Buôn Hồ-Đắk Lắk</v>
      </c>
      <c r="B43" s="245">
        <f>IFERROR(__xludf.DUMMYFUNCTION("""COMPUTED_VALUE"""),0.9552238805970149)</f>
        <v>0.9552238806</v>
      </c>
      <c r="C43" s="245">
        <f>IFERROR(__xludf.DUMMYFUNCTION("""COMPUTED_VALUE"""),0.9664429530201343)</f>
        <v>0.966442953</v>
      </c>
      <c r="D43" s="245">
        <f>IFERROR(__xludf.DUMMYFUNCTION("""COMPUTED_VALUE"""),0.9919354838709677)</f>
        <v>0.9919354839</v>
      </c>
      <c r="E43" s="245">
        <f>IFERROR(__xludf.DUMMYFUNCTION("""COMPUTED_VALUE"""),0.9328859060402684)</f>
        <v>0.932885906</v>
      </c>
      <c r="F43" s="245">
        <f>IFERROR(__xludf.DUMMYFUNCTION("""COMPUTED_VALUE"""),0.9300699300699301)</f>
        <v>0.9300699301</v>
      </c>
      <c r="G43" s="245">
        <f>IFERROR(__xludf.DUMMYFUNCTION("""COMPUTED_VALUE"""),0.937007874015748)</f>
        <v>0.937007874</v>
      </c>
      <c r="H43" s="245">
        <f>IFERROR(__xludf.DUMMYFUNCTION("""COMPUTED_VALUE"""),0.9485294117647058)</f>
        <v>0.9485294118</v>
      </c>
      <c r="I43" s="245">
        <f>IFERROR(__xludf.DUMMYFUNCTION("""COMPUTED_VALUE"""),0.937984496124031)</f>
        <v>0.9379844961</v>
      </c>
      <c r="J43" s="244">
        <f t="shared" si="3"/>
        <v>-0.01723938447</v>
      </c>
      <c r="K43" s="244">
        <f t="shared" si="4"/>
        <v>-0.01054491564</v>
      </c>
      <c r="L43" s="171"/>
      <c r="M43" s="171"/>
      <c r="N43" s="171"/>
      <c r="O43" s="171"/>
    </row>
    <row r="44" hidden="1">
      <c r="A44" s="247" t="str">
        <f>IFERROR(__xludf.DUMMYFUNCTION("""COMPUTED_VALUE"""),"BC 274 Hùng Vương-Chư Pưh-Gia Lai")</f>
        <v>BC 274 Hùng Vương-Chư Pưh-Gia Lai</v>
      </c>
      <c r="B44" s="244">
        <f>IFERROR(__xludf.DUMMYFUNCTION("""COMPUTED_VALUE"""),0.9468085106382979)</f>
        <v>0.9468085106</v>
      </c>
      <c r="C44" s="244">
        <f>IFERROR(__xludf.DUMMYFUNCTION("""COMPUTED_VALUE"""),0.975609756097561)</f>
        <v>0.9756097561</v>
      </c>
      <c r="D44" s="244">
        <f>IFERROR(__xludf.DUMMYFUNCTION("""COMPUTED_VALUE"""),0.9253731343283582)</f>
        <v>0.9253731343</v>
      </c>
      <c r="E44" s="244">
        <f>IFERROR(__xludf.DUMMYFUNCTION("""COMPUTED_VALUE"""),0.9523809523809523)</f>
        <v>0.9523809524</v>
      </c>
      <c r="F44" s="244">
        <f>IFERROR(__xludf.DUMMYFUNCTION("""COMPUTED_VALUE"""),0.9342105263157895)</f>
        <v>0.9342105263</v>
      </c>
      <c r="G44" s="244">
        <f>IFERROR(__xludf.DUMMYFUNCTION("""COMPUTED_VALUE"""),0.935064935064935)</f>
        <v>0.9350649351</v>
      </c>
      <c r="H44" s="244">
        <f>IFERROR(__xludf.DUMMYFUNCTION("""COMPUTED_VALUE"""),0.9534883720930233)</f>
        <v>0.9534883721</v>
      </c>
      <c r="I44" s="244">
        <f>IFERROR(__xludf.DUMMYFUNCTION("""COMPUTED_VALUE"""),0.9380530973451328)</f>
        <v>0.9380530973</v>
      </c>
      <c r="J44" s="244">
        <f t="shared" si="3"/>
        <v>-0.008755413293</v>
      </c>
      <c r="K44" s="244">
        <f t="shared" si="4"/>
        <v>-0.01543527475</v>
      </c>
    </row>
    <row r="45" hidden="1">
      <c r="A45" s="247" t="str">
        <f>IFERROR(__xludf.DUMMYFUNCTION("""COMPUTED_VALUE"""),"BC Thị Trấn Phú Thứ-Tây Hoà-Phú Yên")</f>
        <v>BC Thị Trấn Phú Thứ-Tây Hoà-Phú Yên</v>
      </c>
      <c r="B45" s="244">
        <f>IFERROR(__xludf.DUMMYFUNCTION("""COMPUTED_VALUE"""),1.0)</f>
        <v>1</v>
      </c>
      <c r="C45" s="244">
        <f>IFERROR(__xludf.DUMMYFUNCTION("""COMPUTED_VALUE"""),1.0)</f>
        <v>1</v>
      </c>
      <c r="D45" s="244">
        <f>IFERROR(__xludf.DUMMYFUNCTION("""COMPUTED_VALUE"""),0.9754098360655737)</f>
        <v>0.9754098361</v>
      </c>
      <c r="E45" s="244">
        <f>IFERROR(__xludf.DUMMYFUNCTION("""COMPUTED_VALUE"""),1.0)</f>
        <v>1</v>
      </c>
      <c r="F45" s="244">
        <f>IFERROR(__xludf.DUMMYFUNCTION("""COMPUTED_VALUE"""),0.968)</f>
        <v>0.968</v>
      </c>
      <c r="G45" s="244">
        <f>IFERROR(__xludf.DUMMYFUNCTION("""COMPUTED_VALUE"""),0.9821428571428571)</f>
        <v>0.9821428571</v>
      </c>
      <c r="H45" s="244">
        <f>IFERROR(__xludf.DUMMYFUNCTION("""COMPUTED_VALUE"""),1.0)</f>
        <v>1</v>
      </c>
      <c r="I45" s="244">
        <f>IFERROR(__xludf.DUMMYFUNCTION("""COMPUTED_VALUE"""),0.9390243902439024)</f>
        <v>0.9390243902</v>
      </c>
      <c r="J45" s="244">
        <f t="shared" si="3"/>
        <v>-0.06097560976</v>
      </c>
      <c r="K45" s="244">
        <f t="shared" si="4"/>
        <v>-0.06097560976</v>
      </c>
    </row>
    <row r="46" hidden="1">
      <c r="A46" s="247" t="str">
        <f>IFERROR(__xludf.DUMMYFUNCTION("""COMPUTED_VALUE"""),"BC 03 Trần Hưng Đạo-Krông Pắc-Đắk Lắk")</f>
        <v>BC 03 Trần Hưng Đạo-Krông Pắc-Đắk Lắk</v>
      </c>
      <c r="B46" s="244">
        <f>IFERROR(__xludf.DUMMYFUNCTION("""COMPUTED_VALUE"""),0.9864864864864865)</f>
        <v>0.9864864865</v>
      </c>
      <c r="C46" s="244">
        <f>IFERROR(__xludf.DUMMYFUNCTION("""COMPUTED_VALUE"""),0.9885057471264368)</f>
        <v>0.9885057471</v>
      </c>
      <c r="D46" s="244">
        <f>IFERROR(__xludf.DUMMYFUNCTION("""COMPUTED_VALUE"""),0.9880239520958084)</f>
        <v>0.9880239521</v>
      </c>
      <c r="E46" s="244">
        <f>IFERROR(__xludf.DUMMYFUNCTION("""COMPUTED_VALUE"""),0.9842931937172775)</f>
        <v>0.9842931937</v>
      </c>
      <c r="F46" s="244">
        <f>IFERROR(__xludf.DUMMYFUNCTION("""COMPUTED_VALUE"""),0.985)</f>
        <v>0.985</v>
      </c>
      <c r="G46" s="244">
        <f>IFERROR(__xludf.DUMMYFUNCTION("""COMPUTED_VALUE"""),0.9851851851851852)</f>
        <v>0.9851851852</v>
      </c>
      <c r="H46" s="244">
        <f>IFERROR(__xludf.DUMMYFUNCTION("""COMPUTED_VALUE"""),0.974025974025974)</f>
        <v>0.974025974</v>
      </c>
      <c r="I46" s="244">
        <f>IFERROR(__xludf.DUMMYFUNCTION("""COMPUTED_VALUE"""),0.9403973509933775)</f>
        <v>0.940397351</v>
      </c>
      <c r="J46" s="244">
        <f t="shared" si="3"/>
        <v>-0.04608913549</v>
      </c>
      <c r="K46" s="244">
        <f t="shared" si="4"/>
        <v>-0.03362862303</v>
      </c>
    </row>
    <row r="47" hidden="1">
      <c r="A47" s="247" t="str">
        <f>IFERROR(__xludf.DUMMYFUNCTION("""COMPUTED_VALUE"""),"BC 569 Trường Chinh-Pleiku-Gia Lai")</f>
        <v>BC 569 Trường Chinh-Pleiku-Gia Lai</v>
      </c>
      <c r="B47" s="244">
        <f>IFERROR(__xludf.DUMMYFUNCTION("""COMPUTED_VALUE"""),0.9585492227979274)</f>
        <v>0.9585492228</v>
      </c>
      <c r="C47" s="244">
        <f>IFERROR(__xludf.DUMMYFUNCTION("""COMPUTED_VALUE"""),0.9875776397515528)</f>
        <v>0.9875776398</v>
      </c>
      <c r="D47" s="244">
        <f>IFERROR(__xludf.DUMMYFUNCTION("""COMPUTED_VALUE"""),0.972027972027972)</f>
        <v>0.972027972</v>
      </c>
      <c r="E47" s="244">
        <f>IFERROR(__xludf.DUMMYFUNCTION("""COMPUTED_VALUE"""),0.9685863874345549)</f>
        <v>0.9685863874</v>
      </c>
      <c r="F47" s="244">
        <f>IFERROR(__xludf.DUMMYFUNCTION("""COMPUTED_VALUE"""),0.9622641509433962)</f>
        <v>0.9622641509</v>
      </c>
      <c r="G47" s="244">
        <f>IFERROR(__xludf.DUMMYFUNCTION("""COMPUTED_VALUE"""),0.967948717948718)</f>
        <v>0.9679487179</v>
      </c>
      <c r="H47" s="244">
        <f>IFERROR(__xludf.DUMMYFUNCTION("""COMPUTED_VALUE"""),0.9772727272727273)</f>
        <v>0.9772727273</v>
      </c>
      <c r="I47" s="244">
        <f>IFERROR(__xludf.DUMMYFUNCTION("""COMPUTED_VALUE"""),0.9438775510204082)</f>
        <v>0.943877551</v>
      </c>
      <c r="J47" s="244">
        <f t="shared" si="3"/>
        <v>-0.01467167178</v>
      </c>
      <c r="K47" s="244">
        <f t="shared" si="4"/>
        <v>-0.03339517625</v>
      </c>
    </row>
    <row r="48" hidden="1">
      <c r="A48" s="247" t="str">
        <f>IFERROR(__xludf.DUMMYFUNCTION("""COMPUTED_VALUE"""),"BC 245 Hùng Vương-Ea Súp-Đắk Lắk")</f>
        <v>BC 245 Hùng Vương-Ea Súp-Đắk Lắk</v>
      </c>
      <c r="B48" s="244">
        <f>IFERROR(__xludf.DUMMYFUNCTION("""COMPUTED_VALUE"""),0.9294117647058824)</f>
        <v>0.9294117647</v>
      </c>
      <c r="C48" s="244">
        <f>IFERROR(__xludf.DUMMYFUNCTION("""COMPUTED_VALUE"""),0.9393939393939394)</f>
        <v>0.9393939394</v>
      </c>
      <c r="D48" s="244">
        <f>IFERROR(__xludf.DUMMYFUNCTION("""COMPUTED_VALUE"""),0.9426229508196722)</f>
        <v>0.9426229508</v>
      </c>
      <c r="E48" s="244">
        <f>IFERROR(__xludf.DUMMYFUNCTION("""COMPUTED_VALUE"""),0.897196261682243)</f>
        <v>0.8971962617</v>
      </c>
      <c r="F48" s="244">
        <f>IFERROR(__xludf.DUMMYFUNCTION("""COMPUTED_VALUE"""),0.9217391304347826)</f>
        <v>0.9217391304</v>
      </c>
      <c r="G48" s="244">
        <f>IFERROR(__xludf.DUMMYFUNCTION("""COMPUTED_VALUE"""),0.9629629629629629)</f>
        <v>0.962962963</v>
      </c>
      <c r="H48" s="244">
        <f>IFERROR(__xludf.DUMMYFUNCTION("""COMPUTED_VALUE"""),0.9404761904761905)</f>
        <v>0.9404761905</v>
      </c>
      <c r="I48" s="244">
        <f>IFERROR(__xludf.DUMMYFUNCTION("""COMPUTED_VALUE"""),0.9456521739130435)</f>
        <v>0.9456521739</v>
      </c>
      <c r="J48" s="244">
        <f t="shared" si="3"/>
        <v>0.01624040921</v>
      </c>
      <c r="K48" s="244">
        <f t="shared" si="4"/>
        <v>0.005175983437</v>
      </c>
    </row>
    <row r="49" hidden="1">
      <c r="A49" s="247" t="str">
        <f>IFERROR(__xludf.DUMMYFUNCTION("""COMPUTED_VALUE"""),"BC 125 Lý Chính Thắng-Buôn Ma Thuột-Đắk Lắk")</f>
        <v>BC 125 Lý Chính Thắng-Buôn Ma Thuột-Đắk Lắk</v>
      </c>
      <c r="B49" s="244">
        <f>IFERROR(__xludf.DUMMYFUNCTION("""COMPUTED_VALUE"""),0.9558823529411765)</f>
        <v>0.9558823529</v>
      </c>
      <c r="C49" s="244">
        <f>IFERROR(__xludf.DUMMYFUNCTION("""COMPUTED_VALUE"""),0.9831932773109243)</f>
        <v>0.9831932773</v>
      </c>
      <c r="D49" s="244">
        <f>IFERROR(__xludf.DUMMYFUNCTION("""COMPUTED_VALUE"""),0.9919354838709677)</f>
        <v>0.9919354839</v>
      </c>
      <c r="E49" s="244">
        <f>IFERROR(__xludf.DUMMYFUNCTION("""COMPUTED_VALUE"""),0.9565217391304348)</f>
        <v>0.9565217391</v>
      </c>
      <c r="F49" s="244">
        <f>IFERROR(__xludf.DUMMYFUNCTION("""COMPUTED_VALUE"""),0.9833333333333333)</f>
        <v>0.9833333333</v>
      </c>
      <c r="G49" s="244">
        <f>IFERROR(__xludf.DUMMYFUNCTION("""COMPUTED_VALUE"""),0.9577464788732394)</f>
        <v>0.9577464789</v>
      </c>
      <c r="H49" s="244">
        <f>IFERROR(__xludf.DUMMYFUNCTION("""COMPUTED_VALUE"""),0.91)</f>
        <v>0.91</v>
      </c>
      <c r="I49" s="244">
        <f>IFERROR(__xludf.DUMMYFUNCTION("""COMPUTED_VALUE"""),0.9459459459459459)</f>
        <v>0.9459459459</v>
      </c>
      <c r="J49" s="244">
        <f t="shared" si="3"/>
        <v>-0.009936406995</v>
      </c>
      <c r="K49" s="244">
        <f t="shared" si="4"/>
        <v>0.03594594595</v>
      </c>
    </row>
    <row r="50" hidden="1">
      <c r="A50" s="247" t="str">
        <f>IFERROR(__xludf.DUMMYFUNCTION("""COMPUTED_VALUE"""),"BC 21 Tây Sơn-Xã Phù Mỹ-Bình Định")</f>
        <v>BC 21 Tây Sơn-Xã Phù Mỹ-Bình Định</v>
      </c>
      <c r="B50" s="244">
        <f>IFERROR(__xludf.DUMMYFUNCTION("""COMPUTED_VALUE"""),0.966183574879227)</f>
        <v>0.9661835749</v>
      </c>
      <c r="C50" s="244">
        <f>IFERROR(__xludf.DUMMYFUNCTION("""COMPUTED_VALUE"""),0.9795918367346939)</f>
        <v>0.9795918367</v>
      </c>
      <c r="D50" s="244">
        <f>IFERROR(__xludf.DUMMYFUNCTION("""COMPUTED_VALUE"""),0.9427083333333334)</f>
        <v>0.9427083333</v>
      </c>
      <c r="E50" s="244">
        <f>IFERROR(__xludf.DUMMYFUNCTION("""COMPUTED_VALUE"""),0.9651162790697675)</f>
        <v>0.9651162791</v>
      </c>
      <c r="F50" s="244">
        <f>IFERROR(__xludf.DUMMYFUNCTION("""COMPUTED_VALUE"""),0.9672897196261683)</f>
        <v>0.9672897196</v>
      </c>
      <c r="G50" s="244">
        <f>IFERROR(__xludf.DUMMYFUNCTION("""COMPUTED_VALUE"""),0.9487179487179487)</f>
        <v>0.9487179487</v>
      </c>
      <c r="H50" s="244">
        <f>IFERROR(__xludf.DUMMYFUNCTION("""COMPUTED_VALUE"""),0.9548872180451128)</f>
        <v>0.954887218</v>
      </c>
      <c r="I50" s="244">
        <f>IFERROR(__xludf.DUMMYFUNCTION("""COMPUTED_VALUE"""),0.946058091286307)</f>
        <v>0.9460580913</v>
      </c>
      <c r="J50" s="244">
        <f t="shared" si="3"/>
        <v>-0.02012548359</v>
      </c>
      <c r="K50" s="244">
        <f t="shared" si="4"/>
        <v>-0.008829126759</v>
      </c>
    </row>
    <row r="51" hidden="1">
      <c r="A51" s="247" t="str">
        <f>IFERROR(__xludf.DUMMYFUNCTION("""COMPUTED_VALUE"""),"BC Ngã Ba Đắk Liêng-Huyện Lắk-Đắk Lắk")</f>
        <v>BC Ngã Ba Đắk Liêng-Huyện Lắk-Đắk Lắk</v>
      </c>
      <c r="B51" s="244">
        <f>IFERROR(__xludf.DUMMYFUNCTION("""COMPUTED_VALUE"""),0.8548387096774194)</f>
        <v>0.8548387097</v>
      </c>
      <c r="C51" s="244">
        <f>IFERROR(__xludf.DUMMYFUNCTION("""COMPUTED_VALUE"""),0.927710843373494)</f>
        <v>0.9277108434</v>
      </c>
      <c r="D51" s="244">
        <f>IFERROR(__xludf.DUMMYFUNCTION("""COMPUTED_VALUE"""),0.9230769230769231)</f>
        <v>0.9230769231</v>
      </c>
      <c r="E51" s="244">
        <f>IFERROR(__xludf.DUMMYFUNCTION("""COMPUTED_VALUE"""),0.9540229885057471)</f>
        <v>0.9540229885</v>
      </c>
      <c r="F51" s="244">
        <f>IFERROR(__xludf.DUMMYFUNCTION("""COMPUTED_VALUE"""),0.8852459016393442)</f>
        <v>0.8852459016</v>
      </c>
      <c r="G51" s="244">
        <f>IFERROR(__xludf.DUMMYFUNCTION("""COMPUTED_VALUE"""),0.9230769230769231)</f>
        <v>0.9230769231</v>
      </c>
      <c r="H51" s="244">
        <f>IFERROR(__xludf.DUMMYFUNCTION("""COMPUTED_VALUE"""),0.9508196721311475)</f>
        <v>0.9508196721</v>
      </c>
      <c r="I51" s="244">
        <f>IFERROR(__xludf.DUMMYFUNCTION("""COMPUTED_VALUE"""),0.946236559139785)</f>
        <v>0.9462365591</v>
      </c>
      <c r="J51" s="244">
        <f t="shared" si="3"/>
        <v>0.09139784946</v>
      </c>
      <c r="K51" s="244">
        <f t="shared" si="4"/>
        <v>-0.004583112991</v>
      </c>
    </row>
    <row r="52" hidden="1">
      <c r="A52" s="247" t="str">
        <f>IFERROR(__xludf.DUMMYFUNCTION("""COMPUTED_VALUE"""),"BC 15 Hoàng Văn Thụ-An Khê-Gia Lai")</f>
        <v>BC 15 Hoàng Văn Thụ-An Khê-Gia Lai</v>
      </c>
      <c r="B52" s="244">
        <f>IFERROR(__xludf.DUMMYFUNCTION("""COMPUTED_VALUE"""),0.9710743801652892)</f>
        <v>0.9710743802</v>
      </c>
      <c r="C52" s="244">
        <f>IFERROR(__xludf.DUMMYFUNCTION("""COMPUTED_VALUE"""),0.9303482587064676)</f>
        <v>0.9303482587</v>
      </c>
      <c r="D52" s="244">
        <f>IFERROR(__xludf.DUMMYFUNCTION("""COMPUTED_VALUE"""),0.944954128440367)</f>
        <v>0.9449541284</v>
      </c>
      <c r="E52" s="244">
        <f>IFERROR(__xludf.DUMMYFUNCTION("""COMPUTED_VALUE"""),0.9409448818897638)</f>
        <v>0.9409448819</v>
      </c>
      <c r="F52" s="244">
        <f>IFERROR(__xludf.DUMMYFUNCTION("""COMPUTED_VALUE"""),0.9617224880382775)</f>
        <v>0.961722488</v>
      </c>
      <c r="G52" s="244">
        <f>IFERROR(__xludf.DUMMYFUNCTION("""COMPUTED_VALUE"""),0.9734513274336283)</f>
        <v>0.9734513274</v>
      </c>
      <c r="H52" s="244">
        <f>IFERROR(__xludf.DUMMYFUNCTION("""COMPUTED_VALUE"""),0.9916666666666667)</f>
        <v>0.9916666667</v>
      </c>
      <c r="I52" s="244">
        <f>IFERROR(__xludf.DUMMYFUNCTION("""COMPUTED_VALUE"""),0.9498327759197325)</f>
        <v>0.9498327759</v>
      </c>
      <c r="J52" s="244">
        <f t="shared" si="3"/>
        <v>-0.02124160425</v>
      </c>
      <c r="K52" s="244">
        <f t="shared" si="4"/>
        <v>-0.04183389075</v>
      </c>
    </row>
    <row r="53" hidden="1">
      <c r="A53" s="247" t="str">
        <f>IFERROR(__xludf.DUMMYFUNCTION("""COMPUTED_VALUE"""),"BC 73 Lê Lợi-Chư Pah-Gia Lai")</f>
        <v>BC 73 Lê Lợi-Chư Pah-Gia Lai</v>
      </c>
      <c r="B53" s="244">
        <f>IFERROR(__xludf.DUMMYFUNCTION("""COMPUTED_VALUE"""),0.9818181818181818)</f>
        <v>0.9818181818</v>
      </c>
      <c r="C53" s="244">
        <f>IFERROR(__xludf.DUMMYFUNCTION("""COMPUTED_VALUE"""),0.9767441860465116)</f>
        <v>0.976744186</v>
      </c>
      <c r="D53" s="244">
        <f>IFERROR(__xludf.DUMMYFUNCTION("""COMPUTED_VALUE"""),0.975609756097561)</f>
        <v>0.9756097561</v>
      </c>
      <c r="E53" s="244">
        <f>IFERROR(__xludf.DUMMYFUNCTION("""COMPUTED_VALUE"""),0.9411764705882353)</f>
        <v>0.9411764706</v>
      </c>
      <c r="F53" s="244">
        <f>IFERROR(__xludf.DUMMYFUNCTION("""COMPUTED_VALUE"""),0.9204545454545454)</f>
        <v>0.9204545455</v>
      </c>
      <c r="G53" s="244">
        <f>IFERROR(__xludf.DUMMYFUNCTION("""COMPUTED_VALUE"""),0.9693877551020408)</f>
        <v>0.9693877551</v>
      </c>
      <c r="H53" s="244">
        <f>IFERROR(__xludf.DUMMYFUNCTION("""COMPUTED_VALUE"""),0.9672131147540983)</f>
        <v>0.9672131148</v>
      </c>
      <c r="I53" s="244">
        <f>IFERROR(__xludf.DUMMYFUNCTION("""COMPUTED_VALUE"""),0.9545454545454546)</f>
        <v>0.9545454545</v>
      </c>
      <c r="J53" s="244">
        <f t="shared" si="3"/>
        <v>-0.02727272727</v>
      </c>
      <c r="K53" s="244">
        <f t="shared" si="4"/>
        <v>-0.01266766021</v>
      </c>
    </row>
    <row r="54" hidden="1">
      <c r="A54" s="247" t="str">
        <f>IFERROR(__xludf.DUMMYFUNCTION("""COMPUTED_VALUE"""),"BC Vận Hành Thôn Định Trị-Xã Vĩnh Thạnh-Bình Định")</f>
        <v>BC Vận Hành Thôn Định Trị-Xã Vĩnh Thạnh-Bình Định</v>
      </c>
      <c r="B54" s="244">
        <f>IFERROR(__xludf.DUMMYFUNCTION("""COMPUTED_VALUE"""),0.9069767441860465)</f>
        <v>0.9069767442</v>
      </c>
      <c r="C54" s="244">
        <f>IFERROR(__xludf.DUMMYFUNCTION("""COMPUTED_VALUE"""),0.9722222222222222)</f>
        <v>0.9722222222</v>
      </c>
      <c r="D54" s="244">
        <f>IFERROR(__xludf.DUMMYFUNCTION("""COMPUTED_VALUE"""),0.975609756097561)</f>
        <v>0.9756097561</v>
      </c>
      <c r="E54" s="244">
        <f>IFERROR(__xludf.DUMMYFUNCTION("""COMPUTED_VALUE"""),0.9459459459459459)</f>
        <v>0.9459459459</v>
      </c>
      <c r="F54" s="244">
        <f>IFERROR(__xludf.DUMMYFUNCTION("""COMPUTED_VALUE"""),0.9259259259259259)</f>
        <v>0.9259259259</v>
      </c>
      <c r="G54" s="244">
        <f>IFERROR(__xludf.DUMMYFUNCTION("""COMPUTED_VALUE"""),0.9090909090909091)</f>
        <v>0.9090909091</v>
      </c>
      <c r="H54" s="244">
        <f>IFERROR(__xludf.DUMMYFUNCTION("""COMPUTED_VALUE"""),0.8611111111111112)</f>
        <v>0.8611111111</v>
      </c>
      <c r="I54" s="244">
        <f>IFERROR(__xludf.DUMMYFUNCTION("""COMPUTED_VALUE"""),0.9583333333333334)</f>
        <v>0.9583333333</v>
      </c>
      <c r="J54" s="244">
        <f t="shared" si="3"/>
        <v>0.05135658915</v>
      </c>
      <c r="K54" s="244">
        <f t="shared" si="4"/>
        <v>0.09722222222</v>
      </c>
    </row>
    <row r="55" hidden="1">
      <c r="A55" s="247" t="str">
        <f>IFERROR(__xludf.DUMMYFUNCTION("""COMPUTED_VALUE"""),"BC 64 Hùng Vương-Thị Trấn Krông Năng-Đắk Lắk")</f>
        <v>BC 64 Hùng Vương-Thị Trấn Krông Năng-Đắk Lắk</v>
      </c>
      <c r="B55" s="244">
        <f>IFERROR(__xludf.DUMMYFUNCTION("""COMPUTED_VALUE"""),0.9482758620689655)</f>
        <v>0.9482758621</v>
      </c>
      <c r="C55" s="244">
        <f>IFERROR(__xludf.DUMMYFUNCTION("""COMPUTED_VALUE"""),0.9433962264150944)</f>
        <v>0.9433962264</v>
      </c>
      <c r="D55" s="244">
        <f>IFERROR(__xludf.DUMMYFUNCTION("""COMPUTED_VALUE"""),0.9504132231404959)</f>
        <v>0.9504132231</v>
      </c>
      <c r="E55" s="244">
        <f>IFERROR(__xludf.DUMMYFUNCTION("""COMPUTED_VALUE"""),0.9637681159420289)</f>
        <v>0.9637681159</v>
      </c>
      <c r="F55" s="244">
        <f>IFERROR(__xludf.DUMMYFUNCTION("""COMPUTED_VALUE"""),0.9291338582677166)</f>
        <v>0.9291338583</v>
      </c>
      <c r="G55" s="244">
        <f>IFERROR(__xludf.DUMMYFUNCTION("""COMPUTED_VALUE"""),0.946236559139785)</f>
        <v>0.9462365591</v>
      </c>
      <c r="H55" s="244">
        <f>IFERROR(__xludf.DUMMYFUNCTION("""COMPUTED_VALUE"""),0.953125)</f>
        <v>0.953125</v>
      </c>
      <c r="I55" s="244">
        <f>IFERROR(__xludf.DUMMYFUNCTION("""COMPUTED_VALUE"""),0.9586776859504132)</f>
        <v>0.958677686</v>
      </c>
      <c r="J55" s="244">
        <f t="shared" si="3"/>
        <v>0.01040182388</v>
      </c>
      <c r="K55" s="244">
        <f t="shared" si="4"/>
        <v>0.00555268595</v>
      </c>
    </row>
    <row r="56" hidden="1">
      <c r="A56" s="247" t="str">
        <f>IFERROR(__xludf.DUMMYFUNCTION("""COMPUTED_VALUE"""),"BC Số 35 Phạm Văn Đồng-Tăng Bạt Hổ-Hoài Ân-Bình Định")</f>
        <v>BC Số 35 Phạm Văn Đồng-Tăng Bạt Hổ-Hoài Ân-Bình Định</v>
      </c>
      <c r="B56" s="244">
        <f>IFERROR(__xludf.DUMMYFUNCTION("""COMPUTED_VALUE"""),0.9759036144578314)</f>
        <v>0.9759036145</v>
      </c>
      <c r="C56" s="244">
        <f>IFERROR(__xludf.DUMMYFUNCTION("""COMPUTED_VALUE"""),1.0)</f>
        <v>1</v>
      </c>
      <c r="D56" s="244">
        <f>IFERROR(__xludf.DUMMYFUNCTION("""COMPUTED_VALUE"""),0.9583333333333334)</f>
        <v>0.9583333333</v>
      </c>
      <c r="E56" s="244">
        <f>IFERROR(__xludf.DUMMYFUNCTION("""COMPUTED_VALUE"""),0.9642857142857143)</f>
        <v>0.9642857143</v>
      </c>
      <c r="F56" s="244">
        <f>IFERROR(__xludf.DUMMYFUNCTION("""COMPUTED_VALUE"""),0.9883720930232558)</f>
        <v>0.988372093</v>
      </c>
      <c r="G56" s="244">
        <f>IFERROR(__xludf.DUMMYFUNCTION("""COMPUTED_VALUE"""),1.0)</f>
        <v>1</v>
      </c>
      <c r="H56" s="244">
        <f>IFERROR(__xludf.DUMMYFUNCTION("""COMPUTED_VALUE"""),1.0)</f>
        <v>1</v>
      </c>
      <c r="I56" s="244">
        <f>IFERROR(__xludf.DUMMYFUNCTION("""COMPUTED_VALUE"""),0.9586776859504132)</f>
        <v>0.958677686</v>
      </c>
      <c r="J56" s="244">
        <f t="shared" si="3"/>
        <v>-0.01722592851</v>
      </c>
      <c r="K56" s="244">
        <f t="shared" si="4"/>
        <v>-0.04132231405</v>
      </c>
    </row>
    <row r="57" hidden="1">
      <c r="A57" s="247" t="str">
        <f>IFERROR(__xludf.DUMMYFUNCTION("""COMPUTED_VALUE"""),"BC 159 Tân Quảng-EaTóh-Krông Năng-Đắk Lắk")</f>
        <v>BC 159 Tân Quảng-EaTóh-Krông Năng-Đắk Lắk</v>
      </c>
      <c r="B57" s="244">
        <f>IFERROR(__xludf.DUMMYFUNCTION("""COMPUTED_VALUE"""),0.94)</f>
        <v>0.94</v>
      </c>
      <c r="C57" s="244">
        <f>IFERROR(__xludf.DUMMYFUNCTION("""COMPUTED_VALUE"""),0.9642857142857143)</f>
        <v>0.9642857143</v>
      </c>
      <c r="D57" s="244">
        <f>IFERROR(__xludf.DUMMYFUNCTION("""COMPUTED_VALUE"""),0.9642857142857143)</f>
        <v>0.9642857143</v>
      </c>
      <c r="E57" s="244">
        <f>IFERROR(__xludf.DUMMYFUNCTION("""COMPUTED_VALUE"""),0.9056603773584906)</f>
        <v>0.9056603774</v>
      </c>
      <c r="F57" s="244">
        <f>IFERROR(__xludf.DUMMYFUNCTION("""COMPUTED_VALUE"""),0.9152542372881356)</f>
        <v>0.9152542373</v>
      </c>
      <c r="G57" s="244">
        <f>IFERROR(__xludf.DUMMYFUNCTION("""COMPUTED_VALUE"""),0.9583333333333334)</f>
        <v>0.9583333333</v>
      </c>
      <c r="H57" s="244">
        <f>IFERROR(__xludf.DUMMYFUNCTION("""COMPUTED_VALUE"""),0.9814814814814815)</f>
        <v>0.9814814815</v>
      </c>
      <c r="I57" s="244">
        <f>IFERROR(__xludf.DUMMYFUNCTION("""COMPUTED_VALUE"""),0.96)</f>
        <v>0.96</v>
      </c>
      <c r="J57" s="244">
        <f t="shared" si="3"/>
        <v>0.02</v>
      </c>
      <c r="K57" s="244">
        <f t="shared" si="4"/>
        <v>-0.02148148148</v>
      </c>
    </row>
    <row r="58" hidden="1">
      <c r="A58" s="247" t="str">
        <f>IFERROR(__xludf.DUMMYFUNCTION("""COMPUTED_VALUE"""),"BC 414 Trần Hưng Đạo-Mang Yang-Gia Lai")</f>
        <v>BC 414 Trần Hưng Đạo-Mang Yang-Gia Lai</v>
      </c>
      <c r="B58" s="244">
        <f>IFERROR(__xludf.DUMMYFUNCTION("""COMPUTED_VALUE"""),0.9440559440559441)</f>
        <v>0.9440559441</v>
      </c>
      <c r="C58" s="244">
        <f>IFERROR(__xludf.DUMMYFUNCTION("""COMPUTED_VALUE"""),0.9583333333333334)</f>
        <v>0.9583333333</v>
      </c>
      <c r="D58" s="244">
        <f>IFERROR(__xludf.DUMMYFUNCTION("""COMPUTED_VALUE"""),0.9347826086956522)</f>
        <v>0.9347826087</v>
      </c>
      <c r="E58" s="244">
        <f>IFERROR(__xludf.DUMMYFUNCTION("""COMPUTED_VALUE"""),0.9423076923076923)</f>
        <v>0.9423076923</v>
      </c>
      <c r="F58" s="244">
        <f>IFERROR(__xludf.DUMMYFUNCTION("""COMPUTED_VALUE"""),0.9754098360655737)</f>
        <v>0.9754098361</v>
      </c>
      <c r="G58" s="244">
        <f>IFERROR(__xludf.DUMMYFUNCTION("""COMPUTED_VALUE"""),0.9693877551020408)</f>
        <v>0.9693877551</v>
      </c>
      <c r="H58" s="244">
        <f>IFERROR(__xludf.DUMMYFUNCTION("""COMPUTED_VALUE"""),0.9142857142857143)</f>
        <v>0.9142857143</v>
      </c>
      <c r="I58" s="244">
        <f>IFERROR(__xludf.DUMMYFUNCTION("""COMPUTED_VALUE"""),0.9612403100775194)</f>
        <v>0.9612403101</v>
      </c>
      <c r="J58" s="244">
        <f t="shared" si="3"/>
        <v>0.01718436602</v>
      </c>
      <c r="K58" s="244">
        <f t="shared" si="4"/>
        <v>0.04695459579</v>
      </c>
    </row>
    <row r="59" hidden="1">
      <c r="A59" s="247" t="str">
        <f>IFERROR(__xludf.DUMMYFUNCTION("""COMPUTED_VALUE"""),"BC Khu Vực Kim Châu-An Nhơn-Bình Định")</f>
        <v>BC Khu Vực Kim Châu-An Nhơn-Bình Định</v>
      </c>
      <c r="B59" s="244">
        <f>IFERROR(__xludf.DUMMYFUNCTION("""COMPUTED_VALUE"""),0.9743589743589743)</f>
        <v>0.9743589744</v>
      </c>
      <c r="C59" s="244">
        <f>IFERROR(__xludf.DUMMYFUNCTION("""COMPUTED_VALUE"""),0.9693486590038314)</f>
        <v>0.969348659</v>
      </c>
      <c r="D59" s="244">
        <f>IFERROR(__xludf.DUMMYFUNCTION("""COMPUTED_VALUE"""),0.9619771863117871)</f>
        <v>0.9619771863</v>
      </c>
      <c r="E59" s="244">
        <f>IFERROR(__xludf.DUMMYFUNCTION("""COMPUTED_VALUE"""),0.963855421686747)</f>
        <v>0.9638554217</v>
      </c>
      <c r="F59" s="244">
        <f>IFERROR(__xludf.DUMMYFUNCTION("""COMPUTED_VALUE"""),0.9666666666666667)</f>
        <v>0.9666666667</v>
      </c>
      <c r="G59" s="244">
        <f>IFERROR(__xludf.DUMMYFUNCTION("""COMPUTED_VALUE"""),0.985781990521327)</f>
        <v>0.9857819905</v>
      </c>
      <c r="H59" s="244">
        <f>IFERROR(__xludf.DUMMYFUNCTION("""COMPUTED_VALUE"""),0.9418604651162791)</f>
        <v>0.9418604651</v>
      </c>
      <c r="I59" s="244">
        <f>IFERROR(__xludf.DUMMYFUNCTION("""COMPUTED_VALUE"""),0.9656160458452722)</f>
        <v>0.9656160458</v>
      </c>
      <c r="J59" s="244">
        <f t="shared" si="3"/>
        <v>-0.008742928514</v>
      </c>
      <c r="K59" s="244">
        <f t="shared" si="4"/>
        <v>0.02375558073</v>
      </c>
    </row>
    <row r="60" hidden="1">
      <c r="A60" s="247" t="str">
        <f>IFERROR(__xludf.DUMMYFUNCTION("""COMPUTED_VALUE"""),"BC 99 Nguyễn Khuyến-Buôn Ma Thuột-Đắk Lắk")</f>
        <v>BC 99 Nguyễn Khuyến-Buôn Ma Thuột-Đắk Lắk</v>
      </c>
      <c r="B60" s="244">
        <f>IFERROR(__xludf.DUMMYFUNCTION("""COMPUTED_VALUE"""),0.9714285714285714)</f>
        <v>0.9714285714</v>
      </c>
      <c r="C60" s="244">
        <f>IFERROR(__xludf.DUMMYFUNCTION("""COMPUTED_VALUE"""),0.9941520467836257)</f>
        <v>0.9941520468</v>
      </c>
      <c r="D60" s="244">
        <f>IFERROR(__xludf.DUMMYFUNCTION("""COMPUTED_VALUE"""),0.993006993006993)</f>
        <v>0.993006993</v>
      </c>
      <c r="E60" s="244">
        <f>IFERROR(__xludf.DUMMYFUNCTION("""COMPUTED_VALUE"""),0.9830508474576272)</f>
        <v>0.9830508475</v>
      </c>
      <c r="F60" s="244">
        <f>IFERROR(__xludf.DUMMYFUNCTION("""COMPUTED_VALUE"""),0.9854014598540146)</f>
        <v>0.9854014599</v>
      </c>
      <c r="G60" s="244">
        <f>IFERROR(__xludf.DUMMYFUNCTION("""COMPUTED_VALUE"""),0.95)</f>
        <v>0.95</v>
      </c>
      <c r="H60" s="244">
        <f>IFERROR(__xludf.DUMMYFUNCTION("""COMPUTED_VALUE"""),0.9615384615384616)</f>
        <v>0.9615384615</v>
      </c>
      <c r="I60" s="244">
        <f>IFERROR(__xludf.DUMMYFUNCTION("""COMPUTED_VALUE"""),0.9664429530201343)</f>
        <v>0.966442953</v>
      </c>
      <c r="J60" s="244">
        <f t="shared" si="3"/>
        <v>-0.004985618408</v>
      </c>
      <c r="K60" s="244">
        <f t="shared" si="4"/>
        <v>0.004904491482</v>
      </c>
    </row>
    <row r="61">
      <c r="A61" s="247" t="str">
        <f>IFERROR(__xludf.DUMMYFUNCTION("""COMPUTED_VALUE"""),"BC KM92 QL14-Xã Ea Drăng-Đắk Lắk")</f>
        <v>BC KM92 QL14-Xã Ea Drăng-Đắk Lắk</v>
      </c>
      <c r="B61" s="244">
        <f>IFERROR(__xludf.DUMMYFUNCTION("""COMPUTED_VALUE"""),1.0)</f>
        <v>1</v>
      </c>
      <c r="C61" s="244">
        <f>IFERROR(__xludf.DUMMYFUNCTION("""COMPUTED_VALUE"""),1.0)</f>
        <v>1</v>
      </c>
      <c r="D61" s="244">
        <f>IFERROR(__xludf.DUMMYFUNCTION("""COMPUTED_VALUE"""),0.9714285714285714)</f>
        <v>0.9714285714</v>
      </c>
      <c r="E61" s="244">
        <f>IFERROR(__xludf.DUMMYFUNCTION("""COMPUTED_VALUE"""),0.96)</f>
        <v>0.96</v>
      </c>
      <c r="F61" s="244">
        <f>IFERROR(__xludf.DUMMYFUNCTION("""COMPUTED_VALUE"""),0.9838709677419355)</f>
        <v>0.9838709677</v>
      </c>
      <c r="G61" s="244">
        <f>IFERROR(__xludf.DUMMYFUNCTION("""COMPUTED_VALUE"""),0.9672131147540983)</f>
        <v>0.9672131148</v>
      </c>
      <c r="H61" s="244">
        <f>IFERROR(__xludf.DUMMYFUNCTION("""COMPUTED_VALUE"""),0.9811320754716981)</f>
        <v>0.9811320755</v>
      </c>
      <c r="I61" s="244">
        <f>IFERROR(__xludf.DUMMYFUNCTION("""COMPUTED_VALUE"""),0.9682539682539683)</f>
        <v>0.9682539683</v>
      </c>
      <c r="J61" s="244">
        <f t="shared" si="3"/>
        <v>-0.03174603175</v>
      </c>
      <c r="K61" s="244">
        <f t="shared" si="4"/>
        <v>-0.01287810722</v>
      </c>
    </row>
    <row r="62">
      <c r="A62" s="247" t="str">
        <f>IFERROR(__xludf.DUMMYFUNCTION("""COMPUTED_VALUE"""),"BC 838 Quang Trung-Phường Hoài Nhơn Tây-Bình Định")</f>
        <v>BC 838 Quang Trung-Phường Hoài Nhơn Tây-Bình Định</v>
      </c>
      <c r="B62" s="244">
        <f>IFERROR(__xludf.DUMMYFUNCTION("""COMPUTED_VALUE"""),0.9803921568627451)</f>
        <v>0.9803921569</v>
      </c>
      <c r="C62" s="244">
        <f>IFERROR(__xludf.DUMMYFUNCTION("""COMPUTED_VALUE"""),0.9867549668874173)</f>
        <v>0.9867549669</v>
      </c>
      <c r="D62" s="244">
        <f>IFERROR(__xludf.DUMMYFUNCTION("""COMPUTED_VALUE"""),0.9753086419753086)</f>
        <v>0.975308642</v>
      </c>
      <c r="E62" s="244">
        <f>IFERROR(__xludf.DUMMYFUNCTION("""COMPUTED_VALUE"""),0.9618320610687023)</f>
        <v>0.9618320611</v>
      </c>
      <c r="F62" s="244">
        <f>IFERROR(__xludf.DUMMYFUNCTION("""COMPUTED_VALUE"""),0.9803921568627451)</f>
        <v>0.9803921569</v>
      </c>
      <c r="G62" s="244">
        <f>IFERROR(__xludf.DUMMYFUNCTION("""COMPUTED_VALUE"""),0.963302752293578)</f>
        <v>0.9633027523</v>
      </c>
      <c r="H62" s="244">
        <f>IFERROR(__xludf.DUMMYFUNCTION("""COMPUTED_VALUE"""),0.9775280898876404)</f>
        <v>0.9775280899</v>
      </c>
      <c r="I62" s="244">
        <f>IFERROR(__xludf.DUMMYFUNCTION("""COMPUTED_VALUE"""),0.9685534591194969)</f>
        <v>0.9685534591</v>
      </c>
      <c r="J62" s="244">
        <f t="shared" si="3"/>
        <v>-0.01183869774</v>
      </c>
      <c r="K62" s="244">
        <f t="shared" si="4"/>
        <v>-0.008974630768</v>
      </c>
    </row>
    <row r="63">
      <c r="A63" s="247" t="str">
        <f>IFERROR(__xludf.DUMMYFUNCTION("""COMPUTED_VALUE"""),"BC Đường Tỉnh 643-Xã Tuy An Nam-Phú Yên")</f>
        <v>BC Đường Tỉnh 643-Xã Tuy An Nam-Phú Yên</v>
      </c>
      <c r="B63" s="244">
        <f>IFERROR(__xludf.DUMMYFUNCTION("""COMPUTED_VALUE"""),1.0)</f>
        <v>1</v>
      </c>
      <c r="C63" s="244">
        <f>IFERROR(__xludf.DUMMYFUNCTION("""COMPUTED_VALUE"""),0.9761904761904762)</f>
        <v>0.9761904762</v>
      </c>
      <c r="D63" s="244">
        <f>IFERROR(__xludf.DUMMYFUNCTION("""COMPUTED_VALUE"""),0.9375)</f>
        <v>0.9375</v>
      </c>
      <c r="E63" s="244">
        <f>IFERROR(__xludf.DUMMYFUNCTION("""COMPUTED_VALUE"""),0.9473684210526315)</f>
        <v>0.9473684211</v>
      </c>
      <c r="F63" s="244">
        <f>IFERROR(__xludf.DUMMYFUNCTION("""COMPUTED_VALUE"""),0.9516129032258065)</f>
        <v>0.9516129032</v>
      </c>
      <c r="G63" s="244">
        <f>IFERROR(__xludf.DUMMYFUNCTION("""COMPUTED_VALUE"""),0.9701492537313433)</f>
        <v>0.9701492537</v>
      </c>
      <c r="H63" s="244">
        <f>IFERROR(__xludf.DUMMYFUNCTION("""COMPUTED_VALUE"""),0.9772727272727273)</f>
        <v>0.9772727273</v>
      </c>
      <c r="I63" s="244">
        <f>IFERROR(__xludf.DUMMYFUNCTION("""COMPUTED_VALUE"""),0.9705882352941176)</f>
        <v>0.9705882353</v>
      </c>
      <c r="J63" s="244">
        <f t="shared" si="3"/>
        <v>-0.02941176471</v>
      </c>
      <c r="K63" s="244">
        <f t="shared" si="4"/>
        <v>-0.006684491979</v>
      </c>
    </row>
    <row r="64">
      <c r="A64" s="247" t="str">
        <f>IFERROR(__xludf.DUMMYFUNCTION("""COMPUTED_VALUE"""),"BC KP3 TT Hai Riềng-Sông Hinh-Phú Yên")</f>
        <v>BC KP3 TT Hai Riềng-Sông Hinh-Phú Yên</v>
      </c>
      <c r="B64" s="244">
        <f>IFERROR(__xludf.DUMMYFUNCTION("""COMPUTED_VALUE"""),0.9375)</f>
        <v>0.9375</v>
      </c>
      <c r="C64" s="244">
        <f>IFERROR(__xludf.DUMMYFUNCTION("""COMPUTED_VALUE"""),0.9885714285714285)</f>
        <v>0.9885714286</v>
      </c>
      <c r="D64" s="244">
        <f>IFERROR(__xludf.DUMMYFUNCTION("""COMPUTED_VALUE"""),0.9333333333333333)</f>
        <v>0.9333333333</v>
      </c>
      <c r="E64" s="244">
        <f>IFERROR(__xludf.DUMMYFUNCTION("""COMPUTED_VALUE"""),0.9693877551020408)</f>
        <v>0.9693877551</v>
      </c>
      <c r="F64" s="244">
        <f>IFERROR(__xludf.DUMMYFUNCTION("""COMPUTED_VALUE"""),0.9550561797752809)</f>
        <v>0.9550561798</v>
      </c>
      <c r="G64" s="244">
        <f>IFERROR(__xludf.DUMMYFUNCTION("""COMPUTED_VALUE"""),0.9338235294117647)</f>
        <v>0.9338235294</v>
      </c>
      <c r="H64" s="244">
        <f>IFERROR(__xludf.DUMMYFUNCTION("""COMPUTED_VALUE"""),0.9459459459459459)</f>
        <v>0.9459459459</v>
      </c>
      <c r="I64" s="244">
        <f>IFERROR(__xludf.DUMMYFUNCTION("""COMPUTED_VALUE"""),0.9709302325581395)</f>
        <v>0.9709302326</v>
      </c>
      <c r="J64" s="244">
        <f t="shared" si="3"/>
        <v>0.03343023256</v>
      </c>
      <c r="K64" s="244">
        <f t="shared" si="4"/>
        <v>0.02498428661</v>
      </c>
    </row>
    <row r="65">
      <c r="A65" s="247" t="str">
        <f>IFERROR(__xludf.DUMMYFUNCTION("""COMPUTED_VALUE"""),"BC 263 Đống Đa-Quy Nhơn-Bình Định")</f>
        <v>BC 263 Đống Đa-Quy Nhơn-Bình Định</v>
      </c>
      <c r="B65" s="244">
        <f>IFERROR(__xludf.DUMMYFUNCTION("""COMPUTED_VALUE"""),0.977859778597786)</f>
        <v>0.9778597786</v>
      </c>
      <c r="C65" s="244">
        <f>IFERROR(__xludf.DUMMYFUNCTION("""COMPUTED_VALUE"""),1.0)</f>
        <v>1</v>
      </c>
      <c r="D65" s="244">
        <f>IFERROR(__xludf.DUMMYFUNCTION("""COMPUTED_VALUE"""),0.9852216748768473)</f>
        <v>0.9852216749</v>
      </c>
      <c r="E65" s="244">
        <f>IFERROR(__xludf.DUMMYFUNCTION("""COMPUTED_VALUE"""),0.9842105263157894)</f>
        <v>0.9842105263</v>
      </c>
      <c r="F65" s="244">
        <f>IFERROR(__xludf.DUMMYFUNCTION("""COMPUTED_VALUE"""),0.9819004524886877)</f>
        <v>0.9819004525</v>
      </c>
      <c r="G65" s="244">
        <f>IFERROR(__xludf.DUMMYFUNCTION("""COMPUTED_VALUE"""),0.9479166666666666)</f>
        <v>0.9479166667</v>
      </c>
      <c r="H65" s="244">
        <f>IFERROR(__xludf.DUMMYFUNCTION("""COMPUTED_VALUE"""),0.967741935483871)</f>
        <v>0.9677419355</v>
      </c>
      <c r="I65" s="244">
        <f>IFERROR(__xludf.DUMMYFUNCTION("""COMPUTED_VALUE"""),0.9710144927536232)</f>
        <v>0.9710144928</v>
      </c>
      <c r="J65" s="244">
        <f t="shared" si="3"/>
        <v>-0.006845285844</v>
      </c>
      <c r="K65" s="244">
        <f t="shared" si="4"/>
        <v>0.00327255727</v>
      </c>
    </row>
    <row r="66">
      <c r="A66" s="247" t="str">
        <f>IFERROR(__xludf.DUMMYFUNCTION("""COMPUTED_VALUE"""),"BC Km 30 Tân Hòa-Buôn Đôn-Đắk Lắk")</f>
        <v>BC Km 30 Tân Hòa-Buôn Đôn-Đắk Lắk</v>
      </c>
      <c r="B66" s="244">
        <f>IFERROR(__xludf.DUMMYFUNCTION("""COMPUTED_VALUE"""),0.9795918367346939)</f>
        <v>0.9795918367</v>
      </c>
      <c r="C66" s="244">
        <f>IFERROR(__xludf.DUMMYFUNCTION("""COMPUTED_VALUE"""),1.0)</f>
        <v>1</v>
      </c>
      <c r="D66" s="244">
        <f>IFERROR(__xludf.DUMMYFUNCTION("""COMPUTED_VALUE"""),1.0)</f>
        <v>1</v>
      </c>
      <c r="E66" s="244">
        <f>IFERROR(__xludf.DUMMYFUNCTION("""COMPUTED_VALUE"""),0.9662921348314607)</f>
        <v>0.9662921348</v>
      </c>
      <c r="F66" s="244">
        <f>IFERROR(__xludf.DUMMYFUNCTION("""COMPUTED_VALUE"""),0.972972972972973)</f>
        <v>0.972972973</v>
      </c>
      <c r="G66" s="244">
        <f>IFERROR(__xludf.DUMMYFUNCTION("""COMPUTED_VALUE"""),0.9693877551020408)</f>
        <v>0.9693877551</v>
      </c>
      <c r="H66" s="244">
        <f>IFERROR(__xludf.DUMMYFUNCTION("""COMPUTED_VALUE"""),1.0)</f>
        <v>1</v>
      </c>
      <c r="I66" s="244">
        <f>IFERROR(__xludf.DUMMYFUNCTION("""COMPUTED_VALUE"""),0.9716981132075472)</f>
        <v>0.9716981132</v>
      </c>
      <c r="J66" s="244">
        <f t="shared" si="3"/>
        <v>-0.007893723527</v>
      </c>
      <c r="K66" s="244">
        <f t="shared" si="4"/>
        <v>-0.02830188679</v>
      </c>
    </row>
    <row r="67">
      <c r="A67" s="247" t="str">
        <f>IFERROR(__xludf.DUMMYFUNCTION("""COMPUTED_VALUE"""),"BC KP4 Hòa Vinh- Đông Hòa- Phú Yên")</f>
        <v>BC KP4 Hòa Vinh- Đông Hòa- Phú Yên</v>
      </c>
      <c r="B67" s="244">
        <f>IFERROR(__xludf.DUMMYFUNCTION("""COMPUTED_VALUE"""),0.968944099378882)</f>
        <v>0.9689440994</v>
      </c>
      <c r="C67" s="244">
        <f>IFERROR(__xludf.DUMMYFUNCTION("""COMPUTED_VALUE"""),0.967741935483871)</f>
        <v>0.9677419355</v>
      </c>
      <c r="D67" s="244">
        <f>IFERROR(__xludf.DUMMYFUNCTION("""COMPUTED_VALUE"""),0.9793103448275862)</f>
        <v>0.9793103448</v>
      </c>
      <c r="E67" s="244">
        <f>IFERROR(__xludf.DUMMYFUNCTION("""COMPUTED_VALUE"""),0.9754601226993865)</f>
        <v>0.9754601227</v>
      </c>
      <c r="F67" s="244">
        <f>IFERROR(__xludf.DUMMYFUNCTION("""COMPUTED_VALUE"""),0.9573170731707317)</f>
        <v>0.9573170732</v>
      </c>
      <c r="G67" s="244">
        <f>IFERROR(__xludf.DUMMYFUNCTION("""COMPUTED_VALUE"""),0.963302752293578)</f>
        <v>0.9633027523</v>
      </c>
      <c r="H67" s="244">
        <f>IFERROR(__xludf.DUMMYFUNCTION("""COMPUTED_VALUE"""),0.9659090909090909)</f>
        <v>0.9659090909</v>
      </c>
      <c r="I67" s="244">
        <f>IFERROR(__xludf.DUMMYFUNCTION("""COMPUTED_VALUE"""),0.9717514124293786)</f>
        <v>0.9717514124</v>
      </c>
      <c r="J67" s="244">
        <f t="shared" si="3"/>
        <v>0.00280731305</v>
      </c>
      <c r="K67" s="244">
        <f t="shared" si="4"/>
        <v>0.00584232152</v>
      </c>
    </row>
    <row r="68">
      <c r="A68" s="247" t="str">
        <f>IFERROR(__xludf.DUMMYFUNCTION("""COMPUTED_VALUE"""),"BC 127B Lê Văn Tám-Thị Trấn Kbang-Huyện Kbang-Gia Lai")</f>
        <v>BC 127B Lê Văn Tám-Thị Trấn Kbang-Huyện Kbang-Gia Lai</v>
      </c>
      <c r="B68" s="244">
        <f>IFERROR(__xludf.DUMMYFUNCTION("""COMPUTED_VALUE"""),0.9770114942528736)</f>
        <v>0.9770114943</v>
      </c>
      <c r="C68" s="244">
        <f>IFERROR(__xludf.DUMMYFUNCTION("""COMPUTED_VALUE"""),1.0)</f>
        <v>1</v>
      </c>
      <c r="D68" s="244">
        <f>IFERROR(__xludf.DUMMYFUNCTION("""COMPUTED_VALUE"""),0.9345794392523364)</f>
        <v>0.9345794393</v>
      </c>
      <c r="E68" s="244">
        <f>IFERROR(__xludf.DUMMYFUNCTION("""COMPUTED_VALUE"""),0.9651162790697675)</f>
        <v>0.9651162791</v>
      </c>
      <c r="F68" s="244">
        <f>IFERROR(__xludf.DUMMYFUNCTION("""COMPUTED_VALUE"""),0.9482758620689655)</f>
        <v>0.9482758621</v>
      </c>
      <c r="G68" s="244">
        <f>IFERROR(__xludf.DUMMYFUNCTION("""COMPUTED_VALUE"""),0.9603960396039604)</f>
        <v>0.9603960396</v>
      </c>
      <c r="H68" s="244">
        <f>IFERROR(__xludf.DUMMYFUNCTION("""COMPUTED_VALUE"""),0.9803921568627451)</f>
        <v>0.9803921569</v>
      </c>
      <c r="I68" s="244">
        <f>IFERROR(__xludf.DUMMYFUNCTION("""COMPUTED_VALUE"""),0.9732142857142857)</f>
        <v>0.9732142857</v>
      </c>
      <c r="J68" s="244">
        <f t="shared" si="3"/>
        <v>-0.003797208539</v>
      </c>
      <c r="K68" s="244">
        <f t="shared" si="4"/>
        <v>-0.007177871148</v>
      </c>
    </row>
    <row r="69">
      <c r="A69" s="247" t="str">
        <f>IFERROR(__xludf.DUMMYFUNCTION("""COMPUTED_VALUE"""),"BC Hoài Nhơn-Bình Định")</f>
        <v>BC Hoài Nhơn-Bình Định</v>
      </c>
      <c r="B69" s="244">
        <f>IFERROR(__xludf.DUMMYFUNCTION("""COMPUTED_VALUE"""),0.9629629629629629)</f>
        <v>0.962962963</v>
      </c>
      <c r="C69" s="244">
        <f>IFERROR(__xludf.DUMMYFUNCTION("""COMPUTED_VALUE"""),0.9767441860465116)</f>
        <v>0.976744186</v>
      </c>
      <c r="D69" s="244">
        <f>IFERROR(__xludf.DUMMYFUNCTION("""COMPUTED_VALUE"""),0.9767441860465116)</f>
        <v>0.976744186</v>
      </c>
      <c r="E69" s="244">
        <f>IFERROR(__xludf.DUMMYFUNCTION("""COMPUTED_VALUE"""),0.9719626168224299)</f>
        <v>0.9719626168</v>
      </c>
      <c r="F69" s="244">
        <f>IFERROR(__xludf.DUMMYFUNCTION("""COMPUTED_VALUE"""),0.9555555555555556)</f>
        <v>0.9555555556</v>
      </c>
      <c r="G69" s="244">
        <f>IFERROR(__xludf.DUMMYFUNCTION("""COMPUTED_VALUE"""),0.9672131147540983)</f>
        <v>0.9672131148</v>
      </c>
      <c r="H69" s="244">
        <f>IFERROR(__xludf.DUMMYFUNCTION("""COMPUTED_VALUE"""),0.974025974025974)</f>
        <v>0.974025974</v>
      </c>
      <c r="I69" s="244">
        <f>IFERROR(__xludf.DUMMYFUNCTION("""COMPUTED_VALUE"""),0.9735099337748344)</f>
        <v>0.9735099338</v>
      </c>
      <c r="J69" s="244">
        <f t="shared" si="3"/>
        <v>0.01054697081</v>
      </c>
      <c r="K69" s="244">
        <f t="shared" si="4"/>
        <v>-0.0005160402511</v>
      </c>
    </row>
    <row r="70">
      <c r="A70" s="247" t="str">
        <f>IFERROR(__xludf.DUMMYFUNCTION("""COMPUTED_VALUE"""),"BC 44 Quang Trung-Tây Sơn-Bình Định")</f>
        <v>BC 44 Quang Trung-Tây Sơn-Bình Định</v>
      </c>
      <c r="B70" s="244">
        <f>IFERROR(__xludf.DUMMYFUNCTION("""COMPUTED_VALUE"""),0.9939024390243902)</f>
        <v>0.993902439</v>
      </c>
      <c r="C70" s="244">
        <f>IFERROR(__xludf.DUMMYFUNCTION("""COMPUTED_VALUE"""),0.9815950920245399)</f>
        <v>0.981595092</v>
      </c>
      <c r="D70" s="244">
        <f>IFERROR(__xludf.DUMMYFUNCTION("""COMPUTED_VALUE"""),0.9741935483870968)</f>
        <v>0.9741935484</v>
      </c>
      <c r="E70" s="244">
        <f>IFERROR(__xludf.DUMMYFUNCTION("""COMPUTED_VALUE"""),0.9594594594594594)</f>
        <v>0.9594594595</v>
      </c>
      <c r="F70" s="244">
        <f>IFERROR(__xludf.DUMMYFUNCTION("""COMPUTED_VALUE"""),0.9635036496350365)</f>
        <v>0.9635036496</v>
      </c>
      <c r="G70" s="244">
        <f>IFERROR(__xludf.DUMMYFUNCTION("""COMPUTED_VALUE"""),0.9782608695652174)</f>
        <v>0.9782608696</v>
      </c>
      <c r="H70" s="244">
        <f>IFERROR(__xludf.DUMMYFUNCTION("""COMPUTED_VALUE"""),0.9339622641509434)</f>
        <v>0.9339622642</v>
      </c>
      <c r="I70" s="244">
        <f>IFERROR(__xludf.DUMMYFUNCTION("""COMPUTED_VALUE"""),0.9738219895287958)</f>
        <v>0.9738219895</v>
      </c>
      <c r="J70" s="244">
        <f t="shared" si="3"/>
        <v>-0.0200804495</v>
      </c>
      <c r="K70" s="244">
        <f t="shared" si="4"/>
        <v>0.03985972538</v>
      </c>
    </row>
    <row r="71">
      <c r="A71" s="247" t="str">
        <f>IFERROR(__xludf.DUMMYFUNCTION("""COMPUTED_VALUE"""),"BC 396 Âu Cơ-Bùi Thị Xuân-Quy Nhơn-Bình Định")</f>
        <v>BC 396 Âu Cơ-Bùi Thị Xuân-Quy Nhơn-Bình Định</v>
      </c>
      <c r="B71" s="244">
        <f>IFERROR(__xludf.DUMMYFUNCTION("""COMPUTED_VALUE"""),0.9791666666666666)</f>
        <v>0.9791666667</v>
      </c>
      <c r="C71" s="244">
        <f>IFERROR(__xludf.DUMMYFUNCTION("""COMPUTED_VALUE"""),0.978021978021978)</f>
        <v>0.978021978</v>
      </c>
      <c r="D71" s="244">
        <f>IFERROR(__xludf.DUMMYFUNCTION("""COMPUTED_VALUE"""),0.9767441860465116)</f>
        <v>0.976744186</v>
      </c>
      <c r="E71" s="244">
        <f>IFERROR(__xludf.DUMMYFUNCTION("""COMPUTED_VALUE"""),0.967032967032967)</f>
        <v>0.967032967</v>
      </c>
      <c r="F71" s="244">
        <f>IFERROR(__xludf.DUMMYFUNCTION("""COMPUTED_VALUE"""),0.9777777777777777)</f>
        <v>0.9777777778</v>
      </c>
      <c r="G71" s="244">
        <f>IFERROR(__xludf.DUMMYFUNCTION("""COMPUTED_VALUE"""),1.0)</f>
        <v>1</v>
      </c>
      <c r="H71" s="244">
        <f>IFERROR(__xludf.DUMMYFUNCTION("""COMPUTED_VALUE"""),0.967741935483871)</f>
        <v>0.9677419355</v>
      </c>
      <c r="I71" s="244">
        <f>IFERROR(__xludf.DUMMYFUNCTION("""COMPUTED_VALUE"""),0.9743589743589743)</f>
        <v>0.9743589744</v>
      </c>
      <c r="J71" s="244">
        <f t="shared" si="3"/>
        <v>-0.004807692308</v>
      </c>
      <c r="K71" s="244">
        <f t="shared" si="4"/>
        <v>0.006617038875</v>
      </c>
    </row>
    <row r="72">
      <c r="A72" s="247" t="str">
        <f>IFERROR(__xludf.DUMMYFUNCTION("""COMPUTED_VALUE"""),"BC Đường 3 Tháng 2-Xã Phù Cát-Bình Định")</f>
        <v>BC Đường 3 Tháng 2-Xã Phù Cát-Bình Định</v>
      </c>
      <c r="B72" s="244">
        <f>IFERROR(__xludf.DUMMYFUNCTION("""COMPUTED_VALUE"""),0.9933774834437086)</f>
        <v>0.9933774834</v>
      </c>
      <c r="C72" s="244">
        <f>IFERROR(__xludf.DUMMYFUNCTION("""COMPUTED_VALUE"""),0.9476744186046512)</f>
        <v>0.9476744186</v>
      </c>
      <c r="D72" s="244">
        <f>IFERROR(__xludf.DUMMYFUNCTION("""COMPUTED_VALUE"""),0.961038961038961)</f>
        <v>0.961038961</v>
      </c>
      <c r="E72" s="244">
        <f>IFERROR(__xludf.DUMMYFUNCTION("""COMPUTED_VALUE"""),0.9097744360902256)</f>
        <v>0.9097744361</v>
      </c>
      <c r="F72" s="244">
        <f>IFERROR(__xludf.DUMMYFUNCTION("""COMPUTED_VALUE"""),0.9541984732824428)</f>
        <v>0.9541984733</v>
      </c>
      <c r="G72" s="244">
        <f>IFERROR(__xludf.DUMMYFUNCTION("""COMPUTED_VALUE"""),0.9328859060402684)</f>
        <v>0.932885906</v>
      </c>
      <c r="H72" s="244">
        <f>IFERROR(__xludf.DUMMYFUNCTION("""COMPUTED_VALUE"""),0.9387755102040817)</f>
        <v>0.9387755102</v>
      </c>
      <c r="I72" s="244">
        <f>IFERROR(__xludf.DUMMYFUNCTION("""COMPUTED_VALUE"""),0.975609756097561)</f>
        <v>0.9756097561</v>
      </c>
      <c r="J72" s="244">
        <f t="shared" si="3"/>
        <v>-0.01776772735</v>
      </c>
      <c r="K72" s="244">
        <f t="shared" si="4"/>
        <v>0.03683424589</v>
      </c>
    </row>
    <row r="73">
      <c r="A73" s="247" t="str">
        <f>IFERROR(__xludf.DUMMYFUNCTION("""COMPUTED_VALUE"""),"BC 767 Hùng Vương-Quy Nhơn-Bình Định")</f>
        <v>BC 767 Hùng Vương-Quy Nhơn-Bình Định</v>
      </c>
      <c r="B73" s="244">
        <f>IFERROR(__xludf.DUMMYFUNCTION("""COMPUTED_VALUE"""),0.9528301886792453)</f>
        <v>0.9528301887</v>
      </c>
      <c r="C73" s="244">
        <f>IFERROR(__xludf.DUMMYFUNCTION("""COMPUTED_VALUE"""),0.9583333333333334)</f>
        <v>0.9583333333</v>
      </c>
      <c r="D73" s="244">
        <f>IFERROR(__xludf.DUMMYFUNCTION("""COMPUTED_VALUE"""),0.968503937007874)</f>
        <v>0.968503937</v>
      </c>
      <c r="E73" s="244">
        <f>IFERROR(__xludf.DUMMYFUNCTION("""COMPUTED_VALUE"""),0.9807692307692307)</f>
        <v>0.9807692308</v>
      </c>
      <c r="F73" s="244">
        <f>IFERROR(__xludf.DUMMYFUNCTION("""COMPUTED_VALUE"""),0.989247311827957)</f>
        <v>0.9892473118</v>
      </c>
      <c r="G73" s="244">
        <f>IFERROR(__xludf.DUMMYFUNCTION("""COMPUTED_VALUE"""),0.967391304347826)</f>
        <v>0.9673913043</v>
      </c>
      <c r="H73" s="244">
        <f>IFERROR(__xludf.DUMMYFUNCTION("""COMPUTED_VALUE"""),0.9859154929577465)</f>
        <v>0.985915493</v>
      </c>
      <c r="I73" s="244">
        <f>IFERROR(__xludf.DUMMYFUNCTION("""COMPUTED_VALUE"""),0.9787234042553191)</f>
        <v>0.9787234043</v>
      </c>
      <c r="J73" s="244">
        <f t="shared" si="3"/>
        <v>0.02589321558</v>
      </c>
      <c r="K73" s="244">
        <f t="shared" si="4"/>
        <v>-0.007192088702</v>
      </c>
    </row>
    <row r="74">
      <c r="A74" s="247" t="str">
        <f>IFERROR(__xludf.DUMMYFUNCTION("""COMPUTED_VALUE"""),"BC 274 Hùng Vương-Tuy Hòa-Phú Yên")</f>
        <v>BC 274 Hùng Vương-Tuy Hòa-Phú Yên</v>
      </c>
      <c r="B74" s="244">
        <f>IFERROR(__xludf.DUMMYFUNCTION("""COMPUTED_VALUE"""),1.0)</f>
        <v>1</v>
      </c>
      <c r="C74" s="244">
        <f>IFERROR(__xludf.DUMMYFUNCTION("""COMPUTED_VALUE"""),0.9886363636363636)</f>
        <v>0.9886363636</v>
      </c>
      <c r="D74" s="244">
        <f>IFERROR(__xludf.DUMMYFUNCTION("""COMPUTED_VALUE"""),0.9642857142857143)</f>
        <v>0.9642857143</v>
      </c>
      <c r="E74" s="244">
        <f>IFERROR(__xludf.DUMMYFUNCTION("""COMPUTED_VALUE"""),0.9774011299435028)</f>
        <v>0.9774011299</v>
      </c>
      <c r="F74" s="244">
        <f>IFERROR(__xludf.DUMMYFUNCTION("""COMPUTED_VALUE"""),0.9681528662420382)</f>
        <v>0.9681528662</v>
      </c>
      <c r="G74" s="244">
        <f>IFERROR(__xludf.DUMMYFUNCTION("""COMPUTED_VALUE"""),0.9795918367346939)</f>
        <v>0.9795918367</v>
      </c>
      <c r="H74" s="244">
        <f>IFERROR(__xludf.DUMMYFUNCTION("""COMPUTED_VALUE"""),0.9803921568627451)</f>
        <v>0.9803921569</v>
      </c>
      <c r="I74" s="244">
        <f>IFERROR(__xludf.DUMMYFUNCTION("""COMPUTED_VALUE"""),0.9796954314720813)</f>
        <v>0.9796954315</v>
      </c>
      <c r="J74" s="244">
        <f t="shared" si="3"/>
        <v>-0.02030456853</v>
      </c>
      <c r="K74" s="244">
        <f t="shared" si="4"/>
        <v>-0.0006967253907</v>
      </c>
    </row>
    <row r="75">
      <c r="A75" s="247" t="str">
        <f>IFERROR(__xludf.DUMMYFUNCTION("""COMPUTED_VALUE"""),"BC 269 Tây Sơn-Quy Nhơn-Bình Định")</f>
        <v>BC 269 Tây Sơn-Quy Nhơn-Bình Định</v>
      </c>
      <c r="B75" s="244">
        <f>IFERROR(__xludf.DUMMYFUNCTION("""COMPUTED_VALUE"""),0.9859154929577465)</f>
        <v>0.985915493</v>
      </c>
      <c r="C75" s="244">
        <f>IFERROR(__xludf.DUMMYFUNCTION("""COMPUTED_VALUE"""),0.9948453608247423)</f>
        <v>0.9948453608</v>
      </c>
      <c r="D75" s="244">
        <f>IFERROR(__xludf.DUMMYFUNCTION("""COMPUTED_VALUE"""),0.9824561403508771)</f>
        <v>0.9824561404</v>
      </c>
      <c r="E75" s="244">
        <f>IFERROR(__xludf.DUMMYFUNCTION("""COMPUTED_VALUE"""),0.9855072463768116)</f>
        <v>0.9855072464</v>
      </c>
      <c r="F75" s="244">
        <f>IFERROR(__xludf.DUMMYFUNCTION("""COMPUTED_VALUE"""),0.9747474747474747)</f>
        <v>0.9747474747</v>
      </c>
      <c r="G75" s="244">
        <f>IFERROR(__xludf.DUMMYFUNCTION("""COMPUTED_VALUE"""),0.9623655913978495)</f>
        <v>0.9623655914</v>
      </c>
      <c r="H75" s="244">
        <f>IFERROR(__xludf.DUMMYFUNCTION("""COMPUTED_VALUE"""),0.9453125)</f>
        <v>0.9453125</v>
      </c>
      <c r="I75" s="244">
        <f>IFERROR(__xludf.DUMMYFUNCTION("""COMPUTED_VALUE"""),0.9802371541501976)</f>
        <v>0.9802371542</v>
      </c>
      <c r="J75" s="244">
        <f t="shared" si="3"/>
        <v>-0.005678338808</v>
      </c>
      <c r="K75" s="244">
        <f t="shared" si="4"/>
        <v>0.03492465415</v>
      </c>
    </row>
    <row r="76">
      <c r="A76" s="248" t="str">
        <f>IFERROR(__xludf.DUMMYFUNCTION("""COMPUTED_VALUE"""),"BC Thôn Chánh Hóa-Xã Cát Tiến-Bình Định")</f>
        <v>BC Thôn Chánh Hóa-Xã Cát Tiến-Bình Định</v>
      </c>
      <c r="B76" s="249">
        <f>IFERROR(__xludf.DUMMYFUNCTION("""COMPUTED_VALUE"""),0.9736842105263158)</f>
        <v>0.9736842105</v>
      </c>
      <c r="C76" s="249">
        <f>IFERROR(__xludf.DUMMYFUNCTION("""COMPUTED_VALUE"""),0.9846153846153847)</f>
        <v>0.9846153846</v>
      </c>
      <c r="D76" s="249">
        <f>IFERROR(__xludf.DUMMYFUNCTION("""COMPUTED_VALUE"""),0.9871794871794872)</f>
        <v>0.9871794872</v>
      </c>
      <c r="E76" s="249">
        <f>IFERROR(__xludf.DUMMYFUNCTION("""COMPUTED_VALUE"""),0.9594594594594594)</f>
        <v>0.9594594595</v>
      </c>
      <c r="F76" s="249">
        <f>IFERROR(__xludf.DUMMYFUNCTION("""COMPUTED_VALUE"""),0.9571428571428572)</f>
        <v>0.9571428571</v>
      </c>
      <c r="G76" s="249">
        <f>IFERROR(__xludf.DUMMYFUNCTION("""COMPUTED_VALUE"""),0.9852941176470589)</f>
        <v>0.9852941176</v>
      </c>
      <c r="H76" s="249">
        <f>IFERROR(__xludf.DUMMYFUNCTION("""COMPUTED_VALUE"""),0.9574468085106383)</f>
        <v>0.9574468085</v>
      </c>
      <c r="I76" s="249">
        <f>IFERROR(__xludf.DUMMYFUNCTION("""COMPUTED_VALUE"""),0.9805825242718447)</f>
        <v>0.9805825243</v>
      </c>
      <c r="J76" s="244">
        <f t="shared" si="3"/>
        <v>0.006898313746</v>
      </c>
      <c r="K76" s="244">
        <f t="shared" si="4"/>
        <v>0.02313571576</v>
      </c>
      <c r="L76" s="50"/>
      <c r="M76" s="50"/>
      <c r="N76" s="50"/>
      <c r="O76" s="50"/>
    </row>
    <row r="77">
      <c r="A77" s="247" t="str">
        <f>IFERROR(__xludf.DUMMYFUNCTION("""COMPUTED_VALUE"""),"BC 27 Nguyễn Tất Thành-Tuy Hòa-Phú Yên")</f>
        <v>BC 27 Nguyễn Tất Thành-Tuy Hòa-Phú Yên</v>
      </c>
      <c r="B77" s="244">
        <f>IFERROR(__xludf.DUMMYFUNCTION("""COMPUTED_VALUE"""),1.0)</f>
        <v>1</v>
      </c>
      <c r="C77" s="244">
        <f>IFERROR(__xludf.DUMMYFUNCTION("""COMPUTED_VALUE"""),1.0)</f>
        <v>1</v>
      </c>
      <c r="D77" s="244">
        <f>IFERROR(__xludf.DUMMYFUNCTION("""COMPUTED_VALUE"""),1.0)</f>
        <v>1</v>
      </c>
      <c r="E77" s="244">
        <f>IFERROR(__xludf.DUMMYFUNCTION("""COMPUTED_VALUE"""),0.989010989010989)</f>
        <v>0.989010989</v>
      </c>
      <c r="F77" s="244">
        <f>IFERROR(__xludf.DUMMYFUNCTION("""COMPUTED_VALUE"""),1.0)</f>
        <v>1</v>
      </c>
      <c r="G77" s="244">
        <f>IFERROR(__xludf.DUMMYFUNCTION("""COMPUTED_VALUE"""),0.972972972972973)</f>
        <v>0.972972973</v>
      </c>
      <c r="H77" s="244">
        <f>IFERROR(__xludf.DUMMYFUNCTION("""COMPUTED_VALUE"""),1.0)</f>
        <v>1</v>
      </c>
      <c r="I77" s="244">
        <f>IFERROR(__xludf.DUMMYFUNCTION("""COMPUTED_VALUE"""),0.9811320754716981)</f>
        <v>0.9811320755</v>
      </c>
      <c r="J77" s="244">
        <f t="shared" si="3"/>
        <v>-0.01886792453</v>
      </c>
      <c r="K77" s="244">
        <f t="shared" si="4"/>
        <v>-0.01886792453</v>
      </c>
    </row>
    <row r="78">
      <c r="A78" s="247" t="str">
        <f>IFERROR(__xludf.DUMMYFUNCTION("""COMPUTED_VALUE"""),"BC 71 Quốc Lộ 1A-Xã Tuy An Bắc-Phú Yên")</f>
        <v>BC 71 Quốc Lộ 1A-Xã Tuy An Bắc-Phú Yên</v>
      </c>
      <c r="B78" s="244">
        <f>IFERROR(__xludf.DUMMYFUNCTION("""COMPUTED_VALUE"""),1.0)</f>
        <v>1</v>
      </c>
      <c r="C78" s="244">
        <f>IFERROR(__xludf.DUMMYFUNCTION("""COMPUTED_VALUE"""),0.9823008849557522)</f>
        <v>0.982300885</v>
      </c>
      <c r="D78" s="244">
        <f>IFERROR(__xludf.DUMMYFUNCTION("""COMPUTED_VALUE"""),0.9734513274336283)</f>
        <v>0.9734513274</v>
      </c>
      <c r="E78" s="244">
        <f>IFERROR(__xludf.DUMMYFUNCTION("""COMPUTED_VALUE"""),0.9900990099009901)</f>
        <v>0.9900990099</v>
      </c>
      <c r="F78" s="244">
        <f>IFERROR(__xludf.DUMMYFUNCTION("""COMPUTED_VALUE"""),0.946236559139785)</f>
        <v>0.9462365591</v>
      </c>
      <c r="G78" s="244">
        <f>IFERROR(__xludf.DUMMYFUNCTION("""COMPUTED_VALUE"""),0.9158878504672897)</f>
        <v>0.9158878505</v>
      </c>
      <c r="H78" s="244">
        <f>IFERROR(__xludf.DUMMYFUNCTION("""COMPUTED_VALUE"""),0.9558823529411765)</f>
        <v>0.9558823529</v>
      </c>
      <c r="I78" s="244">
        <f>IFERROR(__xludf.DUMMYFUNCTION("""COMPUTED_VALUE"""),0.9814814814814815)</f>
        <v>0.9814814815</v>
      </c>
      <c r="J78" s="244">
        <f t="shared" si="3"/>
        <v>-0.01851851852</v>
      </c>
      <c r="K78" s="244">
        <f t="shared" si="4"/>
        <v>0.02559912854</v>
      </c>
    </row>
    <row r="79">
      <c r="A79" s="246" t="str">
        <f>IFERROR(__xludf.DUMMYFUNCTION("""COMPUTED_VALUE"""),"BC DT644-Sông Cầu-Phú Yên")</f>
        <v>BC DT644-Sông Cầu-Phú Yên</v>
      </c>
      <c r="B79" s="245">
        <f>IFERROR(__xludf.DUMMYFUNCTION("""COMPUTED_VALUE"""),0.9871794871794872)</f>
        <v>0.9871794872</v>
      </c>
      <c r="C79" s="245">
        <f>IFERROR(__xludf.DUMMYFUNCTION("""COMPUTED_VALUE"""),0.9947916666666666)</f>
        <v>0.9947916667</v>
      </c>
      <c r="D79" s="245">
        <f>IFERROR(__xludf.DUMMYFUNCTION("""COMPUTED_VALUE"""),0.9735099337748344)</f>
        <v>0.9735099338</v>
      </c>
      <c r="E79" s="245">
        <f>IFERROR(__xludf.DUMMYFUNCTION("""COMPUTED_VALUE"""),0.9640718562874252)</f>
        <v>0.9640718563</v>
      </c>
      <c r="F79" s="245">
        <f>IFERROR(__xludf.DUMMYFUNCTION("""COMPUTED_VALUE"""),0.9827586206896551)</f>
        <v>0.9827586207</v>
      </c>
      <c r="G79" s="245">
        <f>IFERROR(__xludf.DUMMYFUNCTION("""COMPUTED_VALUE"""),0.9874213836477987)</f>
        <v>0.9874213836</v>
      </c>
      <c r="H79" s="245">
        <f>IFERROR(__xludf.DUMMYFUNCTION("""COMPUTED_VALUE"""),0.9473684210526315)</f>
        <v>0.9473684211</v>
      </c>
      <c r="I79" s="245">
        <f>IFERROR(__xludf.DUMMYFUNCTION("""COMPUTED_VALUE"""),0.981651376146789)</f>
        <v>0.9816513761</v>
      </c>
      <c r="J79" s="244">
        <f t="shared" si="3"/>
        <v>-0.005528111033</v>
      </c>
      <c r="K79" s="244">
        <f t="shared" si="4"/>
        <v>0.03428295509</v>
      </c>
      <c r="L79" s="171"/>
      <c r="M79" s="171"/>
      <c r="N79" s="171"/>
      <c r="O79" s="171"/>
    </row>
    <row r="80">
      <c r="A80" s="246" t="str">
        <f>IFERROR(__xludf.DUMMYFUNCTION("""COMPUTED_VALUE"""),"Điểm xử lý hàng Thôn Xuân Phong Nam-An Lão-Bình Định")</f>
        <v>Điểm xử lý hàng Thôn Xuân Phong Nam-An Lão-Bình Định</v>
      </c>
      <c r="B80" s="245">
        <f>IFERROR(__xludf.DUMMYFUNCTION("""COMPUTED_VALUE"""),0.9411764705882353)</f>
        <v>0.9411764706</v>
      </c>
      <c r="C80" s="245">
        <f>IFERROR(__xludf.DUMMYFUNCTION("""COMPUTED_VALUE"""),1.0)</f>
        <v>1</v>
      </c>
      <c r="D80" s="245">
        <f>IFERROR(__xludf.DUMMYFUNCTION("""COMPUTED_VALUE"""),1.0)</f>
        <v>1</v>
      </c>
      <c r="E80" s="245">
        <f>IFERROR(__xludf.DUMMYFUNCTION("""COMPUTED_VALUE"""),0.9583333333333334)</f>
        <v>0.9583333333</v>
      </c>
      <c r="F80" s="245">
        <f>IFERROR(__xludf.DUMMYFUNCTION("""COMPUTED_VALUE"""),0.9791666666666666)</f>
        <v>0.9791666667</v>
      </c>
      <c r="G80" s="245">
        <f>IFERROR(__xludf.DUMMYFUNCTION("""COMPUTED_VALUE"""),0.972972972972973)</f>
        <v>0.972972973</v>
      </c>
      <c r="H80" s="245">
        <f>IFERROR(__xludf.DUMMYFUNCTION("""COMPUTED_VALUE"""),0.9565217391304348)</f>
        <v>0.9565217391</v>
      </c>
      <c r="I80" s="245">
        <f>IFERROR(__xludf.DUMMYFUNCTION("""COMPUTED_VALUE"""),0.9836065573770492)</f>
        <v>0.9836065574</v>
      </c>
      <c r="J80" s="244">
        <f t="shared" si="3"/>
        <v>0.04243008679</v>
      </c>
      <c r="K80" s="244">
        <f t="shared" si="4"/>
        <v>0.02708481825</v>
      </c>
      <c r="L80" s="171"/>
      <c r="M80" s="171"/>
      <c r="N80" s="171"/>
      <c r="O80" s="171"/>
    </row>
    <row r="81">
      <c r="A81" s="250" t="str">
        <f>IFERROR(__xludf.DUMMYFUNCTION("""COMPUTED_VALUE"""),"BC 297 Hùng Vương-CưMgar-Đắk Lắk")</f>
        <v>BC 297 Hùng Vương-CưMgar-Đắk Lắk</v>
      </c>
      <c r="B81" s="245">
        <f>IFERROR(__xludf.DUMMYFUNCTION("""COMPUTED_VALUE"""),0.9550561797752809)</f>
        <v>0.9550561798</v>
      </c>
      <c r="C81" s="245">
        <f>IFERROR(__xludf.DUMMYFUNCTION("""COMPUTED_VALUE"""),0.9906103286384976)</f>
        <v>0.9906103286</v>
      </c>
      <c r="D81" s="245">
        <f>IFERROR(__xludf.DUMMYFUNCTION("""COMPUTED_VALUE"""),0.9900497512437811)</f>
        <v>0.9900497512</v>
      </c>
      <c r="E81" s="245">
        <f>IFERROR(__xludf.DUMMYFUNCTION("""COMPUTED_VALUE"""),0.9669421487603306)</f>
        <v>0.9669421488</v>
      </c>
      <c r="F81" s="245">
        <f>IFERROR(__xludf.DUMMYFUNCTION("""COMPUTED_VALUE"""),0.985781990521327)</f>
        <v>0.9857819905</v>
      </c>
      <c r="G81" s="245">
        <f>IFERROR(__xludf.DUMMYFUNCTION("""COMPUTED_VALUE"""),0.9326424870466321)</f>
        <v>0.932642487</v>
      </c>
      <c r="H81" s="245">
        <f>IFERROR(__xludf.DUMMYFUNCTION("""COMPUTED_VALUE"""),0.9842105263157894)</f>
        <v>0.9842105263</v>
      </c>
      <c r="I81" s="245">
        <f>IFERROR(__xludf.DUMMYFUNCTION("""COMPUTED_VALUE"""),0.9837837837837838)</f>
        <v>0.9837837838</v>
      </c>
      <c r="J81" s="244">
        <f t="shared" si="3"/>
        <v>0.02872760401</v>
      </c>
      <c r="K81" s="244">
        <f t="shared" si="4"/>
        <v>-0.000426742532</v>
      </c>
      <c r="L81" s="251"/>
      <c r="M81" s="251"/>
      <c r="N81" s="251"/>
      <c r="O81" s="251"/>
    </row>
    <row r="82">
      <c r="A82" s="252" t="str">
        <f>IFERROR(__xludf.DUMMYFUNCTION("""COMPUTED_VALUE"""),"BC 565 Trần Phú-Tuy Phước-Bình Định")</f>
        <v>BC 565 Trần Phú-Tuy Phước-Bình Định</v>
      </c>
      <c r="B82" s="253">
        <f>IFERROR(__xludf.DUMMYFUNCTION("""COMPUTED_VALUE"""),0.9723502304147466)</f>
        <v>0.9723502304</v>
      </c>
      <c r="C82" s="253">
        <f>IFERROR(__xludf.DUMMYFUNCTION("""COMPUTED_VALUE"""),0.9783783783783784)</f>
        <v>0.9783783784</v>
      </c>
      <c r="D82" s="253">
        <f>IFERROR(__xludf.DUMMYFUNCTION("""COMPUTED_VALUE"""),0.9230769230769231)</f>
        <v>0.9230769231</v>
      </c>
      <c r="E82" s="253">
        <f>IFERROR(__xludf.DUMMYFUNCTION("""COMPUTED_VALUE"""),0.9554455445544554)</f>
        <v>0.9554455446</v>
      </c>
      <c r="F82" s="253">
        <f>IFERROR(__xludf.DUMMYFUNCTION("""COMPUTED_VALUE"""),0.9532710280373832)</f>
        <v>0.953271028</v>
      </c>
      <c r="G82" s="253">
        <f>IFERROR(__xludf.DUMMYFUNCTION("""COMPUTED_VALUE"""),0.9573170731707317)</f>
        <v>0.9573170732</v>
      </c>
      <c r="H82" s="253">
        <f>IFERROR(__xludf.DUMMYFUNCTION("""COMPUTED_VALUE"""),0.9318181818181818)</f>
        <v>0.9318181818</v>
      </c>
      <c r="I82" s="253">
        <f>IFERROR(__xludf.DUMMYFUNCTION("""COMPUTED_VALUE"""),0.9844961240310077)</f>
        <v>0.984496124</v>
      </c>
      <c r="J82" s="244">
        <f t="shared" si="3"/>
        <v>0.01214589362</v>
      </c>
      <c r="K82" s="244">
        <f t="shared" si="4"/>
        <v>0.05267794221</v>
      </c>
      <c r="L82" s="171"/>
      <c r="M82" s="171"/>
      <c r="N82" s="171"/>
      <c r="O82" s="171"/>
    </row>
    <row r="83">
      <c r="A83" s="254" t="str">
        <f>IFERROR(__xludf.DUMMYFUNCTION("""COMPUTED_VALUE"""),"BC 271 Nguyễn Văn Cừ-Tân Lập-Đắk Lắk")</f>
        <v>BC 271 Nguyễn Văn Cừ-Tân Lập-Đắk Lắk</v>
      </c>
      <c r="B83" s="249">
        <f>IFERROR(__xludf.DUMMYFUNCTION("""COMPUTED_VALUE"""),0.9906542056074766)</f>
        <v>0.9906542056</v>
      </c>
      <c r="C83" s="249">
        <f>IFERROR(__xludf.DUMMYFUNCTION("""COMPUTED_VALUE"""),0.9919354838709677)</f>
        <v>0.9919354839</v>
      </c>
      <c r="D83" s="249">
        <f>IFERROR(__xludf.DUMMYFUNCTION("""COMPUTED_VALUE"""),0.9863013698630136)</f>
        <v>0.9863013699</v>
      </c>
      <c r="E83" s="249">
        <f>IFERROR(__xludf.DUMMYFUNCTION("""COMPUTED_VALUE"""),0.9810126582278481)</f>
        <v>0.9810126582</v>
      </c>
      <c r="F83" s="249">
        <f>IFERROR(__xludf.DUMMYFUNCTION("""COMPUTED_VALUE"""),0.9861111111111112)</f>
        <v>0.9861111111</v>
      </c>
      <c r="G83" s="249">
        <f>IFERROR(__xludf.DUMMYFUNCTION("""COMPUTED_VALUE"""),0.9712230215827338)</f>
        <v>0.9712230216</v>
      </c>
      <c r="H83" s="249">
        <f>IFERROR(__xludf.DUMMYFUNCTION("""COMPUTED_VALUE"""),0.9765625)</f>
        <v>0.9765625</v>
      </c>
      <c r="I83" s="249">
        <f>IFERROR(__xludf.DUMMYFUNCTION("""COMPUTED_VALUE"""),0.9846153846153847)</f>
        <v>0.9846153846</v>
      </c>
      <c r="J83" s="244">
        <f t="shared" si="3"/>
        <v>-0.006038820992</v>
      </c>
      <c r="K83" s="244">
        <f t="shared" si="4"/>
        <v>0.008052884615</v>
      </c>
      <c r="L83" s="50"/>
      <c r="M83" s="50"/>
      <c r="N83" s="50"/>
      <c r="O83" s="50"/>
    </row>
    <row r="84">
      <c r="A84" s="254" t="str">
        <f>IFERROR(__xludf.DUMMYFUNCTION("""COMPUTED_VALUE"""),"BC 132 Hoàng Hoa Thám-Buôn Ma Thuột-Đắk Lắk")</f>
        <v>BC 132 Hoàng Hoa Thám-Buôn Ma Thuột-Đắk Lắk</v>
      </c>
      <c r="B84" s="249">
        <f>IFERROR(__xludf.DUMMYFUNCTION("""COMPUTED_VALUE"""),0.9761904761904762)</f>
        <v>0.9761904762</v>
      </c>
      <c r="C84" s="249">
        <f>IFERROR(__xludf.DUMMYFUNCTION("""COMPUTED_VALUE"""),0.9776119402985075)</f>
        <v>0.9776119403</v>
      </c>
      <c r="D84" s="249">
        <f>IFERROR(__xludf.DUMMYFUNCTION("""COMPUTED_VALUE"""),0.9871794871794872)</f>
        <v>0.9871794872</v>
      </c>
      <c r="E84" s="249">
        <f>IFERROR(__xludf.DUMMYFUNCTION("""COMPUTED_VALUE"""),0.9858156028368794)</f>
        <v>0.9858156028</v>
      </c>
      <c r="F84" s="249">
        <f>IFERROR(__xludf.DUMMYFUNCTION("""COMPUTED_VALUE"""),0.9380530973451328)</f>
        <v>0.9380530973</v>
      </c>
      <c r="G84" s="249">
        <f>IFERROR(__xludf.DUMMYFUNCTION("""COMPUTED_VALUE"""),0.9751552795031055)</f>
        <v>0.9751552795</v>
      </c>
      <c r="H84" s="249">
        <f>IFERROR(__xludf.DUMMYFUNCTION("""COMPUTED_VALUE"""),0.9642857142857143)</f>
        <v>0.9642857143</v>
      </c>
      <c r="I84" s="249">
        <f>IFERROR(__xludf.DUMMYFUNCTION("""COMPUTED_VALUE"""),0.9854014598540146)</f>
        <v>0.9854014599</v>
      </c>
      <c r="J84" s="244">
        <f t="shared" si="3"/>
        <v>0.009210983664</v>
      </c>
      <c r="K84" s="244">
        <f t="shared" si="4"/>
        <v>0.02111574557</v>
      </c>
      <c r="L84" s="50"/>
      <c r="M84" s="50"/>
      <c r="N84" s="50"/>
      <c r="O84" s="50"/>
    </row>
    <row r="85">
      <c r="A85" s="254" t="str">
        <f>IFERROR(__xludf.DUMMYFUNCTION("""COMPUTED_VALUE"""),"BC TDP3 Thị Trấn Krông Kmart-Krông Bông-Đắk Lắk")</f>
        <v>BC TDP3 Thị Trấn Krông Kmart-Krông Bông-Đắk Lắk</v>
      </c>
      <c r="B85" s="249">
        <f>IFERROR(__xludf.DUMMYFUNCTION("""COMPUTED_VALUE"""),0.9795918367346939)</f>
        <v>0.9795918367</v>
      </c>
      <c r="C85" s="249">
        <f>IFERROR(__xludf.DUMMYFUNCTION("""COMPUTED_VALUE"""),0.9807692307692307)</f>
        <v>0.9807692308</v>
      </c>
      <c r="D85" s="249">
        <f>IFERROR(__xludf.DUMMYFUNCTION("""COMPUTED_VALUE"""),1.0)</f>
        <v>1</v>
      </c>
      <c r="E85" s="249">
        <f>IFERROR(__xludf.DUMMYFUNCTION("""COMPUTED_VALUE"""),0.99)</f>
        <v>0.99</v>
      </c>
      <c r="F85" s="249">
        <f>IFERROR(__xludf.DUMMYFUNCTION("""COMPUTED_VALUE"""),0.967479674796748)</f>
        <v>0.9674796748</v>
      </c>
      <c r="G85" s="249">
        <f>IFERROR(__xludf.DUMMYFUNCTION("""COMPUTED_VALUE"""),0.97)</f>
        <v>0.97</v>
      </c>
      <c r="H85" s="249">
        <f>IFERROR(__xludf.DUMMYFUNCTION("""COMPUTED_VALUE"""),0.956989247311828)</f>
        <v>0.9569892473</v>
      </c>
      <c r="I85" s="249">
        <f>IFERROR(__xludf.DUMMYFUNCTION("""COMPUTED_VALUE"""),0.98989898989899)</f>
        <v>0.9898989899</v>
      </c>
      <c r="J85" s="244">
        <f t="shared" si="3"/>
        <v>0.01030715316</v>
      </c>
      <c r="K85" s="244">
        <f t="shared" si="4"/>
        <v>0.03290974259</v>
      </c>
      <c r="L85" s="50"/>
      <c r="M85" s="50"/>
      <c r="N85" s="50"/>
      <c r="O85" s="50"/>
    </row>
    <row r="86">
      <c r="A86" s="254" t="str">
        <f>IFERROR(__xludf.DUMMYFUNCTION("""COMPUTED_VALUE"""),"BC Thị Trấn Buôn Trấp-Krông A Na-Đắk Lắk")</f>
        <v>BC Thị Trấn Buôn Trấp-Krông A Na-Đắk Lắk</v>
      </c>
      <c r="B86" s="249">
        <f>IFERROR(__xludf.DUMMYFUNCTION("""COMPUTED_VALUE"""),0.970873786407767)</f>
        <v>0.9708737864</v>
      </c>
      <c r="C86" s="249">
        <f>IFERROR(__xludf.DUMMYFUNCTION("""COMPUTED_VALUE"""),1.0)</f>
        <v>1</v>
      </c>
      <c r="D86" s="249">
        <f>IFERROR(__xludf.DUMMYFUNCTION("""COMPUTED_VALUE"""),0.9923076923076923)</f>
        <v>0.9923076923</v>
      </c>
      <c r="E86" s="249">
        <f>IFERROR(__xludf.DUMMYFUNCTION("""COMPUTED_VALUE"""),0.99)</f>
        <v>0.99</v>
      </c>
      <c r="F86" s="249">
        <f>IFERROR(__xludf.DUMMYFUNCTION("""COMPUTED_VALUE"""),1.0)</f>
        <v>1</v>
      </c>
      <c r="G86" s="249">
        <f>IFERROR(__xludf.DUMMYFUNCTION("""COMPUTED_VALUE"""),1.0)</f>
        <v>1</v>
      </c>
      <c r="H86" s="249">
        <f>IFERROR(__xludf.DUMMYFUNCTION("""COMPUTED_VALUE"""),0.9696969696969697)</f>
        <v>0.9696969697</v>
      </c>
      <c r="I86" s="249">
        <f>IFERROR(__xludf.DUMMYFUNCTION("""COMPUTED_VALUE"""),0.9903846153846154)</f>
        <v>0.9903846154</v>
      </c>
      <c r="J86" s="244">
        <f t="shared" si="3"/>
        <v>0.01951082898</v>
      </c>
      <c r="K86" s="244">
        <f t="shared" si="4"/>
        <v>0.02068764569</v>
      </c>
      <c r="L86" s="50"/>
      <c r="M86" s="50"/>
      <c r="N86" s="50"/>
      <c r="O86" s="50"/>
    </row>
    <row r="87">
      <c r="A87" s="48" t="str">
        <f>IFERROR(__xludf.DUMMYFUNCTION("""COMPUTED_VALUE"""),"BC 138 Trần Phú- Đồng Xuân- Phú Yên")</f>
        <v>BC 138 Trần Phú- Đồng Xuân- Phú Yên</v>
      </c>
      <c r="B87" s="34">
        <f>IFERROR(__xludf.DUMMYFUNCTION("""COMPUTED_VALUE"""),0.9850746268656716)</f>
        <v>0.9850746269</v>
      </c>
      <c r="C87" s="34">
        <f>IFERROR(__xludf.DUMMYFUNCTION("""COMPUTED_VALUE"""),0.9873417721518988)</f>
        <v>0.9873417722</v>
      </c>
      <c r="D87" s="34">
        <f>IFERROR(__xludf.DUMMYFUNCTION("""COMPUTED_VALUE"""),0.971830985915493)</f>
        <v>0.9718309859</v>
      </c>
      <c r="E87" s="34">
        <f>IFERROR(__xludf.DUMMYFUNCTION("""COMPUTED_VALUE"""),0.9722222222222222)</f>
        <v>0.9722222222</v>
      </c>
      <c r="F87" s="34">
        <f>IFERROR(__xludf.DUMMYFUNCTION("""COMPUTED_VALUE"""),1.0)</f>
        <v>1</v>
      </c>
      <c r="G87" s="34">
        <f>IFERROR(__xludf.DUMMYFUNCTION("""COMPUTED_VALUE"""),0.9753086419753086)</f>
        <v>0.975308642</v>
      </c>
      <c r="H87" s="34">
        <f>IFERROR(__xludf.DUMMYFUNCTION("""COMPUTED_VALUE"""),1.0)</f>
        <v>1</v>
      </c>
      <c r="I87" s="34">
        <f>IFERROR(__xludf.DUMMYFUNCTION("""COMPUTED_VALUE"""),1.0)</f>
        <v>1</v>
      </c>
      <c r="J87" s="255">
        <f t="shared" si="3"/>
        <v>0.01492537313</v>
      </c>
      <c r="K87" s="255">
        <f t="shared" si="4"/>
        <v>0</v>
      </c>
    </row>
    <row r="88">
      <c r="A88" s="247" t="str">
        <f>IFERROR(__xludf.DUMMYFUNCTION("""COMPUTED_VALUE"""),"BC Thôn Đông Phước-Phú Hòa-Phú Yên")</f>
        <v>BC Thôn Đông Phước-Phú Hòa-Phú Yên</v>
      </c>
      <c r="B88" s="255">
        <f>IFERROR(__xludf.DUMMYFUNCTION("""COMPUTED_VALUE"""),0.9818181818181818)</f>
        <v>0.9818181818</v>
      </c>
      <c r="C88" s="255">
        <f>IFERROR(__xludf.DUMMYFUNCTION("""COMPUTED_VALUE"""),0.9827586206896551)</f>
        <v>0.9827586207</v>
      </c>
      <c r="D88" s="255">
        <f>IFERROR(__xludf.DUMMYFUNCTION("""COMPUTED_VALUE"""),0.9239130434782609)</f>
        <v>0.9239130435</v>
      </c>
      <c r="E88" s="255">
        <f>IFERROR(__xludf.DUMMYFUNCTION("""COMPUTED_VALUE"""),0.9759036144578314)</f>
        <v>0.9759036145</v>
      </c>
      <c r="F88" s="255">
        <f>IFERROR(__xludf.DUMMYFUNCTION("""COMPUTED_VALUE"""),0.9897959183673469)</f>
        <v>0.9897959184</v>
      </c>
      <c r="G88" s="255">
        <f>IFERROR(__xludf.DUMMYFUNCTION("""COMPUTED_VALUE"""),0.989247311827957)</f>
        <v>0.9892473118</v>
      </c>
      <c r="H88" s="255">
        <f>IFERROR(__xludf.DUMMYFUNCTION("""COMPUTED_VALUE"""),0.9438202247191011)</f>
        <v>0.9438202247</v>
      </c>
      <c r="I88" s="255">
        <f>IFERROR(__xludf.DUMMYFUNCTION("""COMPUTED_VALUE"""),1.0)</f>
        <v>1</v>
      </c>
      <c r="J88" s="255">
        <f t="shared" si="3"/>
        <v>0.01818181818</v>
      </c>
      <c r="K88" s="255">
        <f t="shared" si="4"/>
        <v>0.05617977528</v>
      </c>
    </row>
    <row r="89">
      <c r="A89" s="48" t="str">
        <f>IFERROR(__xludf.DUMMYFUNCTION("""COMPUTED_VALUE"""),"BC Thôn Tân Lập Quốc Lộ 26-Xã Cư M'ta-M'Đrắk-Đăk Lắk")</f>
        <v>BC Thôn Tân Lập Quốc Lộ 26-Xã Cư M'ta-M'Đrắk-Đăk Lắk</v>
      </c>
      <c r="B89" s="131">
        <f>IFERROR(__xludf.DUMMYFUNCTION("""COMPUTED_VALUE"""),1.0)</f>
        <v>1</v>
      </c>
      <c r="C89" s="131">
        <f>IFERROR(__xludf.DUMMYFUNCTION("""COMPUTED_VALUE"""),0.9565217391304348)</f>
        <v>0.9565217391</v>
      </c>
      <c r="D89" s="131">
        <f>IFERROR(__xludf.DUMMYFUNCTION("""COMPUTED_VALUE"""),1.0)</f>
        <v>1</v>
      </c>
      <c r="E89" s="131">
        <f>IFERROR(__xludf.DUMMYFUNCTION("""COMPUTED_VALUE"""),0.984)</f>
        <v>0.984</v>
      </c>
      <c r="F89" s="131">
        <f>IFERROR(__xludf.DUMMYFUNCTION("""COMPUTED_VALUE"""),0.967741935483871)</f>
        <v>0.9677419355</v>
      </c>
      <c r="G89" s="131">
        <f>IFERROR(__xludf.DUMMYFUNCTION("""COMPUTED_VALUE"""),0.9782608695652174)</f>
        <v>0.9782608696</v>
      </c>
      <c r="H89" s="131">
        <f>IFERROR(__xludf.DUMMYFUNCTION("""COMPUTED_VALUE"""),0.9482758620689655)</f>
        <v>0.9482758621</v>
      </c>
      <c r="I89" s="131">
        <f>IFERROR(__xludf.DUMMYFUNCTION("""COMPUTED_VALUE"""),1.0)</f>
        <v>1</v>
      </c>
      <c r="J89" s="255">
        <f t="shared" si="3"/>
        <v>0</v>
      </c>
      <c r="K89" s="255">
        <f t="shared" si="4"/>
        <v>0.05172413793</v>
      </c>
    </row>
    <row r="90">
      <c r="A90" s="48" t="str">
        <f>IFERROR(__xludf.DUMMYFUNCTION("""COMPUTED_VALUE"""),"BC 225 Phạm Văn Đồng-Buôn Ma Thuột-Đắk Lắk")</f>
        <v>BC 225 Phạm Văn Đồng-Buôn Ma Thuột-Đắk Lắk</v>
      </c>
      <c r="B90" s="95">
        <f>IFERROR(__xludf.DUMMYFUNCTION("""COMPUTED_VALUE"""),0.9655172413793104)</f>
        <v>0.9655172414</v>
      </c>
      <c r="C90" s="94"/>
      <c r="D90" s="94"/>
      <c r="E90" s="94"/>
      <c r="F90" s="94"/>
      <c r="G90" s="94"/>
      <c r="H90" s="94"/>
      <c r="I90" s="94"/>
      <c r="J90" s="255">
        <f t="shared" si="3"/>
        <v>-0.9655172414</v>
      </c>
      <c r="K90" s="255">
        <f t="shared" si="4"/>
        <v>0</v>
      </c>
    </row>
    <row r="91">
      <c r="A91" s="256" t="str">
        <f>IFERROR(__xludf.DUMMYFUNCTION("""COMPUTED_VALUE"""),"Grand Total")</f>
        <v>Grand Total</v>
      </c>
      <c r="B91" s="257">
        <f>IFERROR(__xludf.DUMMYFUNCTION("""COMPUTED_VALUE"""),0.9602594339622641)</f>
        <v>0.960259434</v>
      </c>
      <c r="C91" s="257">
        <f>IFERROR(__xludf.DUMMYFUNCTION("""COMPUTED_VALUE"""),0.9674182358771061)</f>
        <v>0.9674182359</v>
      </c>
      <c r="D91" s="257">
        <f>IFERROR(__xludf.DUMMYFUNCTION("""COMPUTED_VALUE"""),0.9592235380295446)</f>
        <v>0.959223538</v>
      </c>
      <c r="E91" s="257">
        <f>IFERROR(__xludf.DUMMYFUNCTION("""COMPUTED_VALUE"""),0.9517654099341711)</f>
        <v>0.9517654099</v>
      </c>
      <c r="F91" s="257">
        <f>IFERROR(__xludf.DUMMYFUNCTION("""COMPUTED_VALUE"""),0.9500060088931619)</f>
        <v>0.9500060089</v>
      </c>
      <c r="G91" s="257">
        <f>IFERROR(__xludf.DUMMYFUNCTION("""COMPUTED_VALUE"""),0.9530271398747391)</f>
        <v>0.9530271399</v>
      </c>
      <c r="H91" s="257">
        <f>IFERROR(__xludf.DUMMYFUNCTION("""COMPUTED_VALUE"""),0.9428571428571428)</f>
        <v>0.9428571429</v>
      </c>
      <c r="I91" s="257">
        <f>IFERROR(__xludf.DUMMYFUNCTION("""COMPUTED_VALUE"""),0.949013848090642)</f>
        <v>0.9490138481</v>
      </c>
      <c r="J91" s="258">
        <f t="shared" si="3"/>
        <v>-0.01124558587</v>
      </c>
      <c r="K91" s="258">
        <f t="shared" si="4"/>
        <v>0.006156705233</v>
      </c>
    </row>
    <row r="92">
      <c r="A92" s="247"/>
      <c r="B92" s="259"/>
      <c r="C92" s="259"/>
      <c r="D92" s="259"/>
      <c r="E92" s="259"/>
      <c r="F92" s="259"/>
      <c r="G92" s="259"/>
      <c r="H92" s="259"/>
      <c r="I92" s="244"/>
      <c r="J92" s="244"/>
      <c r="K92" s="244"/>
    </row>
    <row r="93">
      <c r="A93" s="247"/>
      <c r="B93" s="259"/>
      <c r="C93" s="259"/>
      <c r="D93" s="259"/>
      <c r="E93" s="259"/>
      <c r="F93" s="259"/>
      <c r="G93" s="259"/>
      <c r="H93" s="259"/>
      <c r="I93" s="244"/>
      <c r="J93" s="244"/>
      <c r="K93" s="244"/>
    </row>
    <row r="94">
      <c r="A94" s="247"/>
      <c r="B94" s="259"/>
      <c r="C94" s="259"/>
      <c r="D94" s="259"/>
      <c r="E94" s="259"/>
      <c r="F94" s="259"/>
      <c r="G94" s="259"/>
      <c r="H94" s="259"/>
      <c r="I94" s="244"/>
      <c r="J94" s="244"/>
      <c r="K94" s="244"/>
    </row>
    <row r="95">
      <c r="A95" s="247"/>
      <c r="B95" s="259"/>
      <c r="C95" s="259"/>
      <c r="D95" s="259"/>
      <c r="E95" s="259"/>
      <c r="F95" s="259"/>
      <c r="G95" s="259"/>
      <c r="H95" s="259"/>
      <c r="I95" s="244"/>
      <c r="J95" s="244"/>
      <c r="K95" s="244"/>
    </row>
    <row r="96">
      <c r="A96" s="247"/>
      <c r="B96" s="259"/>
      <c r="C96" s="259"/>
      <c r="D96" s="259"/>
      <c r="E96" s="259"/>
      <c r="F96" s="259"/>
      <c r="G96" s="259"/>
      <c r="H96" s="259"/>
      <c r="I96" s="244"/>
      <c r="J96" s="244"/>
      <c r="K96" s="244"/>
    </row>
    <row r="97">
      <c r="A97" s="247"/>
      <c r="B97" s="259"/>
      <c r="C97" s="259"/>
      <c r="D97" s="259"/>
      <c r="E97" s="259"/>
      <c r="F97" s="259"/>
      <c r="G97" s="259"/>
      <c r="H97" s="259"/>
      <c r="I97" s="244"/>
      <c r="J97" s="244"/>
      <c r="K97" s="244"/>
    </row>
    <row r="98">
      <c r="A98" s="247"/>
      <c r="B98" s="259"/>
      <c r="C98" s="259"/>
      <c r="D98" s="259"/>
      <c r="E98" s="259"/>
      <c r="F98" s="259"/>
      <c r="G98" s="259"/>
      <c r="H98" s="259"/>
      <c r="I98" s="244"/>
      <c r="J98" s="244"/>
      <c r="K98" s="244"/>
    </row>
    <row r="99">
      <c r="A99" s="247"/>
      <c r="B99" s="259"/>
      <c r="C99" s="259"/>
      <c r="D99" s="259"/>
      <c r="E99" s="259"/>
      <c r="F99" s="259"/>
      <c r="G99" s="259"/>
      <c r="H99" s="259"/>
      <c r="I99" s="244"/>
      <c r="J99" s="244"/>
      <c r="K99" s="244"/>
    </row>
    <row r="100">
      <c r="A100" s="247"/>
      <c r="B100" s="259"/>
      <c r="C100" s="259"/>
      <c r="D100" s="259"/>
      <c r="E100" s="259"/>
      <c r="F100" s="259"/>
      <c r="G100" s="259"/>
      <c r="H100" s="259"/>
      <c r="I100" s="244"/>
      <c r="J100" s="244"/>
      <c r="K100" s="244"/>
    </row>
    <row r="101">
      <c r="A101" s="247"/>
      <c r="B101" s="259"/>
      <c r="C101" s="259"/>
      <c r="D101" s="259"/>
      <c r="E101" s="259"/>
      <c r="F101" s="259"/>
      <c r="G101" s="259"/>
      <c r="H101" s="259"/>
      <c r="I101" s="244"/>
      <c r="J101" s="244"/>
      <c r="K101" s="244"/>
    </row>
    <row r="102">
      <c r="A102" s="247"/>
      <c r="B102" s="259"/>
      <c r="C102" s="259"/>
      <c r="D102" s="259"/>
      <c r="E102" s="259"/>
      <c r="F102" s="259"/>
      <c r="G102" s="259"/>
      <c r="H102" s="259"/>
      <c r="I102" s="244"/>
      <c r="J102" s="244"/>
      <c r="K102" s="244"/>
    </row>
  </sheetData>
  <mergeCells count="4">
    <mergeCell ref="B1:H1"/>
    <mergeCell ref="J1:K1"/>
    <mergeCell ref="B23:H23"/>
    <mergeCell ref="J23:K23"/>
  </mergeCells>
  <conditionalFormatting sqref="I3:I15">
    <cfRule type="colorScale" priority="1">
      <colorScale>
        <cfvo type="min"/>
        <cfvo type="max"/>
        <color rgb="FFF4CCCC"/>
        <color rgb="FFFFFFFF"/>
      </colorScale>
    </cfRule>
  </conditionalFormatting>
  <conditionalFormatting sqref="J3:J17">
    <cfRule type="cellIs" dxfId="2" priority="2" operator="lessThan">
      <formula>"0%"</formula>
    </cfRule>
  </conditionalFormatting>
  <conditionalFormatting sqref="K3:K17">
    <cfRule type="cellIs" dxfId="2" priority="3" operator="lessThan">
      <formula>"0%"</formula>
    </cfRule>
  </conditionalFormatting>
  <conditionalFormatting sqref="J25:K90">
    <cfRule type="cellIs" dxfId="2" priority="4" operator="lessThan">
      <formula>"0%"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13"/>
    <col customWidth="1" min="2" max="11" width="10.25"/>
  </cols>
  <sheetData>
    <row r="1">
      <c r="A1" s="260" t="s">
        <v>40</v>
      </c>
      <c r="B1" s="261" t="s">
        <v>34</v>
      </c>
      <c r="C1" s="262"/>
      <c r="D1" s="262"/>
      <c r="E1" s="262"/>
      <c r="F1" s="262"/>
      <c r="G1" s="262"/>
      <c r="H1" s="263"/>
      <c r="I1" s="224" t="s">
        <v>35</v>
      </c>
      <c r="J1" s="264" t="s">
        <v>36</v>
      </c>
      <c r="K1" s="262"/>
    </row>
    <row r="2">
      <c r="A2" s="121" t="str">
        <f>IFERROR(__xludf.DUMMYFUNCTION("IMPORTRANGE(""https://docs.google.com/spreadsheets/d/1487b2qDJjFxuit1ljyyJ220-vW46d0ImSvFQle7Fw-k/edit?gid=248439520#gid=248439520 "",""FD AM !O34:W51"")"),"AM ")</f>
        <v>AM </v>
      </c>
      <c r="B2" s="121" t="str">
        <f>IFERROR(__xludf.DUMMYFUNCTION("""COMPUTED_VALUE"""),"2026-05-13")</f>
        <v>2026-05-13</v>
      </c>
      <c r="C2" s="121" t="str">
        <f>IFERROR(__xludf.DUMMYFUNCTION("""COMPUTED_VALUE"""),"2026-05-14")</f>
        <v>2026-05-14</v>
      </c>
      <c r="D2" s="121" t="str">
        <f>IFERROR(__xludf.DUMMYFUNCTION("""COMPUTED_VALUE"""),"2026-05-15")</f>
        <v>2026-05-15</v>
      </c>
      <c r="E2" s="121" t="str">
        <f>IFERROR(__xludf.DUMMYFUNCTION("""COMPUTED_VALUE"""),"2026-05-16")</f>
        <v>2026-05-16</v>
      </c>
      <c r="F2" s="121" t="str">
        <f>IFERROR(__xludf.DUMMYFUNCTION("""COMPUTED_VALUE"""),"2026-05-17")</f>
        <v>2026-05-17</v>
      </c>
      <c r="G2" s="121" t="str">
        <f>IFERROR(__xludf.DUMMYFUNCTION("""COMPUTED_VALUE"""),"2026-05-18")</f>
        <v>2026-05-18</v>
      </c>
      <c r="H2" s="121" t="str">
        <f>IFERROR(__xludf.DUMMYFUNCTION("""COMPUTED_VALUE"""),"2026-05-19")</f>
        <v>2026-05-19</v>
      </c>
      <c r="I2" s="121" t="str">
        <f>IFERROR(__xludf.DUMMYFUNCTION("""COMPUTED_VALUE"""),"2026-05-20")</f>
        <v>2026-05-20</v>
      </c>
      <c r="J2" s="265" t="s">
        <v>37</v>
      </c>
      <c r="K2" s="265" t="s">
        <v>38</v>
      </c>
    </row>
    <row r="3">
      <c r="A3" s="95" t="str">
        <f>IFERROR(__xludf.DUMMYFUNCTION("""COMPUTED_VALUE"""),"Nguyễn Thị Bảo Nhi")</f>
        <v>Nguyễn Thị Bảo Nhi</v>
      </c>
      <c r="B3" s="95">
        <f>IFERROR(__xludf.DUMMYFUNCTION("""COMPUTED_VALUE"""),0.11917098445595854)</f>
        <v>0.1191709845</v>
      </c>
      <c r="C3" s="95">
        <f>IFERROR(__xludf.DUMMYFUNCTION("""COMPUTED_VALUE"""),0.08942307692307692)</f>
        <v>0.08942307692</v>
      </c>
      <c r="D3" s="95">
        <f>IFERROR(__xludf.DUMMYFUNCTION("""COMPUTED_VALUE"""),0.10344827586206896)</f>
        <v>0.1034482759</v>
      </c>
      <c r="E3" s="95">
        <f>IFERROR(__xludf.DUMMYFUNCTION("""COMPUTED_VALUE"""),0.09325044404973357)</f>
        <v>0.09325044405</v>
      </c>
      <c r="F3" s="95">
        <f>IFERROR(__xludf.DUMMYFUNCTION("""COMPUTED_VALUE"""),0.08945147679324894)</f>
        <v>0.08945147679</v>
      </c>
      <c r="G3" s="95">
        <f>IFERROR(__xludf.DUMMYFUNCTION("""COMPUTED_VALUE"""),0.10536779324055666)</f>
        <v>0.1053677932</v>
      </c>
      <c r="H3" s="95">
        <f>IFERROR(__xludf.DUMMYFUNCTION("""COMPUTED_VALUE"""),0.12003872216844143)</f>
        <v>0.1200387222</v>
      </c>
      <c r="I3" s="95">
        <f>IFERROR(__xludf.DUMMYFUNCTION("""COMPUTED_VALUE"""),0.11167002012072434)</f>
        <v>0.1116700201</v>
      </c>
      <c r="J3" s="95">
        <f t="shared" ref="J3:J18" si="1">I3-B3</f>
        <v>-0.007500964335</v>
      </c>
      <c r="K3" s="95">
        <f t="shared" ref="K3:K18" si="2">I3-H3</f>
        <v>-0.008368702048</v>
      </c>
    </row>
    <row r="4">
      <c r="A4" s="95" t="str">
        <f>IFERROR(__xludf.DUMMYFUNCTION("""COMPUTED_VALUE"""),"Nguyễn Ngọc Hà")</f>
        <v>Nguyễn Ngọc Hà</v>
      </c>
      <c r="B4" s="95">
        <f>IFERROR(__xludf.DUMMYFUNCTION("""COMPUTED_VALUE"""),0.10237388724035608)</f>
        <v>0.1023738872</v>
      </c>
      <c r="C4" s="95">
        <f>IFERROR(__xludf.DUMMYFUNCTION("""COMPUTED_VALUE"""),0.08968609865470852)</f>
        <v>0.08968609865</v>
      </c>
      <c r="D4" s="95">
        <f>IFERROR(__xludf.DUMMYFUNCTION("""COMPUTED_VALUE"""),0.11499272197962154)</f>
        <v>0.114992722</v>
      </c>
      <c r="E4" s="95">
        <f>IFERROR(__xludf.DUMMYFUNCTION("""COMPUTED_VALUE"""),0.07038123167155426)</f>
        <v>0.07038123167</v>
      </c>
      <c r="F4" s="95">
        <f>IFERROR(__xludf.DUMMYFUNCTION("""COMPUTED_VALUE"""),0.10594795539033457)</f>
        <v>0.1059479554</v>
      </c>
      <c r="G4" s="95">
        <f>IFERROR(__xludf.DUMMYFUNCTION("""COMPUTED_VALUE"""),0.08199121522693997)</f>
        <v>0.08199121523</v>
      </c>
      <c r="H4" s="95">
        <f>IFERROR(__xludf.DUMMYFUNCTION("""COMPUTED_VALUE"""),0.0935483870967742)</f>
        <v>0.0935483871</v>
      </c>
      <c r="I4" s="95">
        <f>IFERROR(__xludf.DUMMYFUNCTION("""COMPUTED_VALUE"""),0.10445682451253482)</f>
        <v>0.1044568245</v>
      </c>
      <c r="J4" s="95">
        <f t="shared" si="1"/>
        <v>0.002082937272</v>
      </c>
      <c r="K4" s="95">
        <f t="shared" si="2"/>
        <v>0.01090843742</v>
      </c>
    </row>
    <row r="5">
      <c r="A5" s="95" t="str">
        <f>IFERROR(__xludf.DUMMYFUNCTION("""COMPUTED_VALUE"""),"Nguyễn Văn Sáng")</f>
        <v>Nguyễn Văn Sáng</v>
      </c>
      <c r="B5" s="95">
        <f>IFERROR(__xludf.DUMMYFUNCTION("""COMPUTED_VALUE"""),0.08684546615581099)</f>
        <v>0.08684546616</v>
      </c>
      <c r="C5" s="95">
        <f>IFERROR(__xludf.DUMMYFUNCTION("""COMPUTED_VALUE"""),0.10334703464474457)</f>
        <v>0.1033470346</v>
      </c>
      <c r="D5" s="95">
        <f>IFERROR(__xludf.DUMMYFUNCTION("""COMPUTED_VALUE"""),0.11470911086717893)</f>
        <v>0.1147091109</v>
      </c>
      <c r="E5" s="95">
        <f>IFERROR(__xludf.DUMMYFUNCTION("""COMPUTED_VALUE"""),0.06972789115646258)</f>
        <v>0.06972789116</v>
      </c>
      <c r="F5" s="95">
        <f>IFERROR(__xludf.DUMMYFUNCTION("""COMPUTED_VALUE"""),0.07905853952926976)</f>
        <v>0.07905853953</v>
      </c>
      <c r="G5" s="95">
        <f>IFERROR(__xludf.DUMMYFUNCTION("""COMPUTED_VALUE"""),0.09526736324523663)</f>
        <v>0.09526736325</v>
      </c>
      <c r="H5" s="95">
        <f>IFERROR(__xludf.DUMMYFUNCTION("""COMPUTED_VALUE"""),0.11403508771929824)</f>
        <v>0.1140350877</v>
      </c>
      <c r="I5" s="95">
        <f>IFERROR(__xludf.DUMMYFUNCTION("""COMPUTED_VALUE"""),0.10150375939849623)</f>
        <v>0.1015037594</v>
      </c>
      <c r="J5" s="95">
        <f t="shared" si="1"/>
        <v>0.01465829324</v>
      </c>
      <c r="K5" s="95">
        <f t="shared" si="2"/>
        <v>-0.01253132832</v>
      </c>
    </row>
    <row r="6">
      <c r="A6" s="95" t="str">
        <f>IFERROR(__xludf.DUMMYFUNCTION("""COMPUTED_VALUE"""),"Nguyễn Hoàng Anh")</f>
        <v>Nguyễn Hoàng Anh</v>
      </c>
      <c r="B6" s="95">
        <f>IFERROR(__xludf.DUMMYFUNCTION("""COMPUTED_VALUE"""),0.14031413612565444)</f>
        <v>0.1403141361</v>
      </c>
      <c r="C6" s="95">
        <f>IFERROR(__xludf.DUMMYFUNCTION("""COMPUTED_VALUE"""),0.08971774193548387)</f>
        <v>0.08971774194</v>
      </c>
      <c r="D6" s="95">
        <f>IFERROR(__xludf.DUMMYFUNCTION("""COMPUTED_VALUE"""),0.09274873524451939)</f>
        <v>0.09274873524</v>
      </c>
      <c r="E6" s="95">
        <f>IFERROR(__xludf.DUMMYFUNCTION("""COMPUTED_VALUE"""),0.07013201320132013)</f>
        <v>0.0701320132</v>
      </c>
      <c r="F6" s="95">
        <f>IFERROR(__xludf.DUMMYFUNCTION("""COMPUTED_VALUE"""),0.0825451418744626)</f>
        <v>0.08254514187</v>
      </c>
      <c r="G6" s="95">
        <f>IFERROR(__xludf.DUMMYFUNCTION("""COMPUTED_VALUE"""),0.06673114119922631)</f>
        <v>0.0667311412</v>
      </c>
      <c r="H6" s="95">
        <f>IFERROR(__xludf.DUMMYFUNCTION("""COMPUTED_VALUE"""),0.09896324222431668)</f>
        <v>0.09896324222</v>
      </c>
      <c r="I6" s="95">
        <f>IFERROR(__xludf.DUMMYFUNCTION("""COMPUTED_VALUE"""),0.09959758551307847)</f>
        <v>0.09959758551</v>
      </c>
      <c r="J6" s="95">
        <f t="shared" si="1"/>
        <v>-0.04071655061</v>
      </c>
      <c r="K6" s="95">
        <f t="shared" si="2"/>
        <v>0.0006343432888</v>
      </c>
    </row>
    <row r="7">
      <c r="A7" s="95" t="str">
        <f>IFERROR(__xludf.DUMMYFUNCTION("""COMPUTED_VALUE"""),"Lê Văn Tài")</f>
        <v>Lê Văn Tài</v>
      </c>
      <c r="B7" s="95">
        <f>IFERROR(__xludf.DUMMYFUNCTION("""COMPUTED_VALUE"""),0.09637404580152671)</f>
        <v>0.0963740458</v>
      </c>
      <c r="C7" s="95">
        <f>IFERROR(__xludf.DUMMYFUNCTION("""COMPUTED_VALUE"""),0.09136546184738956)</f>
        <v>0.09136546185</v>
      </c>
      <c r="D7" s="95">
        <f>IFERROR(__xludf.DUMMYFUNCTION("""COMPUTED_VALUE"""),0.08597662771285476)</f>
        <v>0.08597662771</v>
      </c>
      <c r="E7" s="95">
        <f>IFERROR(__xludf.DUMMYFUNCTION("""COMPUTED_VALUE"""),0.08544839255499154)</f>
        <v>0.08544839255</v>
      </c>
      <c r="F7" s="95">
        <f>IFERROR(__xludf.DUMMYFUNCTION("""COMPUTED_VALUE"""),0.06891025641025642)</f>
        <v>0.06891025641</v>
      </c>
      <c r="G7" s="95">
        <f>IFERROR(__xludf.DUMMYFUNCTION("""COMPUTED_VALUE"""),0.09855334538878843)</f>
        <v>0.09855334539</v>
      </c>
      <c r="H7" s="95">
        <f>IFERROR(__xludf.DUMMYFUNCTION("""COMPUTED_VALUE"""),0.11436672967863894)</f>
        <v>0.1143667297</v>
      </c>
      <c r="I7" s="95">
        <f>IFERROR(__xludf.DUMMYFUNCTION("""COMPUTED_VALUE"""),0.09221902017291066)</f>
        <v>0.09221902017</v>
      </c>
      <c r="J7" s="95">
        <f t="shared" si="1"/>
        <v>-0.004155025629</v>
      </c>
      <c r="K7" s="95">
        <f t="shared" si="2"/>
        <v>-0.02214770951</v>
      </c>
    </row>
    <row r="8">
      <c r="A8" s="95" t="str">
        <f>IFERROR(__xludf.DUMMYFUNCTION("""COMPUTED_VALUE"""),"Nguyễn Công Luận")</f>
        <v>Nguyễn Công Luận</v>
      </c>
      <c r="B8" s="95">
        <f>IFERROR(__xludf.DUMMYFUNCTION("""COMPUTED_VALUE"""),0.07519325368938862)</f>
        <v>0.07519325369</v>
      </c>
      <c r="C8" s="95">
        <f>IFERROR(__xludf.DUMMYFUNCTION("""COMPUTED_VALUE"""),0.08699397071490095)</f>
        <v>0.08699397071</v>
      </c>
      <c r="D8" s="95">
        <f>IFERROR(__xludf.DUMMYFUNCTION("""COMPUTED_VALUE"""),0.10250737463126844)</f>
        <v>0.1025073746</v>
      </c>
      <c r="E8" s="95">
        <f>IFERROR(__xludf.DUMMYFUNCTION("""COMPUTED_VALUE"""),0.06468023255813954)</f>
        <v>0.06468023256</v>
      </c>
      <c r="F8" s="95">
        <f>IFERROR(__xludf.DUMMYFUNCTION("""COMPUTED_VALUE"""),0.0482361411087113)</f>
        <v>0.04823614111</v>
      </c>
      <c r="G8" s="95">
        <f>IFERROR(__xludf.DUMMYFUNCTION("""COMPUTED_VALUE"""),0.11016949152542373)</f>
        <v>0.1101694915</v>
      </c>
      <c r="H8" s="95">
        <f>IFERROR(__xludf.DUMMYFUNCTION("""COMPUTED_VALUE"""),0.07685009487666034)</f>
        <v>0.07685009488</v>
      </c>
      <c r="I8" s="95">
        <f>IFERROR(__xludf.DUMMYFUNCTION("""COMPUTED_VALUE"""),0.08669354838709678)</f>
        <v>0.08669354839</v>
      </c>
      <c r="J8" s="95">
        <f t="shared" si="1"/>
        <v>0.0115002947</v>
      </c>
      <c r="K8" s="95">
        <f t="shared" si="2"/>
        <v>0.00984345351</v>
      </c>
    </row>
    <row r="9">
      <c r="A9" s="94" t="str">
        <f>IFERROR(__xludf.DUMMYFUNCTION("""COMPUTED_VALUE"""),"Mai Đức Hoàng Long")</f>
        <v>Mai Đức Hoàng Long</v>
      </c>
      <c r="B9" s="95">
        <f>IFERROR(__xludf.DUMMYFUNCTION("""COMPUTED_VALUE"""),0.09248554913294797)</f>
        <v>0.09248554913</v>
      </c>
      <c r="C9" s="95">
        <f>IFERROR(__xludf.DUMMYFUNCTION("""COMPUTED_VALUE"""),0.06834030683403068)</f>
        <v>0.06834030683</v>
      </c>
      <c r="D9" s="95">
        <f>IFERROR(__xludf.DUMMYFUNCTION("""COMPUTED_VALUE"""),0.09037900874635568)</f>
        <v>0.09037900875</v>
      </c>
      <c r="E9" s="95">
        <f>IFERROR(__xludf.DUMMYFUNCTION("""COMPUTED_VALUE"""),0.08880778588807786)</f>
        <v>0.08880778589</v>
      </c>
      <c r="F9" s="95">
        <f>IFERROR(__xludf.DUMMYFUNCTION("""COMPUTED_VALUE"""),0.058902275769745646)</f>
        <v>0.05890227577</v>
      </c>
      <c r="G9" s="95">
        <f>IFERROR(__xludf.DUMMYFUNCTION("""COMPUTED_VALUE"""),0.0907563025210084)</f>
        <v>0.09075630252</v>
      </c>
      <c r="H9" s="95">
        <f>IFERROR(__xludf.DUMMYFUNCTION("""COMPUTED_VALUE"""),0.08192457737321196)</f>
        <v>0.08192457737</v>
      </c>
      <c r="I9" s="95">
        <f>IFERROR(__xludf.DUMMYFUNCTION("""COMPUTED_VALUE"""),0.08527131782945736)</f>
        <v>0.08527131783</v>
      </c>
      <c r="J9" s="95">
        <f t="shared" si="1"/>
        <v>-0.007214231303</v>
      </c>
      <c r="K9" s="95">
        <f t="shared" si="2"/>
        <v>0.003346740456</v>
      </c>
    </row>
    <row r="10">
      <c r="A10" s="95" t="str">
        <f>IFERROR(__xludf.DUMMYFUNCTION("""COMPUTED_VALUE"""),"Lê Trọng Khiêm")</f>
        <v>Lê Trọng Khiêm</v>
      </c>
      <c r="B10" s="95">
        <f>IFERROR(__xludf.DUMMYFUNCTION("""COMPUTED_VALUE"""),0.07235772357723577)</f>
        <v>0.07235772358</v>
      </c>
      <c r="C10" s="95">
        <f>IFERROR(__xludf.DUMMYFUNCTION("""COMPUTED_VALUE"""),0.054204308547602505)</f>
        <v>0.05420430855</v>
      </c>
      <c r="D10" s="95">
        <f>IFERROR(__xludf.DUMMYFUNCTION("""COMPUTED_VALUE"""),0.0589159465828751)</f>
        <v>0.05891594658</v>
      </c>
      <c r="E10" s="95">
        <f>IFERROR(__xludf.DUMMYFUNCTION("""COMPUTED_VALUE"""),0.04645476772616137)</f>
        <v>0.04645476773</v>
      </c>
      <c r="F10" s="95">
        <f>IFERROR(__xludf.DUMMYFUNCTION("""COMPUTED_VALUE"""),0.05955143078112916)</f>
        <v>0.05955143078</v>
      </c>
      <c r="G10" s="95">
        <f>IFERROR(__xludf.DUMMYFUNCTION("""COMPUTED_VALUE"""),0.07808340727595386)</f>
        <v>0.07808340728</v>
      </c>
      <c r="H10" s="95">
        <f>IFERROR(__xludf.DUMMYFUNCTION("""COMPUTED_VALUE"""),0.08915145005370569)</f>
        <v>0.08915145005</v>
      </c>
      <c r="I10" s="95">
        <f>IFERROR(__xludf.DUMMYFUNCTION("""COMPUTED_VALUE"""),0.06586402266288952)</f>
        <v>0.06586402266</v>
      </c>
      <c r="J10" s="95">
        <f t="shared" si="1"/>
        <v>-0.006493700914</v>
      </c>
      <c r="K10" s="95">
        <f t="shared" si="2"/>
        <v>-0.02328742739</v>
      </c>
    </row>
    <row r="11">
      <c r="A11" s="95" t="str">
        <f>IFERROR(__xludf.DUMMYFUNCTION("""COMPUTED_VALUE"""),"Ngô Thị Bích Trâm")</f>
        <v>Ngô Thị Bích Trâm</v>
      </c>
      <c r="B11" s="95">
        <f>IFERROR(__xludf.DUMMYFUNCTION("""COMPUTED_VALUE"""),0.07252440725244072)</f>
        <v>0.07252440725</v>
      </c>
      <c r="C11" s="95">
        <f>IFERROR(__xludf.DUMMYFUNCTION("""COMPUTED_VALUE"""),0.09878542510121457)</f>
        <v>0.0987854251</v>
      </c>
      <c r="D11" s="95">
        <f>IFERROR(__xludf.DUMMYFUNCTION("""COMPUTED_VALUE"""),0.07227958697378872)</f>
        <v>0.07227958697</v>
      </c>
      <c r="E11" s="95">
        <f>IFERROR(__xludf.DUMMYFUNCTION("""COMPUTED_VALUE"""),0.08837579617834394)</f>
        <v>0.08837579618</v>
      </c>
      <c r="F11" s="95">
        <f>IFERROR(__xludf.DUMMYFUNCTION("""COMPUTED_VALUE"""),0.06067961165048544)</f>
        <v>0.06067961165</v>
      </c>
      <c r="G11" s="95">
        <f>IFERROR(__xludf.DUMMYFUNCTION("""COMPUTED_VALUE"""),0.08314087759815242)</f>
        <v>0.0831408776</v>
      </c>
      <c r="H11" s="95">
        <f>IFERROR(__xludf.DUMMYFUNCTION("""COMPUTED_VALUE"""),0.1076581576026637)</f>
        <v>0.1076581576</v>
      </c>
      <c r="I11" s="95">
        <f>IFERROR(__xludf.DUMMYFUNCTION("""COMPUTED_VALUE"""),0.06532663316582915)</f>
        <v>0.06532663317</v>
      </c>
      <c r="J11" s="95">
        <f t="shared" si="1"/>
        <v>-0.007197774087</v>
      </c>
      <c r="K11" s="95">
        <f t="shared" si="2"/>
        <v>-0.04233152444</v>
      </c>
    </row>
    <row r="12">
      <c r="A12" s="95" t="str">
        <f>IFERROR(__xludf.DUMMYFUNCTION("""COMPUTED_VALUE"""),"Phan Thị Mỹ Chi")</f>
        <v>Phan Thị Mỹ Chi</v>
      </c>
      <c r="B12" s="95">
        <f>IFERROR(__xludf.DUMMYFUNCTION("""COMPUTED_VALUE"""),0.04697986577181208)</f>
        <v>0.04697986577</v>
      </c>
      <c r="C12" s="95">
        <f>IFERROR(__xludf.DUMMYFUNCTION("""COMPUTED_VALUE"""),0.06828193832599119)</f>
        <v>0.06828193833</v>
      </c>
      <c r="D12" s="95">
        <f>IFERROR(__xludf.DUMMYFUNCTION("""COMPUTED_VALUE"""),0.06284454244762955)</f>
        <v>0.06284454245</v>
      </c>
      <c r="E12" s="95">
        <f>IFERROR(__xludf.DUMMYFUNCTION("""COMPUTED_VALUE"""),0.0532825880114177)</f>
        <v>0.05328258801</v>
      </c>
      <c r="F12" s="95">
        <f>IFERROR(__xludf.DUMMYFUNCTION("""COMPUTED_VALUE"""),0.04751131221719457)</f>
        <v>0.04751131222</v>
      </c>
      <c r="G12" s="95">
        <f>IFERROR(__xludf.DUMMYFUNCTION("""COMPUTED_VALUE"""),0.10400763358778627)</f>
        <v>0.1040076336</v>
      </c>
      <c r="H12" s="95">
        <f>IFERROR(__xludf.DUMMYFUNCTION("""COMPUTED_VALUE"""),0.09076682316118936)</f>
        <v>0.09076682316</v>
      </c>
      <c r="I12" s="95">
        <f>IFERROR(__xludf.DUMMYFUNCTION("""COMPUTED_VALUE"""),0.06521739130434782)</f>
        <v>0.0652173913</v>
      </c>
      <c r="J12" s="95">
        <f t="shared" si="1"/>
        <v>0.01823752553</v>
      </c>
      <c r="K12" s="95">
        <f t="shared" si="2"/>
        <v>-0.02554943186</v>
      </c>
    </row>
    <row r="13">
      <c r="A13" s="95" t="str">
        <f>IFERROR(__xludf.DUMMYFUNCTION("""COMPUTED_VALUE"""),"Huỳnh Thị Mới")</f>
        <v>Huỳnh Thị Mới</v>
      </c>
      <c r="B13" s="95">
        <f>IFERROR(__xludf.DUMMYFUNCTION("""COMPUTED_VALUE"""),0.07307692307692308)</f>
        <v>0.07307692308</v>
      </c>
      <c r="C13" s="95">
        <f>IFERROR(__xludf.DUMMYFUNCTION("""COMPUTED_VALUE"""),0.05670103092783505)</f>
        <v>0.05670103093</v>
      </c>
      <c r="D13" s="95">
        <f>IFERROR(__xludf.DUMMYFUNCTION("""COMPUTED_VALUE"""),0.07963354474982381)</f>
        <v>0.07963354475</v>
      </c>
      <c r="E13" s="95">
        <f>IFERROR(__xludf.DUMMYFUNCTION("""COMPUTED_VALUE"""),0.06743295019157088)</f>
        <v>0.06743295019</v>
      </c>
      <c r="F13" s="95">
        <f>IFERROR(__xludf.DUMMYFUNCTION("""COMPUTED_VALUE"""),0.0603448275862069)</f>
        <v>0.06034482759</v>
      </c>
      <c r="G13" s="95">
        <f>IFERROR(__xludf.DUMMYFUNCTION("""COMPUTED_VALUE"""),0.07349491790461297)</f>
        <v>0.0734949179</v>
      </c>
      <c r="H13" s="95">
        <f>IFERROR(__xludf.DUMMYFUNCTION("""COMPUTED_VALUE"""),0.09794776119402986)</f>
        <v>0.09794776119</v>
      </c>
      <c r="I13" s="95">
        <f>IFERROR(__xludf.DUMMYFUNCTION("""COMPUTED_VALUE"""),0.05854956753160346)</f>
        <v>0.05854956753</v>
      </c>
      <c r="J13" s="95">
        <f t="shared" si="1"/>
        <v>-0.01452735555</v>
      </c>
      <c r="K13" s="95">
        <f t="shared" si="2"/>
        <v>-0.03939819366</v>
      </c>
    </row>
    <row r="14">
      <c r="A14" s="95" t="str">
        <f>IFERROR(__xludf.DUMMYFUNCTION("""COMPUTED_VALUE"""),"Phan Thanh Thức")</f>
        <v>Phan Thanh Thức</v>
      </c>
      <c r="B14" s="95">
        <f>IFERROR(__xludf.DUMMYFUNCTION("""COMPUTED_VALUE"""),0.06699751861042183)</f>
        <v>0.06699751861</v>
      </c>
      <c r="C14" s="95">
        <f>IFERROR(__xludf.DUMMYFUNCTION("""COMPUTED_VALUE"""),0.06746213859568609)</f>
        <v>0.0674621386</v>
      </c>
      <c r="D14" s="95">
        <f>IFERROR(__xludf.DUMMYFUNCTION("""COMPUTED_VALUE"""),0.07467532467532467)</f>
        <v>0.07467532468</v>
      </c>
      <c r="E14" s="95">
        <f>IFERROR(__xludf.DUMMYFUNCTION("""COMPUTED_VALUE"""),0.07409410492157924)</f>
        <v>0.07409410492</v>
      </c>
      <c r="F14" s="95">
        <f>IFERROR(__xludf.DUMMYFUNCTION("""COMPUTED_VALUE"""),0.05985552115583075)</f>
        <v>0.05985552116</v>
      </c>
      <c r="G14" s="95">
        <f>IFERROR(__xludf.DUMMYFUNCTION("""COMPUTED_VALUE"""),0.07097118463180363)</f>
        <v>0.07097118463</v>
      </c>
      <c r="H14" s="95">
        <f>IFERROR(__xludf.DUMMYFUNCTION("""COMPUTED_VALUE"""),0.1029113067027759)</f>
        <v>0.1029113067</v>
      </c>
      <c r="I14" s="95">
        <f>IFERROR(__xludf.DUMMYFUNCTION("""COMPUTED_VALUE"""),0.058011049723756904)</f>
        <v>0.05801104972</v>
      </c>
      <c r="J14" s="95">
        <f t="shared" si="1"/>
        <v>-0.008986468887</v>
      </c>
      <c r="K14" s="95">
        <f t="shared" si="2"/>
        <v>-0.04490025698</v>
      </c>
    </row>
    <row r="15">
      <c r="A15" s="95" t="str">
        <f>IFERROR(__xludf.DUMMYFUNCTION("""COMPUTED_VALUE"""),"Võ Thanh Diệu")</f>
        <v>Võ Thanh Diệu</v>
      </c>
      <c r="B15" s="95">
        <f>IFERROR(__xludf.DUMMYFUNCTION("""COMPUTED_VALUE"""),0.06028938906752412)</f>
        <v>0.06028938907</v>
      </c>
      <c r="C15" s="95">
        <f>IFERROR(__xludf.DUMMYFUNCTION("""COMPUTED_VALUE"""),0.07036747458952307)</f>
        <v>0.07036747459</v>
      </c>
      <c r="D15" s="95">
        <f>IFERROR(__xludf.DUMMYFUNCTION("""COMPUTED_VALUE"""),0.06201550387596899)</f>
        <v>0.06201550388</v>
      </c>
      <c r="E15" s="95">
        <f>IFERROR(__xludf.DUMMYFUNCTION("""COMPUTED_VALUE"""),0.06255666364460562)</f>
        <v>0.06255666364</v>
      </c>
      <c r="F15" s="95">
        <f>IFERROR(__xludf.DUMMYFUNCTION("""COMPUTED_VALUE"""),0.058823529411764705)</f>
        <v>0.05882352941</v>
      </c>
      <c r="G15" s="95">
        <f>IFERROR(__xludf.DUMMYFUNCTION("""COMPUTED_VALUE"""),0.07217391304347825)</f>
        <v>0.07217391304</v>
      </c>
      <c r="H15" s="95">
        <f>IFERROR(__xludf.DUMMYFUNCTION("""COMPUTED_VALUE"""),0.0904311251314406)</f>
        <v>0.09043112513</v>
      </c>
      <c r="I15" s="95">
        <f>IFERROR(__xludf.DUMMYFUNCTION("""COMPUTED_VALUE"""),0.05792044661549198)</f>
        <v>0.05792044662</v>
      </c>
      <c r="J15" s="95">
        <f t="shared" si="1"/>
        <v>-0.002368942452</v>
      </c>
      <c r="K15" s="95">
        <f t="shared" si="2"/>
        <v>-0.03251067852</v>
      </c>
    </row>
    <row r="16">
      <c r="A16" s="95" t="str">
        <f>IFERROR(__xludf.DUMMYFUNCTION("""COMPUTED_VALUE"""),"Nguyễn Đình Trung")</f>
        <v>Nguyễn Đình Trung</v>
      </c>
      <c r="B16" s="95">
        <f>IFERROR(__xludf.DUMMYFUNCTION("""COMPUTED_VALUE"""),0.04758572428271519)</f>
        <v>0.04758572428</v>
      </c>
      <c r="C16" s="95">
        <f>IFERROR(__xludf.DUMMYFUNCTION("""COMPUTED_VALUE"""),0.07306338028169014)</f>
        <v>0.07306338028</v>
      </c>
      <c r="D16" s="95">
        <f>IFERROR(__xludf.DUMMYFUNCTION("""COMPUTED_VALUE"""),0.0664)</f>
        <v>0.0664</v>
      </c>
      <c r="E16" s="95">
        <f>IFERROR(__xludf.DUMMYFUNCTION("""COMPUTED_VALUE"""),0.0669090909090909)</f>
        <v>0.06690909091</v>
      </c>
      <c r="F16" s="95">
        <f>IFERROR(__xludf.DUMMYFUNCTION("""COMPUTED_VALUE"""),0.045813586097946286)</f>
        <v>0.0458135861</v>
      </c>
      <c r="G16" s="95">
        <f>IFERROR(__xludf.DUMMYFUNCTION("""COMPUTED_VALUE"""),0.06999195494770716)</f>
        <v>0.06999195495</v>
      </c>
      <c r="H16" s="95">
        <f>IFERROR(__xludf.DUMMYFUNCTION("""COMPUTED_VALUE"""),0.0906801007556675)</f>
        <v>0.09068010076</v>
      </c>
      <c r="I16" s="95">
        <f>IFERROR(__xludf.DUMMYFUNCTION("""COMPUTED_VALUE"""),0.05174825174825175)</f>
        <v>0.05174825175</v>
      </c>
      <c r="J16" s="95">
        <f t="shared" si="1"/>
        <v>0.004162527466</v>
      </c>
      <c r="K16" s="95">
        <f t="shared" si="2"/>
        <v>-0.03893184901</v>
      </c>
    </row>
    <row r="17">
      <c r="A17" s="95" t="str">
        <f>IFERROR(__xludf.DUMMYFUNCTION("""COMPUTED_VALUE"""),"Trần Nhật Thương")</f>
        <v>Trần Nhật Thương</v>
      </c>
      <c r="B17" s="95">
        <f>IFERROR(__xludf.DUMMYFUNCTION("""COMPUTED_VALUE"""),0.06507791017415215)</f>
        <v>0.06507791017</v>
      </c>
      <c r="C17" s="95">
        <f>IFERROR(__xludf.DUMMYFUNCTION("""COMPUTED_VALUE"""),0.06358381502890173)</f>
        <v>0.06358381503</v>
      </c>
      <c r="D17" s="95">
        <f>IFERROR(__xludf.DUMMYFUNCTION("""COMPUTED_VALUE"""),0.06807131280388978)</f>
        <v>0.0680713128</v>
      </c>
      <c r="E17" s="95">
        <f>IFERROR(__xludf.DUMMYFUNCTION("""COMPUTED_VALUE"""),0.06233303650934995)</f>
        <v>0.06233303651</v>
      </c>
      <c r="F17" s="95">
        <f>IFERROR(__xludf.DUMMYFUNCTION("""COMPUTED_VALUE"""),0.06506024096385542)</f>
        <v>0.06506024096</v>
      </c>
      <c r="G17" s="95">
        <f>IFERROR(__xludf.DUMMYFUNCTION("""COMPUTED_VALUE"""),0.08019323671497584)</f>
        <v>0.08019323671</v>
      </c>
      <c r="H17" s="95">
        <f>IFERROR(__xludf.DUMMYFUNCTION("""COMPUTED_VALUE"""),0.09335038363171355)</f>
        <v>0.09335038363</v>
      </c>
      <c r="I17" s="95">
        <f>IFERROR(__xludf.DUMMYFUNCTION("""COMPUTED_VALUE"""),0.04852160727824109)</f>
        <v>0.04852160728</v>
      </c>
      <c r="J17" s="95">
        <f t="shared" si="1"/>
        <v>-0.0165563029</v>
      </c>
      <c r="K17" s="95">
        <f t="shared" si="2"/>
        <v>-0.04482877635</v>
      </c>
    </row>
    <row r="18">
      <c r="A18" s="266" t="str">
        <f>IFERROR(__xludf.DUMMYFUNCTION("""COMPUTED_VALUE"""),"Tổng cộng")</f>
        <v>Tổng cộng</v>
      </c>
      <c r="B18" s="267">
        <f>IFERROR(__xludf.DUMMYFUNCTION("""COMPUTED_VALUE"""),0.0779722789773041)</f>
        <v>0.07797227898</v>
      </c>
      <c r="C18" s="267">
        <f>IFERROR(__xludf.DUMMYFUNCTION("""COMPUTED_VALUE"""),0.07718065543173959)</f>
        <v>0.07718065543</v>
      </c>
      <c r="D18" s="267">
        <f>IFERROR(__xludf.DUMMYFUNCTION("""COMPUTED_VALUE"""),0.08290018033308581)</f>
        <v>0.08290018033</v>
      </c>
      <c r="E18" s="267">
        <f>IFERROR(__xludf.DUMMYFUNCTION("""COMPUTED_VALUE"""),0.07066601636590256)</f>
        <v>0.07066601637</v>
      </c>
      <c r="F18" s="267">
        <f>IFERROR(__xludf.DUMMYFUNCTION("""COMPUTED_VALUE"""),0.06479304499972662)</f>
        <v>0.064793045</v>
      </c>
      <c r="G18" s="267">
        <f>IFERROR(__xludf.DUMMYFUNCTION("""COMPUTED_VALUE"""),0.0848655481498506)</f>
        <v>0.08486554815</v>
      </c>
      <c r="H18" s="267">
        <f>IFERROR(__xludf.DUMMYFUNCTION("""COMPUTED_VALUE"""),0.09917856180985726)</f>
        <v>0.09917856181</v>
      </c>
      <c r="I18" s="267">
        <f>IFERROR(__xludf.DUMMYFUNCTION("""COMPUTED_VALUE"""),0.07371327359866639)</f>
        <v>0.0737132736</v>
      </c>
      <c r="J18" s="268">
        <f t="shared" si="1"/>
        <v>-0.004259005379</v>
      </c>
      <c r="K18" s="268">
        <f t="shared" si="2"/>
        <v>-0.02546528821</v>
      </c>
    </row>
    <row r="19">
      <c r="A19" s="48"/>
      <c r="B19" s="48"/>
      <c r="C19" s="48"/>
      <c r="D19" s="48"/>
      <c r="E19" s="48"/>
      <c r="F19" s="48"/>
      <c r="G19" s="48"/>
      <c r="H19" s="48"/>
      <c r="I19" s="48"/>
    </row>
    <row r="24">
      <c r="A24" s="269" t="s">
        <v>41</v>
      </c>
      <c r="B24" s="270" t="s">
        <v>34</v>
      </c>
      <c r="C24" s="74"/>
      <c r="D24" s="74"/>
      <c r="E24" s="74"/>
      <c r="F24" s="74"/>
      <c r="G24" s="74"/>
      <c r="H24" s="75"/>
      <c r="I24" s="271" t="s">
        <v>35</v>
      </c>
      <c r="J24" s="272" t="s">
        <v>36</v>
      </c>
      <c r="K24" s="75"/>
    </row>
    <row r="25">
      <c r="A25" s="120" t="str">
        <f>IFERROR(__xludf.DUMMYFUNCTION("IMPORTRANGE(""https://docs.google.com/spreadsheets/d/1487b2qDJjFxuit1ljyyJ220-vW46d0ImSvFQle7Fw-k/edit?gid=1485353984#gid=1485353984"",""FD BC!h72:p140"")"),"BC")</f>
        <v>BC</v>
      </c>
      <c r="B25" s="121" t="str">
        <f>IFERROR(__xludf.DUMMYFUNCTION("""COMPUTED_VALUE"""),"2026-05-13")</f>
        <v>2026-05-13</v>
      </c>
      <c r="C25" s="121" t="str">
        <f>IFERROR(__xludf.DUMMYFUNCTION("""COMPUTED_VALUE"""),"2026-05-14")</f>
        <v>2026-05-14</v>
      </c>
      <c r="D25" s="121" t="str">
        <f>IFERROR(__xludf.DUMMYFUNCTION("""COMPUTED_VALUE"""),"2026-05-15")</f>
        <v>2026-05-15</v>
      </c>
      <c r="E25" s="121" t="str">
        <f>IFERROR(__xludf.DUMMYFUNCTION("""COMPUTED_VALUE"""),"2026-05-16")</f>
        <v>2026-05-16</v>
      </c>
      <c r="F25" s="121" t="str">
        <f>IFERROR(__xludf.DUMMYFUNCTION("""COMPUTED_VALUE"""),"2026-05-17")</f>
        <v>2026-05-17</v>
      </c>
      <c r="G25" s="121" t="str">
        <f>IFERROR(__xludf.DUMMYFUNCTION("""COMPUTED_VALUE"""),"2026-05-18")</f>
        <v>2026-05-18</v>
      </c>
      <c r="H25" s="121" t="str">
        <f>IFERROR(__xludf.DUMMYFUNCTION("""COMPUTED_VALUE"""),"2026-05-19")</f>
        <v>2026-05-19</v>
      </c>
      <c r="I25" s="121" t="str">
        <f>IFERROR(__xludf.DUMMYFUNCTION("""COMPUTED_VALUE"""),"2026-05-20")</f>
        <v>2026-05-20</v>
      </c>
      <c r="J25" s="265" t="s">
        <v>37</v>
      </c>
      <c r="K25" s="265" t="s">
        <v>38</v>
      </c>
    </row>
    <row r="26" hidden="1">
      <c r="A26" s="93" t="str">
        <f>IFERROR(__xludf.DUMMYFUNCTION("""COMPUTED_VALUE"""),"BC 01 An Bình-Ea KNốp-Ea Kar-Đắk Lắk")</f>
        <v>BC 01 An Bình-Ea KNốp-Ea Kar-Đắk Lắk</v>
      </c>
      <c r="B26" s="95">
        <f>IFERROR(__xludf.DUMMYFUNCTION("""COMPUTED_VALUE"""),0.17763157894736842)</f>
        <v>0.1776315789</v>
      </c>
      <c r="C26" s="95">
        <f>IFERROR(__xludf.DUMMYFUNCTION("""COMPUTED_VALUE"""),0.14189189189189189)</f>
        <v>0.1418918919</v>
      </c>
      <c r="D26" s="95">
        <f>IFERROR(__xludf.DUMMYFUNCTION("""COMPUTED_VALUE"""),0.13978494623655913)</f>
        <v>0.1397849462</v>
      </c>
      <c r="E26" s="95">
        <f>IFERROR(__xludf.DUMMYFUNCTION("""COMPUTED_VALUE"""),0.032679738562091505)</f>
        <v>0.03267973856</v>
      </c>
      <c r="F26" s="95">
        <f>IFERROR(__xludf.DUMMYFUNCTION("""COMPUTED_VALUE"""),0.1411042944785276)</f>
        <v>0.1411042945</v>
      </c>
      <c r="G26" s="95">
        <f>IFERROR(__xludf.DUMMYFUNCTION("""COMPUTED_VALUE"""),0.1390728476821192)</f>
        <v>0.1390728477</v>
      </c>
      <c r="H26" s="95">
        <f>IFERROR(__xludf.DUMMYFUNCTION("""COMPUTED_VALUE"""),0.05)</f>
        <v>0.05</v>
      </c>
      <c r="I26" s="95">
        <f>IFERROR(__xludf.DUMMYFUNCTION("""COMPUTED_VALUE"""),0.19298245614035087)</f>
        <v>0.1929824561</v>
      </c>
      <c r="J26" s="95">
        <f t="shared" ref="J26:J91" si="3">I26-B26</f>
        <v>0.01535087719</v>
      </c>
      <c r="K26" s="95">
        <f t="shared" ref="K26:K91" si="4">I26-H26</f>
        <v>0.1429824561</v>
      </c>
    </row>
    <row r="27" hidden="1">
      <c r="A27" s="93" t="str">
        <f>IFERROR(__xludf.DUMMYFUNCTION("""COMPUTED_VALUE"""),"BC Ea Phê-Krông Pắk-Đắk Lắk")</f>
        <v>BC Ea Phê-Krông Pắk-Đắk Lắk</v>
      </c>
      <c r="B27" s="95">
        <f>IFERROR(__xludf.DUMMYFUNCTION("""COMPUTED_VALUE"""),0.0718562874251497)</f>
        <v>0.07185628743</v>
      </c>
      <c r="C27" s="95">
        <f>IFERROR(__xludf.DUMMYFUNCTION("""COMPUTED_VALUE"""),0.12807881773399016)</f>
        <v>0.1280788177</v>
      </c>
      <c r="D27" s="95">
        <f>IFERROR(__xludf.DUMMYFUNCTION("""COMPUTED_VALUE"""),0.1623931623931624)</f>
        <v>0.1623931624</v>
      </c>
      <c r="E27" s="95">
        <f>IFERROR(__xludf.DUMMYFUNCTION("""COMPUTED_VALUE"""),0.10849056603773585)</f>
        <v>0.108490566</v>
      </c>
      <c r="F27" s="95">
        <f>IFERROR(__xludf.DUMMYFUNCTION("""COMPUTED_VALUE"""),0.08627450980392157)</f>
        <v>0.0862745098</v>
      </c>
      <c r="G27" s="95">
        <f>IFERROR(__xludf.DUMMYFUNCTION("""COMPUTED_VALUE"""),0.1)</f>
        <v>0.1</v>
      </c>
      <c r="H27" s="95">
        <f>IFERROR(__xludf.DUMMYFUNCTION("""COMPUTED_VALUE"""),0.10276679841897234)</f>
        <v>0.1027667984</v>
      </c>
      <c r="I27" s="95">
        <f>IFERROR(__xludf.DUMMYFUNCTION("""COMPUTED_VALUE"""),0.15137614678899083)</f>
        <v>0.1513761468</v>
      </c>
      <c r="J27" s="95">
        <f t="shared" si="3"/>
        <v>0.07951985936</v>
      </c>
      <c r="K27" s="95">
        <f t="shared" si="4"/>
        <v>0.04860934837</v>
      </c>
    </row>
    <row r="28" hidden="1">
      <c r="A28" s="93" t="str">
        <f>IFERROR(__xludf.DUMMYFUNCTION("""COMPUTED_VALUE"""),"BC Thị Trấn Buôn Trấp-Krông A Na-Đắk Lắk")</f>
        <v>BC Thị Trấn Buôn Trấp-Krông A Na-Đắk Lắk</v>
      </c>
      <c r="B28" s="95">
        <f>IFERROR(__xludf.DUMMYFUNCTION("""COMPUTED_VALUE"""),0.1267605633802817)</f>
        <v>0.1267605634</v>
      </c>
      <c r="C28" s="95">
        <f>IFERROR(__xludf.DUMMYFUNCTION("""COMPUTED_VALUE"""),0.08035714285714286)</f>
        <v>0.08035714286</v>
      </c>
      <c r="D28" s="95">
        <f>IFERROR(__xludf.DUMMYFUNCTION("""COMPUTED_VALUE"""),0.10661764705882353)</f>
        <v>0.1066176471</v>
      </c>
      <c r="E28" s="95">
        <f>IFERROR(__xludf.DUMMYFUNCTION("""COMPUTED_VALUE"""),0.09716599190283401)</f>
        <v>0.0971659919</v>
      </c>
      <c r="F28" s="95">
        <f>IFERROR(__xludf.DUMMYFUNCTION("""COMPUTED_VALUE"""),0.057692307692307696)</f>
        <v>0.05769230769</v>
      </c>
      <c r="G28" s="95">
        <f>IFERROR(__xludf.DUMMYFUNCTION("""COMPUTED_VALUE"""),0.09090909090909091)</f>
        <v>0.09090909091</v>
      </c>
      <c r="H28" s="95">
        <f>IFERROR(__xludf.DUMMYFUNCTION("""COMPUTED_VALUE"""),0.12663755458515283)</f>
        <v>0.1266375546</v>
      </c>
      <c r="I28" s="95">
        <f>IFERROR(__xludf.DUMMYFUNCTION("""COMPUTED_VALUE"""),0.13793103448275862)</f>
        <v>0.1379310345</v>
      </c>
      <c r="J28" s="95">
        <f t="shared" si="3"/>
        <v>0.0111704711</v>
      </c>
      <c r="K28" s="95">
        <f t="shared" si="4"/>
        <v>0.0112934799</v>
      </c>
    </row>
    <row r="29" hidden="1">
      <c r="A29" s="93" t="str">
        <f>IFERROR(__xludf.DUMMYFUNCTION("""COMPUTED_VALUE"""),"BC Ngã Ba Đắk Liêng-Huyện Lắk-Đắk Lắk")</f>
        <v>BC Ngã Ba Đắk Liêng-Huyện Lắk-Đắk Lắk</v>
      </c>
      <c r="B29" s="95">
        <f>IFERROR(__xludf.DUMMYFUNCTION("""COMPUTED_VALUE"""),0.14942528735632185)</f>
        <v>0.1494252874</v>
      </c>
      <c r="C29" s="95">
        <f>IFERROR(__xludf.DUMMYFUNCTION("""COMPUTED_VALUE"""),0.07)</f>
        <v>0.07</v>
      </c>
      <c r="D29" s="95">
        <f>IFERROR(__xludf.DUMMYFUNCTION("""COMPUTED_VALUE"""),0.16666666666666666)</f>
        <v>0.1666666667</v>
      </c>
      <c r="E29" s="95">
        <f>IFERROR(__xludf.DUMMYFUNCTION("""COMPUTED_VALUE"""),0.11682242990654206)</f>
        <v>0.1168224299</v>
      </c>
      <c r="F29" s="95">
        <f>IFERROR(__xludf.DUMMYFUNCTION("""COMPUTED_VALUE"""),0.12371134020618557)</f>
        <v>0.1237113402</v>
      </c>
      <c r="G29" s="95">
        <f>IFERROR(__xludf.DUMMYFUNCTION("""COMPUTED_VALUE"""),0.11242603550295859)</f>
        <v>0.1124260355</v>
      </c>
      <c r="H29" s="95">
        <f>IFERROR(__xludf.DUMMYFUNCTION("""COMPUTED_VALUE"""),0.14814814814814814)</f>
        <v>0.1481481481</v>
      </c>
      <c r="I29" s="95">
        <f>IFERROR(__xludf.DUMMYFUNCTION("""COMPUTED_VALUE"""),0.13705583756345177)</f>
        <v>0.1370558376</v>
      </c>
      <c r="J29" s="95">
        <f t="shared" si="3"/>
        <v>-0.01236944979</v>
      </c>
      <c r="K29" s="95">
        <f t="shared" si="4"/>
        <v>-0.01109231058</v>
      </c>
    </row>
    <row r="30" hidden="1">
      <c r="A30" s="93" t="str">
        <f>IFERROR(__xludf.DUMMYFUNCTION("""COMPUTED_VALUE"""),"BC 09 Quốc Lộ 14-Hoà Phú-Đắk Lắk")</f>
        <v>BC 09 Quốc Lộ 14-Hoà Phú-Đắk Lắk</v>
      </c>
      <c r="B30" s="95">
        <f>IFERROR(__xludf.DUMMYFUNCTION("""COMPUTED_VALUE"""),0.75)</f>
        <v>0.75</v>
      </c>
      <c r="C30" s="95">
        <f>IFERROR(__xludf.DUMMYFUNCTION("""COMPUTED_VALUE"""),0.04093567251461988)</f>
        <v>0.04093567251</v>
      </c>
      <c r="D30" s="95">
        <f>IFERROR(__xludf.DUMMYFUNCTION("""COMPUTED_VALUE"""),0.05806451612903226)</f>
        <v>0.05806451613</v>
      </c>
      <c r="E30" s="95">
        <f>IFERROR(__xludf.DUMMYFUNCTION("""COMPUTED_VALUE"""),0.10179640718562874)</f>
        <v>0.1017964072</v>
      </c>
      <c r="F30" s="95">
        <f>IFERROR(__xludf.DUMMYFUNCTION("""COMPUTED_VALUE"""),0.13333333333333333)</f>
        <v>0.1333333333</v>
      </c>
      <c r="G30" s="95">
        <f>IFERROR(__xludf.DUMMYFUNCTION("""COMPUTED_VALUE"""),0.1456953642384106)</f>
        <v>0.1456953642</v>
      </c>
      <c r="H30" s="95">
        <f>IFERROR(__xludf.DUMMYFUNCTION("""COMPUTED_VALUE"""),0.16666666666666666)</f>
        <v>0.1666666667</v>
      </c>
      <c r="I30" s="95">
        <f>IFERROR(__xludf.DUMMYFUNCTION("""COMPUTED_VALUE"""),0.1347517730496454)</f>
        <v>0.134751773</v>
      </c>
      <c r="J30" s="95">
        <f t="shared" si="3"/>
        <v>-0.615248227</v>
      </c>
      <c r="K30" s="95">
        <f t="shared" si="4"/>
        <v>-0.03191489362</v>
      </c>
    </row>
    <row r="31" hidden="1">
      <c r="A31" s="93" t="str">
        <f>IFERROR(__xludf.DUMMYFUNCTION("""COMPUTED_VALUE"""),"BC Km18-Cư Kuin-Đắk Lắk")</f>
        <v>BC Km18-Cư Kuin-Đắk Lắk</v>
      </c>
      <c r="B31" s="95">
        <f>IFERROR(__xludf.DUMMYFUNCTION("""COMPUTED_VALUE"""),0.16981132075471697)</f>
        <v>0.1698113208</v>
      </c>
      <c r="C31" s="95">
        <f>IFERROR(__xludf.DUMMYFUNCTION("""COMPUTED_VALUE"""),0.08333333333333333)</f>
        <v>0.08333333333</v>
      </c>
      <c r="D31" s="95">
        <f>IFERROR(__xludf.DUMMYFUNCTION("""COMPUTED_VALUE"""),0.09482758620689655)</f>
        <v>0.09482758621</v>
      </c>
      <c r="E31" s="95">
        <f>IFERROR(__xludf.DUMMYFUNCTION("""COMPUTED_VALUE"""),0.07027027027027027)</f>
        <v>0.07027027027</v>
      </c>
      <c r="F31" s="95">
        <f>IFERROR(__xludf.DUMMYFUNCTION("""COMPUTED_VALUE"""),0.11551155115511551)</f>
        <v>0.1155115512</v>
      </c>
      <c r="G31" s="95">
        <f>IFERROR(__xludf.DUMMYFUNCTION("""COMPUTED_VALUE"""),0.09961685823754789)</f>
        <v>0.09961685824</v>
      </c>
      <c r="H31" s="95">
        <f>IFERROR(__xludf.DUMMYFUNCTION("""COMPUTED_VALUE"""),0.11178247734138973)</f>
        <v>0.1117824773</v>
      </c>
      <c r="I31" s="95">
        <f>IFERROR(__xludf.DUMMYFUNCTION("""COMPUTED_VALUE"""),0.12549019607843137)</f>
        <v>0.1254901961</v>
      </c>
      <c r="J31" s="95">
        <f t="shared" si="3"/>
        <v>-0.04432112468</v>
      </c>
      <c r="K31" s="95">
        <f t="shared" si="4"/>
        <v>0.01370771874</v>
      </c>
    </row>
    <row r="32" hidden="1">
      <c r="A32" s="93" t="str">
        <f>IFERROR(__xludf.DUMMYFUNCTION("""COMPUTED_VALUE"""),"BC 245 Hùng Vương-Ea Súp-Đắk Lắk")</f>
        <v>BC 245 Hùng Vương-Ea Súp-Đắk Lắk</v>
      </c>
      <c r="B32" s="95">
        <f>IFERROR(__xludf.DUMMYFUNCTION("""COMPUTED_VALUE"""),0.13409961685823754)</f>
        <v>0.1340996169</v>
      </c>
      <c r="C32" s="95">
        <f>IFERROR(__xludf.DUMMYFUNCTION("""COMPUTED_VALUE"""),0.12393162393162394)</f>
        <v>0.1239316239</v>
      </c>
      <c r="D32" s="95">
        <f>IFERROR(__xludf.DUMMYFUNCTION("""COMPUTED_VALUE"""),0.13445378151260504)</f>
        <v>0.1344537815</v>
      </c>
      <c r="E32" s="95">
        <f>IFERROR(__xludf.DUMMYFUNCTION("""COMPUTED_VALUE"""),0.07258064516129033)</f>
        <v>0.07258064516</v>
      </c>
      <c r="F32" s="95">
        <f>IFERROR(__xludf.DUMMYFUNCTION("""COMPUTED_VALUE"""),0.08695652173913043)</f>
        <v>0.08695652174</v>
      </c>
      <c r="G32" s="95">
        <f>IFERROR(__xludf.DUMMYFUNCTION("""COMPUTED_VALUE"""),0.10256410256410256)</f>
        <v>0.1025641026</v>
      </c>
      <c r="H32" s="95">
        <f>IFERROR(__xludf.DUMMYFUNCTION("""COMPUTED_VALUE"""),0.07916666666666666)</f>
        <v>0.07916666667</v>
      </c>
      <c r="I32" s="95">
        <f>IFERROR(__xludf.DUMMYFUNCTION("""COMPUTED_VALUE"""),0.12280701754385964)</f>
        <v>0.1228070175</v>
      </c>
      <c r="J32" s="95">
        <f t="shared" si="3"/>
        <v>-0.01129259931</v>
      </c>
      <c r="K32" s="95">
        <f t="shared" si="4"/>
        <v>0.04364035088</v>
      </c>
    </row>
    <row r="33" hidden="1">
      <c r="A33" s="93" t="str">
        <f>IFERROR(__xludf.DUMMYFUNCTION("""COMPUTED_VALUE"""),"BC 172 Quang Trung-Đức Cơ-Gia Lai")</f>
        <v>BC 172 Quang Trung-Đức Cơ-Gia Lai</v>
      </c>
      <c r="B33" s="95">
        <f>IFERROR(__xludf.DUMMYFUNCTION("""COMPUTED_VALUE"""),0.08992805755395683)</f>
        <v>0.08992805755</v>
      </c>
      <c r="C33" s="95">
        <f>IFERROR(__xludf.DUMMYFUNCTION("""COMPUTED_VALUE"""),0.06726457399103139)</f>
        <v>0.06726457399</v>
      </c>
      <c r="D33" s="95">
        <f>IFERROR(__xludf.DUMMYFUNCTION("""COMPUTED_VALUE"""),0.16015625)</f>
        <v>0.16015625</v>
      </c>
      <c r="E33" s="95">
        <f>IFERROR(__xludf.DUMMYFUNCTION("""COMPUTED_VALUE"""),0.10441767068273092)</f>
        <v>0.1044176707</v>
      </c>
      <c r="F33" s="95">
        <f>IFERROR(__xludf.DUMMYFUNCTION("""COMPUTED_VALUE"""),0.057692307692307696)</f>
        <v>0.05769230769</v>
      </c>
      <c r="G33" s="95">
        <f>IFERROR(__xludf.DUMMYFUNCTION("""COMPUTED_VALUE"""),0.20141342756183744)</f>
        <v>0.2014134276</v>
      </c>
      <c r="H33" s="95">
        <f>IFERROR(__xludf.DUMMYFUNCTION("""COMPUTED_VALUE"""),0.09956709956709957)</f>
        <v>0.09956709957</v>
      </c>
      <c r="I33" s="95">
        <f>IFERROR(__xludf.DUMMYFUNCTION("""COMPUTED_VALUE"""),0.11724137931034483)</f>
        <v>0.1172413793</v>
      </c>
      <c r="J33" s="95">
        <f t="shared" si="3"/>
        <v>0.02731332176</v>
      </c>
      <c r="K33" s="95">
        <f t="shared" si="4"/>
        <v>0.01767427974</v>
      </c>
    </row>
    <row r="34" hidden="1">
      <c r="A34" s="93" t="str">
        <f>IFERROR(__xludf.DUMMYFUNCTION("""COMPUTED_VALUE"""),"BC Phạm Văn Đồng-Pơng Đrang-Krông Búk-Đắk Lắk")</f>
        <v>BC Phạm Văn Đồng-Pơng Đrang-Krông Búk-Đắk Lắk</v>
      </c>
      <c r="B34" s="95">
        <f>IFERROR(__xludf.DUMMYFUNCTION("""COMPUTED_VALUE"""),0.07211538461538461)</f>
        <v>0.07211538462</v>
      </c>
      <c r="C34" s="95">
        <f>IFERROR(__xludf.DUMMYFUNCTION("""COMPUTED_VALUE"""),0.11059907834101383)</f>
        <v>0.1105990783</v>
      </c>
      <c r="D34" s="95">
        <f>IFERROR(__xludf.DUMMYFUNCTION("""COMPUTED_VALUE"""),0.11013215859030837)</f>
        <v>0.1101321586</v>
      </c>
      <c r="E34" s="95">
        <f>IFERROR(__xludf.DUMMYFUNCTION("""COMPUTED_VALUE"""),0.12222222222222222)</f>
        <v>0.1222222222</v>
      </c>
      <c r="F34" s="95">
        <f>IFERROR(__xludf.DUMMYFUNCTION("""COMPUTED_VALUE"""),0.08812260536398467)</f>
        <v>0.08812260536</v>
      </c>
      <c r="G34" s="95">
        <f>IFERROR(__xludf.DUMMYFUNCTION("""COMPUTED_VALUE"""),0.09047619047619047)</f>
        <v>0.09047619048</v>
      </c>
      <c r="H34" s="95">
        <f>IFERROR(__xludf.DUMMYFUNCTION("""COMPUTED_VALUE"""),0.09554140127388536)</f>
        <v>0.09554140127</v>
      </c>
      <c r="I34" s="95">
        <f>IFERROR(__xludf.DUMMYFUNCTION("""COMPUTED_VALUE"""),0.11158798283261803)</f>
        <v>0.1115879828</v>
      </c>
      <c r="J34" s="95">
        <f t="shared" si="3"/>
        <v>0.03947259822</v>
      </c>
      <c r="K34" s="95">
        <f t="shared" si="4"/>
        <v>0.01604658156</v>
      </c>
    </row>
    <row r="35" hidden="1">
      <c r="A35" s="93" t="str">
        <f>IFERROR(__xludf.DUMMYFUNCTION("""COMPUTED_VALUE"""),"BC 153 Hùng Vương-Ia Grai-Gia Lai")</f>
        <v>BC 153 Hùng Vương-Ia Grai-Gia Lai</v>
      </c>
      <c r="B35" s="95">
        <f>IFERROR(__xludf.DUMMYFUNCTION("""COMPUTED_VALUE"""),0.05604719764011799)</f>
        <v>0.05604719764</v>
      </c>
      <c r="C35" s="95">
        <f>IFERROR(__xludf.DUMMYFUNCTION("""COMPUTED_VALUE"""),0.1059322033898305)</f>
        <v>0.1059322034</v>
      </c>
      <c r="D35" s="95">
        <f>IFERROR(__xludf.DUMMYFUNCTION("""COMPUTED_VALUE"""),0.09593023255813954)</f>
        <v>0.09593023256</v>
      </c>
      <c r="E35" s="95">
        <f>IFERROR(__xludf.DUMMYFUNCTION("""COMPUTED_VALUE"""),0.078125)</f>
        <v>0.078125</v>
      </c>
      <c r="F35" s="95">
        <f>IFERROR(__xludf.DUMMYFUNCTION("""COMPUTED_VALUE"""),0.03550295857988166)</f>
        <v>0.03550295858</v>
      </c>
      <c r="G35" s="95">
        <f>IFERROR(__xludf.DUMMYFUNCTION("""COMPUTED_VALUE"""),0.1806853582554517)</f>
        <v>0.1806853583</v>
      </c>
      <c r="H35" s="95">
        <f>IFERROR(__xludf.DUMMYFUNCTION("""COMPUTED_VALUE"""),0.12254901960784313)</f>
        <v>0.1225490196</v>
      </c>
      <c r="I35" s="95">
        <f>IFERROR(__xludf.DUMMYFUNCTION("""COMPUTED_VALUE"""),0.10787172011661808)</f>
        <v>0.1078717201</v>
      </c>
      <c r="J35" s="95">
        <f t="shared" si="3"/>
        <v>0.05182452248</v>
      </c>
      <c r="K35" s="95">
        <f t="shared" si="4"/>
        <v>-0.01467729949</v>
      </c>
    </row>
    <row r="36" hidden="1">
      <c r="A36" s="93" t="str">
        <f>IFERROR(__xludf.DUMMYFUNCTION("""COMPUTED_VALUE"""),"BC 99 Nguyễn Khuyến-Buôn Ma Thuột-Đắk Lắk")</f>
        <v>BC 99 Nguyễn Khuyến-Buôn Ma Thuột-Đắk Lắk</v>
      </c>
      <c r="B36" s="95">
        <f>IFERROR(__xludf.DUMMYFUNCTION("""COMPUTED_VALUE"""),0.0968586387434555)</f>
        <v>0.09685863874</v>
      </c>
      <c r="C36" s="95">
        <f>IFERROR(__xludf.DUMMYFUNCTION("""COMPUTED_VALUE"""),0.10352941176470588)</f>
        <v>0.1035294118</v>
      </c>
      <c r="D36" s="95">
        <f>IFERROR(__xludf.DUMMYFUNCTION("""COMPUTED_VALUE"""),0.08968609865470852)</f>
        <v>0.08968609865</v>
      </c>
      <c r="E36" s="95">
        <f>IFERROR(__xludf.DUMMYFUNCTION("""COMPUTED_VALUE"""),0.05851063829787234)</f>
        <v>0.0585106383</v>
      </c>
      <c r="F36" s="95">
        <f>IFERROR(__xludf.DUMMYFUNCTION("""COMPUTED_VALUE"""),0.07458563535911603)</f>
        <v>0.07458563536</v>
      </c>
      <c r="G36" s="95">
        <f>IFERROR(__xludf.DUMMYFUNCTION("""COMPUTED_VALUE"""),0.06209850107066381)</f>
        <v>0.06209850107</v>
      </c>
      <c r="H36" s="95">
        <f>IFERROR(__xludf.DUMMYFUNCTION("""COMPUTED_VALUE"""),0.14367816091954022)</f>
        <v>0.1436781609</v>
      </c>
      <c r="I36" s="95">
        <f>IFERROR(__xludf.DUMMYFUNCTION("""COMPUTED_VALUE"""),0.10714285714285714)</f>
        <v>0.1071428571</v>
      </c>
      <c r="J36" s="95">
        <f t="shared" si="3"/>
        <v>0.0102842184</v>
      </c>
      <c r="K36" s="95">
        <f t="shared" si="4"/>
        <v>-0.03653530378</v>
      </c>
    </row>
    <row r="37" hidden="1">
      <c r="A37" s="93" t="str">
        <f>IFERROR(__xludf.DUMMYFUNCTION("""COMPUTED_VALUE"""),"BC 132 Hoàng Hoa Thám-Buôn Ma Thuột-Đắk Lắk")</f>
        <v>BC 132 Hoàng Hoa Thám-Buôn Ma Thuột-Đắk Lắk</v>
      </c>
      <c r="B37" s="95">
        <f>IFERROR(__xludf.DUMMYFUNCTION("""COMPUTED_VALUE"""),0.0967741935483871)</f>
        <v>0.09677419355</v>
      </c>
      <c r="C37" s="95">
        <f>IFERROR(__xludf.DUMMYFUNCTION("""COMPUTED_VALUE"""),0.08521303258145363)</f>
        <v>0.08521303258</v>
      </c>
      <c r="D37" s="95">
        <f>IFERROR(__xludf.DUMMYFUNCTION("""COMPUTED_VALUE"""),0.11587982832618025)</f>
        <v>0.1158798283</v>
      </c>
      <c r="E37" s="95">
        <f>IFERROR(__xludf.DUMMYFUNCTION("""COMPUTED_VALUE"""),0.07281553398058252)</f>
        <v>0.07281553398</v>
      </c>
      <c r="F37" s="95">
        <f>IFERROR(__xludf.DUMMYFUNCTION("""COMPUTED_VALUE"""),0.11217948717948718)</f>
        <v>0.1121794872</v>
      </c>
      <c r="G37" s="95">
        <f>IFERROR(__xludf.DUMMYFUNCTION("""COMPUTED_VALUE"""),0.09174311926605505)</f>
        <v>0.09174311927</v>
      </c>
      <c r="H37" s="95">
        <f>IFERROR(__xludf.DUMMYFUNCTION("""COMPUTED_VALUE"""),0.10362694300518134)</f>
        <v>0.103626943</v>
      </c>
      <c r="I37" s="95">
        <f>IFERROR(__xludf.DUMMYFUNCTION("""COMPUTED_VALUE"""),0.10628019323671498)</f>
        <v>0.1062801932</v>
      </c>
      <c r="J37" s="95">
        <f t="shared" si="3"/>
        <v>0.009505999688</v>
      </c>
      <c r="K37" s="95">
        <f t="shared" si="4"/>
        <v>0.002653250232</v>
      </c>
    </row>
    <row r="38" hidden="1">
      <c r="A38" s="93" t="str">
        <f>IFERROR(__xludf.DUMMYFUNCTION("""COMPUTED_VALUE"""),"BC 70 Đường 30/4-Ea Tam-Buôn Ma Thuột-Đắk Lắk ")</f>
        <v>BC 70 Đường 30/4-Ea Tam-Buôn Ma Thuột-Đắk Lắk </v>
      </c>
      <c r="B38" s="95">
        <f>IFERROR(__xludf.DUMMYFUNCTION("""COMPUTED_VALUE"""),0.1)</f>
        <v>0.1</v>
      </c>
      <c r="C38" s="95">
        <f>IFERROR(__xludf.DUMMYFUNCTION("""COMPUTED_VALUE"""),0.09411764705882353)</f>
        <v>0.09411764706</v>
      </c>
      <c r="D38" s="95">
        <f>IFERROR(__xludf.DUMMYFUNCTION("""COMPUTED_VALUE"""),0.1450381679389313)</f>
        <v>0.1450381679</v>
      </c>
      <c r="E38" s="95">
        <f>IFERROR(__xludf.DUMMYFUNCTION("""COMPUTED_VALUE"""),0.12648221343873517)</f>
        <v>0.1264822134</v>
      </c>
      <c r="F38" s="95">
        <f>IFERROR(__xludf.DUMMYFUNCTION("""COMPUTED_VALUE"""),0.10646387832699619)</f>
        <v>0.1064638783</v>
      </c>
      <c r="G38" s="95">
        <f>IFERROR(__xludf.DUMMYFUNCTION("""COMPUTED_VALUE"""),0.12612612612612611)</f>
        <v>0.1261261261</v>
      </c>
      <c r="H38" s="95">
        <f>IFERROR(__xludf.DUMMYFUNCTION("""COMPUTED_VALUE"""),0.1322314049586777)</f>
        <v>0.132231405</v>
      </c>
      <c r="I38" s="95">
        <f>IFERROR(__xludf.DUMMYFUNCTION("""COMPUTED_VALUE"""),0.0996309963099631)</f>
        <v>0.09963099631</v>
      </c>
      <c r="J38" s="95">
        <f t="shared" si="3"/>
        <v>-0.00036900369</v>
      </c>
      <c r="K38" s="95">
        <f t="shared" si="4"/>
        <v>-0.03260040865</v>
      </c>
    </row>
    <row r="39" hidden="1">
      <c r="A39" s="93" t="str">
        <f>IFERROR(__xludf.DUMMYFUNCTION("""COMPUTED_VALUE"""),"BC 39 Nguyễn Huệ-Ayun Pa-Gia Lai")</f>
        <v>BC 39 Nguyễn Huệ-Ayun Pa-Gia Lai</v>
      </c>
      <c r="B39" s="95">
        <f>IFERROR(__xludf.DUMMYFUNCTION("""COMPUTED_VALUE"""),0.0634441087613293)</f>
        <v>0.06344410876</v>
      </c>
      <c r="C39" s="95">
        <f>IFERROR(__xludf.DUMMYFUNCTION("""COMPUTED_VALUE"""),0.10175438596491228)</f>
        <v>0.101754386</v>
      </c>
      <c r="D39" s="95">
        <f>IFERROR(__xludf.DUMMYFUNCTION("""COMPUTED_VALUE"""),0.09120521172638436)</f>
        <v>0.09120521173</v>
      </c>
      <c r="E39" s="95">
        <f>IFERROR(__xludf.DUMMYFUNCTION("""COMPUTED_VALUE"""),0.05592105263157895)</f>
        <v>0.05592105263</v>
      </c>
      <c r="F39" s="95">
        <f>IFERROR(__xludf.DUMMYFUNCTION("""COMPUTED_VALUE"""),0.04609929078014184)</f>
        <v>0.04609929078</v>
      </c>
      <c r="G39" s="95">
        <f>IFERROR(__xludf.DUMMYFUNCTION("""COMPUTED_VALUE"""),0.08148148148148149)</f>
        <v>0.08148148148</v>
      </c>
      <c r="H39" s="95">
        <f>IFERROR(__xludf.DUMMYFUNCTION("""COMPUTED_VALUE"""),0.08679245283018867)</f>
        <v>0.08679245283</v>
      </c>
      <c r="I39" s="95">
        <f>IFERROR(__xludf.DUMMYFUNCTION("""COMPUTED_VALUE"""),0.09846153846153846)</f>
        <v>0.09846153846</v>
      </c>
      <c r="J39" s="95">
        <f t="shared" si="3"/>
        <v>0.0350174297</v>
      </c>
      <c r="K39" s="95">
        <f t="shared" si="4"/>
        <v>0.01166908563</v>
      </c>
    </row>
    <row r="40" hidden="1">
      <c r="A40" s="93" t="str">
        <f>IFERROR(__xludf.DUMMYFUNCTION("""COMPUTED_VALUE"""),"BC 64 Hùng Vương-Thị Trấn Krông Năng-Đắk Lắk")</f>
        <v>BC 64 Hùng Vương-Thị Trấn Krông Năng-Đắk Lắk</v>
      </c>
      <c r="B40" s="95">
        <f>IFERROR(__xludf.DUMMYFUNCTION("""COMPUTED_VALUE"""),0.09090909090909091)</f>
        <v>0.09090909091</v>
      </c>
      <c r="C40" s="95">
        <f>IFERROR(__xludf.DUMMYFUNCTION("""COMPUTED_VALUE"""),0.044444444444444446)</f>
        <v>0.04444444444</v>
      </c>
      <c r="D40" s="95">
        <f>IFERROR(__xludf.DUMMYFUNCTION("""COMPUTED_VALUE"""),0.08494208494208494)</f>
        <v>0.08494208494</v>
      </c>
      <c r="E40" s="95">
        <f>IFERROR(__xludf.DUMMYFUNCTION("""COMPUTED_VALUE"""),0.04054054054054054)</f>
        <v>0.04054054054</v>
      </c>
      <c r="F40" s="95">
        <f>IFERROR(__xludf.DUMMYFUNCTION("""COMPUTED_VALUE"""),0.05514705882352941)</f>
        <v>0.05514705882</v>
      </c>
      <c r="G40" s="95">
        <f>IFERROR(__xludf.DUMMYFUNCTION("""COMPUTED_VALUE"""),0.11057692307692307)</f>
        <v>0.1105769231</v>
      </c>
      <c r="H40" s="95">
        <f>IFERROR(__xludf.DUMMYFUNCTION("""COMPUTED_VALUE"""),0.08904109589041095)</f>
        <v>0.08904109589</v>
      </c>
      <c r="I40" s="95">
        <f>IFERROR(__xludf.DUMMYFUNCTION("""COMPUTED_VALUE"""),0.0966183574879227)</f>
        <v>0.09661835749</v>
      </c>
      <c r="J40" s="95">
        <f t="shared" si="3"/>
        <v>0.005709266579</v>
      </c>
      <c r="K40" s="95">
        <f t="shared" si="4"/>
        <v>0.007577261598</v>
      </c>
    </row>
    <row r="41" hidden="1">
      <c r="A41" s="93" t="str">
        <f>IFERROR(__xludf.DUMMYFUNCTION("""COMPUTED_VALUE"""),"BC Thôn Tân Lập Quốc Lộ 26-Xã Cư M'ta-M'Đrắk-Đăk Lắk")</f>
        <v>BC Thôn Tân Lập Quốc Lộ 26-Xã Cư M'ta-M'Đrắk-Đăk Lắk</v>
      </c>
      <c r="B41" s="95">
        <f>IFERROR(__xludf.DUMMYFUNCTION("""COMPUTED_VALUE"""),0.09302325581395349)</f>
        <v>0.09302325581</v>
      </c>
      <c r="C41" s="95">
        <f>IFERROR(__xludf.DUMMYFUNCTION("""COMPUTED_VALUE"""),0.07511737089201878)</f>
        <v>0.07511737089</v>
      </c>
      <c r="D41" s="95">
        <f>IFERROR(__xludf.DUMMYFUNCTION("""COMPUTED_VALUE"""),0.08762886597938144)</f>
        <v>0.08762886598</v>
      </c>
      <c r="E41" s="95">
        <f>IFERROR(__xludf.DUMMYFUNCTION("""COMPUTED_VALUE"""),0.0625)</f>
        <v>0.0625</v>
      </c>
      <c r="F41" s="95">
        <f>IFERROR(__xludf.DUMMYFUNCTION("""COMPUTED_VALUE"""),0.04591836734693878)</f>
        <v>0.04591836735</v>
      </c>
      <c r="G41" s="95">
        <f>IFERROR(__xludf.DUMMYFUNCTION("""COMPUTED_VALUE"""),0.06542056074766354)</f>
        <v>0.06542056075</v>
      </c>
      <c r="H41" s="95">
        <f>IFERROR(__xludf.DUMMYFUNCTION("""COMPUTED_VALUE"""),0.11917098445595854)</f>
        <v>0.1191709845</v>
      </c>
      <c r="I41" s="95">
        <f>IFERROR(__xludf.DUMMYFUNCTION("""COMPUTED_VALUE"""),0.0947867298578199)</f>
        <v>0.09478672986</v>
      </c>
      <c r="J41" s="95">
        <f t="shared" si="3"/>
        <v>0.001763474044</v>
      </c>
      <c r="K41" s="95">
        <f t="shared" si="4"/>
        <v>-0.0243842546</v>
      </c>
    </row>
    <row r="42" hidden="1">
      <c r="A42" s="93" t="str">
        <f>IFERROR(__xludf.DUMMYFUNCTION("""COMPUTED_VALUE"""),"BC 27 Nguyễn Tất Thành-Tuy Hòa-Phú Yên")</f>
        <v>BC 27 Nguyễn Tất Thành-Tuy Hòa-Phú Yên</v>
      </c>
      <c r="B42" s="95">
        <f>IFERROR(__xludf.DUMMYFUNCTION("""COMPUTED_VALUE"""),0.07782101167315175)</f>
        <v>0.07782101167</v>
      </c>
      <c r="C42" s="95">
        <f>IFERROR(__xludf.DUMMYFUNCTION("""COMPUTED_VALUE"""),0.05172413793103448)</f>
        <v>0.05172413793</v>
      </c>
      <c r="D42" s="95">
        <f>IFERROR(__xludf.DUMMYFUNCTION("""COMPUTED_VALUE"""),0.05204460966542751)</f>
        <v>0.05204460967</v>
      </c>
      <c r="E42" s="95">
        <f>IFERROR(__xludf.DUMMYFUNCTION("""COMPUTED_VALUE"""),0.06967213114754098)</f>
        <v>0.06967213115</v>
      </c>
      <c r="F42" s="95">
        <f>IFERROR(__xludf.DUMMYFUNCTION("""COMPUTED_VALUE"""),0.099601593625498)</f>
        <v>0.09960159363</v>
      </c>
      <c r="G42" s="95">
        <f>IFERROR(__xludf.DUMMYFUNCTION("""COMPUTED_VALUE"""),0.1)</f>
        <v>0.1</v>
      </c>
      <c r="H42" s="95">
        <f>IFERROR(__xludf.DUMMYFUNCTION("""COMPUTED_VALUE"""),0.14)</f>
        <v>0.14</v>
      </c>
      <c r="I42" s="95">
        <f>IFERROR(__xludf.DUMMYFUNCTION("""COMPUTED_VALUE"""),0.09386281588447654)</f>
        <v>0.09386281588</v>
      </c>
      <c r="J42" s="95">
        <f t="shared" si="3"/>
        <v>0.01604180421</v>
      </c>
      <c r="K42" s="95">
        <f t="shared" si="4"/>
        <v>-0.04613718412</v>
      </c>
    </row>
    <row r="43" hidden="1">
      <c r="A43" s="93" t="str">
        <f>IFERROR(__xludf.DUMMYFUNCTION("""COMPUTED_VALUE"""),"BC 297 Hùng Vương-CưMgar-Đắk Lắk")</f>
        <v>BC 297 Hùng Vương-CưMgar-Đắk Lắk</v>
      </c>
      <c r="B43" s="95">
        <f>IFERROR(__xludf.DUMMYFUNCTION("""COMPUTED_VALUE"""),0.10046728971962617)</f>
        <v>0.1004672897</v>
      </c>
      <c r="C43" s="95">
        <f>IFERROR(__xludf.DUMMYFUNCTION("""COMPUTED_VALUE"""),0.0725)</f>
        <v>0.0725</v>
      </c>
      <c r="D43" s="95">
        <f>IFERROR(__xludf.DUMMYFUNCTION("""COMPUTED_VALUE"""),0.07838983050847458)</f>
        <v>0.07838983051</v>
      </c>
      <c r="E43" s="95">
        <f>IFERROR(__xludf.DUMMYFUNCTION("""COMPUTED_VALUE"""),0.07169117647058823)</f>
        <v>0.07169117647</v>
      </c>
      <c r="F43" s="95">
        <f>IFERROR(__xludf.DUMMYFUNCTION("""COMPUTED_VALUE"""),0.062)</f>
        <v>0.062</v>
      </c>
      <c r="G43" s="95">
        <f>IFERROR(__xludf.DUMMYFUNCTION("""COMPUTED_VALUE"""),0.08924485125858124)</f>
        <v>0.08924485126</v>
      </c>
      <c r="H43" s="95">
        <f>IFERROR(__xludf.DUMMYFUNCTION("""COMPUTED_VALUE"""),0.1111111111111111)</f>
        <v>0.1111111111</v>
      </c>
      <c r="I43" s="95">
        <f>IFERROR(__xludf.DUMMYFUNCTION("""COMPUTED_VALUE"""),0.09004739336492891)</f>
        <v>0.09004739336</v>
      </c>
      <c r="J43" s="95">
        <f t="shared" si="3"/>
        <v>-0.01041989635</v>
      </c>
      <c r="K43" s="95">
        <f t="shared" si="4"/>
        <v>-0.02106371775</v>
      </c>
    </row>
    <row r="44" hidden="1">
      <c r="A44" s="93" t="str">
        <f>IFERROR(__xludf.DUMMYFUNCTION("""COMPUTED_VALUE"""),"Điểm xử lý hàng Thôn Xuân Phong Nam-An Lão-Bình Định")</f>
        <v>Điểm xử lý hàng Thôn Xuân Phong Nam-An Lão-Bình Định</v>
      </c>
      <c r="B44" s="95">
        <f>IFERROR(__xludf.DUMMYFUNCTION("""COMPUTED_VALUE"""),0.046875)</f>
        <v>0.046875</v>
      </c>
      <c r="C44" s="95">
        <f>IFERROR(__xludf.DUMMYFUNCTION("""COMPUTED_VALUE"""),0.04225352112676056)</f>
        <v>0.04225352113</v>
      </c>
      <c r="D44" s="95">
        <f>IFERROR(__xludf.DUMMYFUNCTION("""COMPUTED_VALUE"""),0.07526881720430108)</f>
        <v>0.0752688172</v>
      </c>
      <c r="E44" s="95">
        <f>IFERROR(__xludf.DUMMYFUNCTION("""COMPUTED_VALUE"""),0.034482758620689655)</f>
        <v>0.03448275862</v>
      </c>
      <c r="F44" s="95">
        <f>IFERROR(__xludf.DUMMYFUNCTION("""COMPUTED_VALUE"""),0.03896103896103896)</f>
        <v>0.03896103896</v>
      </c>
      <c r="G44" s="95">
        <f>IFERROR(__xludf.DUMMYFUNCTION("""COMPUTED_VALUE"""),0.08108108108108109)</f>
        <v>0.08108108108</v>
      </c>
      <c r="H44" s="95">
        <f>IFERROR(__xludf.DUMMYFUNCTION("""COMPUTED_VALUE"""),0.09302325581395349)</f>
        <v>0.09302325581</v>
      </c>
      <c r="I44" s="95">
        <f>IFERROR(__xludf.DUMMYFUNCTION("""COMPUTED_VALUE"""),0.08928571428571429)</f>
        <v>0.08928571429</v>
      </c>
      <c r="J44" s="95">
        <f t="shared" si="3"/>
        <v>0.04241071429</v>
      </c>
      <c r="K44" s="95">
        <f t="shared" si="4"/>
        <v>-0.003737541528</v>
      </c>
    </row>
    <row r="45" hidden="1">
      <c r="A45" s="93" t="str">
        <f>IFERROR(__xludf.DUMMYFUNCTION("""COMPUTED_VALUE"""),"BC 236A Nguyễn Huệ-Đak Đoa-Gia Lai")</f>
        <v>BC 236A Nguyễn Huệ-Đak Đoa-Gia Lai</v>
      </c>
      <c r="B45" s="95">
        <f>IFERROR(__xludf.DUMMYFUNCTION("""COMPUTED_VALUE"""),0.10560344827586207)</f>
        <v>0.1056034483</v>
      </c>
      <c r="C45" s="95">
        <f>IFERROR(__xludf.DUMMYFUNCTION("""COMPUTED_VALUE"""),0.15315315315315314)</f>
        <v>0.1531531532</v>
      </c>
      <c r="D45" s="95">
        <f>IFERROR(__xludf.DUMMYFUNCTION("""COMPUTED_VALUE"""),0.10182767624020887)</f>
        <v>0.1018276762</v>
      </c>
      <c r="E45" s="95">
        <f>IFERROR(__xludf.DUMMYFUNCTION("""COMPUTED_VALUE"""),0.15497076023391812)</f>
        <v>0.1549707602</v>
      </c>
      <c r="F45" s="95">
        <f>IFERROR(__xludf.DUMMYFUNCTION("""COMPUTED_VALUE"""),0.07766990291262135)</f>
        <v>0.07766990291</v>
      </c>
      <c r="G45" s="95">
        <f>IFERROR(__xludf.DUMMYFUNCTION("""COMPUTED_VALUE"""),0.12009237875288684)</f>
        <v>0.1200923788</v>
      </c>
      <c r="H45" s="95">
        <f>IFERROR(__xludf.DUMMYFUNCTION("""COMPUTED_VALUE"""),0.1245136186770428)</f>
        <v>0.1245136187</v>
      </c>
      <c r="I45" s="95">
        <f>IFERROR(__xludf.DUMMYFUNCTION("""COMPUTED_VALUE"""),0.08877284595300261)</f>
        <v>0.08877284595</v>
      </c>
      <c r="J45" s="95">
        <f t="shared" si="3"/>
        <v>-0.01683060232</v>
      </c>
      <c r="K45" s="95">
        <f t="shared" si="4"/>
        <v>-0.03574077272</v>
      </c>
    </row>
    <row r="46" hidden="1">
      <c r="A46" s="93" t="str">
        <f>IFERROR(__xludf.DUMMYFUNCTION("""COMPUTED_VALUE"""),"BC 34 Quang Trung-Eakar-Đắk Lắk")</f>
        <v>BC 34 Quang Trung-Eakar-Đắk Lắk</v>
      </c>
      <c r="B46" s="95">
        <f>IFERROR(__xludf.DUMMYFUNCTION("""COMPUTED_VALUE"""),0.09210526315789473)</f>
        <v>0.09210526316</v>
      </c>
      <c r="C46" s="95">
        <f>IFERROR(__xludf.DUMMYFUNCTION("""COMPUTED_VALUE"""),0.14634146341463414)</f>
        <v>0.1463414634</v>
      </c>
      <c r="D46" s="95">
        <f>IFERROR(__xludf.DUMMYFUNCTION("""COMPUTED_VALUE"""),0.13486842105263158)</f>
        <v>0.1348684211</v>
      </c>
      <c r="E46" s="95">
        <f>IFERROR(__xludf.DUMMYFUNCTION("""COMPUTED_VALUE"""),0.07100591715976332)</f>
        <v>0.07100591716</v>
      </c>
      <c r="F46" s="95">
        <f>IFERROR(__xludf.DUMMYFUNCTION("""COMPUTED_VALUE"""),0.1091703056768559)</f>
        <v>0.1091703057</v>
      </c>
      <c r="G46" s="95">
        <f>IFERROR(__xludf.DUMMYFUNCTION("""COMPUTED_VALUE"""),0.168141592920354)</f>
        <v>0.1681415929</v>
      </c>
      <c r="H46" s="95">
        <f>IFERROR(__xludf.DUMMYFUNCTION("""COMPUTED_VALUE"""),0.140625)</f>
        <v>0.140625</v>
      </c>
      <c r="I46" s="95">
        <f>IFERROR(__xludf.DUMMYFUNCTION("""COMPUTED_VALUE"""),0.08532423208191127)</f>
        <v>0.08532423208</v>
      </c>
      <c r="J46" s="95">
        <f t="shared" si="3"/>
        <v>-0.006781031076</v>
      </c>
      <c r="K46" s="95">
        <f t="shared" si="4"/>
        <v>-0.05530076792</v>
      </c>
    </row>
    <row r="47" hidden="1">
      <c r="A47" s="93" t="str">
        <f>IFERROR(__xludf.DUMMYFUNCTION("""COMPUTED_VALUE"""),"BC KM92 QL14-Xã Ea Drăng-Đắk Lắk")</f>
        <v>BC KM92 QL14-Xã Ea Drăng-Đắk Lắk</v>
      </c>
      <c r="B47" s="95">
        <f>IFERROR(__xludf.DUMMYFUNCTION("""COMPUTED_VALUE"""),0.10126582278481013)</f>
        <v>0.1012658228</v>
      </c>
      <c r="C47" s="95">
        <f>IFERROR(__xludf.DUMMYFUNCTION("""COMPUTED_VALUE"""),0.08208955223880597)</f>
        <v>0.08208955224</v>
      </c>
      <c r="D47" s="95">
        <f>IFERROR(__xludf.DUMMYFUNCTION("""COMPUTED_VALUE"""),0.046511627906976744)</f>
        <v>0.04651162791</v>
      </c>
      <c r="E47" s="95">
        <f>IFERROR(__xludf.DUMMYFUNCTION("""COMPUTED_VALUE"""),0.0975609756097561)</f>
        <v>0.09756097561</v>
      </c>
      <c r="F47" s="95">
        <f>IFERROR(__xludf.DUMMYFUNCTION("""COMPUTED_VALUE"""),0.08227848101265822)</f>
        <v>0.08227848101</v>
      </c>
      <c r="G47" s="95">
        <f>IFERROR(__xludf.DUMMYFUNCTION("""COMPUTED_VALUE"""),0.13380281690140844)</f>
        <v>0.1338028169</v>
      </c>
      <c r="H47" s="95">
        <f>IFERROR(__xludf.DUMMYFUNCTION("""COMPUTED_VALUE"""),0.12738853503184713)</f>
        <v>0.127388535</v>
      </c>
      <c r="I47" s="95">
        <f>IFERROR(__xludf.DUMMYFUNCTION("""COMPUTED_VALUE"""),0.08333333333333333)</f>
        <v>0.08333333333</v>
      </c>
      <c r="J47" s="95">
        <f t="shared" si="3"/>
        <v>-0.01793248945</v>
      </c>
      <c r="K47" s="95">
        <f t="shared" si="4"/>
        <v>-0.0440552017</v>
      </c>
    </row>
    <row r="48" hidden="1">
      <c r="A48" s="93" t="str">
        <f>IFERROR(__xludf.DUMMYFUNCTION("""COMPUTED_VALUE"""),"BC 56 Đường 17 Tháng 3-Chư Sê-Gia Lai")</f>
        <v>BC 56 Đường 17 Tháng 3-Chư Sê-Gia Lai</v>
      </c>
      <c r="B48" s="95">
        <f>IFERROR(__xludf.DUMMYFUNCTION("""COMPUTED_VALUE"""),0.096045197740113)</f>
        <v>0.09604519774</v>
      </c>
      <c r="C48" s="95">
        <f>IFERROR(__xludf.DUMMYFUNCTION("""COMPUTED_VALUE"""),0.0946969696969697)</f>
        <v>0.0946969697</v>
      </c>
      <c r="D48" s="95">
        <f>IFERROR(__xludf.DUMMYFUNCTION("""COMPUTED_VALUE"""),0.0862533692722372)</f>
        <v>0.08625336927</v>
      </c>
      <c r="E48" s="95">
        <f>IFERROR(__xludf.DUMMYFUNCTION("""COMPUTED_VALUE"""),0.05747126436781609)</f>
        <v>0.05747126437</v>
      </c>
      <c r="F48" s="95">
        <f>IFERROR(__xludf.DUMMYFUNCTION("""COMPUTED_VALUE"""),0.04825737265415549)</f>
        <v>0.04825737265</v>
      </c>
      <c r="G48" s="95">
        <f>IFERROR(__xludf.DUMMYFUNCTION("""COMPUTED_VALUE"""),0.07164179104477612)</f>
        <v>0.07164179104</v>
      </c>
      <c r="H48" s="95">
        <f>IFERROR(__xludf.DUMMYFUNCTION("""COMPUTED_VALUE"""),0.0390625)</f>
        <v>0.0390625</v>
      </c>
      <c r="I48" s="95">
        <f>IFERROR(__xludf.DUMMYFUNCTION("""COMPUTED_VALUE"""),0.08266666666666667)</f>
        <v>0.08266666667</v>
      </c>
      <c r="J48" s="95">
        <f t="shared" si="3"/>
        <v>-0.01337853107</v>
      </c>
      <c r="K48" s="95">
        <f t="shared" si="4"/>
        <v>0.04360416667</v>
      </c>
    </row>
    <row r="49" hidden="1">
      <c r="A49" s="93" t="str">
        <f>IFERROR(__xludf.DUMMYFUNCTION("""COMPUTED_VALUE"""),"BC 941 Giải Phóng-Ea Đrăng-Ea H'Leo-Đắk Lắk")</f>
        <v>BC 941 Giải Phóng-Ea Đrăng-Ea H'Leo-Đắk Lắk</v>
      </c>
      <c r="B49" s="95">
        <f>IFERROR(__xludf.DUMMYFUNCTION("""COMPUTED_VALUE"""),0.1062992125984252)</f>
        <v>0.1062992126</v>
      </c>
      <c r="C49" s="95">
        <f>IFERROR(__xludf.DUMMYFUNCTION("""COMPUTED_VALUE"""),0.11020408163265306)</f>
        <v>0.1102040816</v>
      </c>
      <c r="D49" s="95">
        <f>IFERROR(__xludf.DUMMYFUNCTION("""COMPUTED_VALUE"""),0.10091743119266056)</f>
        <v>0.1009174312</v>
      </c>
      <c r="E49" s="95">
        <f>IFERROR(__xludf.DUMMYFUNCTION("""COMPUTED_VALUE"""),0.08163265306122448)</f>
        <v>0.08163265306</v>
      </c>
      <c r="F49" s="95">
        <f>IFERROR(__xludf.DUMMYFUNCTION("""COMPUTED_VALUE"""),0.057750759878419454)</f>
        <v>0.05775075988</v>
      </c>
      <c r="G49" s="95">
        <f>IFERROR(__xludf.DUMMYFUNCTION("""COMPUTED_VALUE"""),0.10094637223974763)</f>
        <v>0.1009463722</v>
      </c>
      <c r="H49" s="95">
        <f>IFERROR(__xludf.DUMMYFUNCTION("""COMPUTED_VALUE"""),0.12359550561797752)</f>
        <v>0.1235955056</v>
      </c>
      <c r="I49" s="95">
        <f>IFERROR(__xludf.DUMMYFUNCTION("""COMPUTED_VALUE"""),0.08264462809917356)</f>
        <v>0.0826446281</v>
      </c>
      <c r="J49" s="95">
        <f t="shared" si="3"/>
        <v>-0.0236545845</v>
      </c>
      <c r="K49" s="95">
        <f t="shared" si="4"/>
        <v>-0.04095087752</v>
      </c>
    </row>
    <row r="50" hidden="1">
      <c r="A50" s="93" t="str">
        <f>IFERROR(__xludf.DUMMYFUNCTION("""COMPUTED_VALUE"""),"BC 204 Trần Hưng Đạo-Buôn Hồ-Đắk Lắk")</f>
        <v>BC 204 Trần Hưng Đạo-Buôn Hồ-Đắk Lắk</v>
      </c>
      <c r="B50" s="95">
        <f>IFERROR(__xludf.DUMMYFUNCTION("""COMPUTED_VALUE"""),0.09287925696594428)</f>
        <v>0.09287925697</v>
      </c>
      <c r="C50" s="95">
        <f>IFERROR(__xludf.DUMMYFUNCTION("""COMPUTED_VALUE"""),0.0749185667752443)</f>
        <v>0.07491856678</v>
      </c>
      <c r="D50" s="95">
        <f>IFERROR(__xludf.DUMMYFUNCTION("""COMPUTED_VALUE"""),0.06462585034013606)</f>
        <v>0.06462585034</v>
      </c>
      <c r="E50" s="95">
        <f>IFERROR(__xludf.DUMMYFUNCTION("""COMPUTED_VALUE"""),0.1309192200557103)</f>
        <v>0.1309192201</v>
      </c>
      <c r="F50" s="95">
        <f>IFERROR(__xludf.DUMMYFUNCTION("""COMPUTED_VALUE"""),0.06521739130434782)</f>
        <v>0.0652173913</v>
      </c>
      <c r="G50" s="95">
        <f>IFERROR(__xludf.DUMMYFUNCTION("""COMPUTED_VALUE"""),0.07931034482758621)</f>
        <v>0.07931034483</v>
      </c>
      <c r="H50" s="95">
        <f>IFERROR(__xludf.DUMMYFUNCTION("""COMPUTED_VALUE"""),0.07395498392282958)</f>
        <v>0.07395498392</v>
      </c>
      <c r="I50" s="95">
        <f>IFERROR(__xludf.DUMMYFUNCTION("""COMPUTED_VALUE"""),0.08259587020648967)</f>
        <v>0.08259587021</v>
      </c>
      <c r="J50" s="95">
        <f t="shared" si="3"/>
        <v>-0.01028338676</v>
      </c>
      <c r="K50" s="95">
        <f t="shared" si="4"/>
        <v>0.008640886284</v>
      </c>
    </row>
    <row r="51" hidden="1">
      <c r="A51" s="93" t="str">
        <f>IFERROR(__xludf.DUMMYFUNCTION("""COMPUTED_VALUE"""),"BC Thôn Đông Phước-Phú Hòa-Phú Yên")</f>
        <v>BC Thôn Đông Phước-Phú Hòa-Phú Yên</v>
      </c>
      <c r="B51" s="95">
        <f>IFERROR(__xludf.DUMMYFUNCTION("""COMPUTED_VALUE"""),0.06278026905829596)</f>
        <v>0.06278026906</v>
      </c>
      <c r="C51" s="95">
        <f>IFERROR(__xludf.DUMMYFUNCTION("""COMPUTED_VALUE"""),0.07792207792207792)</f>
        <v>0.07792207792</v>
      </c>
      <c r="D51" s="95">
        <f>IFERROR(__xludf.DUMMYFUNCTION("""COMPUTED_VALUE"""),0.06880733944954129)</f>
        <v>0.06880733945</v>
      </c>
      <c r="E51" s="95">
        <f>IFERROR(__xludf.DUMMYFUNCTION("""COMPUTED_VALUE"""),0.04878048780487805)</f>
        <v>0.0487804878</v>
      </c>
      <c r="F51" s="95">
        <f>IFERROR(__xludf.DUMMYFUNCTION("""COMPUTED_VALUE"""),0.05223880597014925)</f>
        <v>0.05223880597</v>
      </c>
      <c r="G51" s="95">
        <f>IFERROR(__xludf.DUMMYFUNCTION("""COMPUTED_VALUE"""),0.10849056603773585)</f>
        <v>0.108490566</v>
      </c>
      <c r="H51" s="95">
        <f>IFERROR(__xludf.DUMMYFUNCTION("""COMPUTED_VALUE"""),0.10215053763440861)</f>
        <v>0.1021505376</v>
      </c>
      <c r="I51" s="95">
        <f>IFERROR(__xludf.DUMMYFUNCTION("""COMPUTED_VALUE"""),0.08163265306122448)</f>
        <v>0.08163265306</v>
      </c>
      <c r="J51" s="95">
        <f t="shared" si="3"/>
        <v>0.018852384</v>
      </c>
      <c r="K51" s="95">
        <f t="shared" si="4"/>
        <v>-0.02051788457</v>
      </c>
    </row>
    <row r="52" hidden="1">
      <c r="A52" s="93" t="str">
        <f>IFERROR(__xludf.DUMMYFUNCTION("""COMPUTED_VALUE"""),"BC 138 Hùng Vương-Phú Thiện-Gia Lai")</f>
        <v>BC 138 Hùng Vương-Phú Thiện-Gia Lai</v>
      </c>
      <c r="B52" s="95">
        <f>IFERROR(__xludf.DUMMYFUNCTION("""COMPUTED_VALUE"""),0.07612456747404844)</f>
        <v>0.07612456747</v>
      </c>
      <c r="C52" s="95">
        <f>IFERROR(__xludf.DUMMYFUNCTION("""COMPUTED_VALUE"""),0.1072961373390558)</f>
        <v>0.1072961373</v>
      </c>
      <c r="D52" s="95">
        <f>IFERROR(__xludf.DUMMYFUNCTION("""COMPUTED_VALUE"""),0.0996309963099631)</f>
        <v>0.09963099631</v>
      </c>
      <c r="E52" s="95">
        <f>IFERROR(__xludf.DUMMYFUNCTION("""COMPUTED_VALUE"""),0.07196969696969698)</f>
        <v>0.07196969697</v>
      </c>
      <c r="F52" s="95">
        <f>IFERROR(__xludf.DUMMYFUNCTION("""COMPUTED_VALUE"""),0.04281345565749235)</f>
        <v>0.04281345566</v>
      </c>
      <c r="G52" s="95">
        <f>IFERROR(__xludf.DUMMYFUNCTION("""COMPUTED_VALUE"""),0.10548523206751055)</f>
        <v>0.1054852321</v>
      </c>
      <c r="H52" s="95">
        <f>IFERROR(__xludf.DUMMYFUNCTION("""COMPUTED_VALUE"""),0.10326086956521739)</f>
        <v>0.1032608696</v>
      </c>
      <c r="I52" s="95">
        <f>IFERROR(__xludf.DUMMYFUNCTION("""COMPUTED_VALUE"""),0.07936507936507936)</f>
        <v>0.07936507937</v>
      </c>
      <c r="J52" s="95">
        <f t="shared" si="3"/>
        <v>0.003240511891</v>
      </c>
      <c r="K52" s="95">
        <f t="shared" si="4"/>
        <v>-0.0238957902</v>
      </c>
    </row>
    <row r="53" hidden="1">
      <c r="A53" s="93" t="str">
        <f>IFERROR(__xludf.DUMMYFUNCTION("""COMPUTED_VALUE"""),"BC 271 Nguyễn Văn Cừ-Tân Lập-Đắk Lắk")</f>
        <v>BC 271 Nguyễn Văn Cừ-Tân Lập-Đắk Lắk</v>
      </c>
      <c r="B53" s="95">
        <f>IFERROR(__xludf.DUMMYFUNCTION("""COMPUTED_VALUE"""),0.031914893617021274)</f>
        <v>0.03191489362</v>
      </c>
      <c r="C53" s="95">
        <f>IFERROR(__xludf.DUMMYFUNCTION("""COMPUTED_VALUE"""),0.0429042904290429)</f>
        <v>0.04290429043</v>
      </c>
      <c r="D53" s="95">
        <f>IFERROR(__xludf.DUMMYFUNCTION("""COMPUTED_VALUE"""),0.023980815347721823)</f>
        <v>0.02398081535</v>
      </c>
      <c r="E53" s="95">
        <f>IFERROR(__xludf.DUMMYFUNCTION("""COMPUTED_VALUE"""),0.042606516290726815)</f>
        <v>0.04260651629</v>
      </c>
      <c r="F53" s="95">
        <f>IFERROR(__xludf.DUMMYFUNCTION("""COMPUTED_VALUE"""),0.05609756097560976)</f>
        <v>0.05609756098</v>
      </c>
      <c r="G53" s="95">
        <f>IFERROR(__xludf.DUMMYFUNCTION("""COMPUTED_VALUE"""),0.03428571428571429)</f>
        <v>0.03428571429</v>
      </c>
      <c r="H53" s="95">
        <f>IFERROR(__xludf.DUMMYFUNCTION("""COMPUTED_VALUE"""),0.06567164179104477)</f>
        <v>0.06567164179</v>
      </c>
      <c r="I53" s="95">
        <f>IFERROR(__xludf.DUMMYFUNCTION("""COMPUTED_VALUE"""),0.07580174927113703)</f>
        <v>0.07580174927</v>
      </c>
      <c r="J53" s="95">
        <f t="shared" si="3"/>
        <v>0.04388685565</v>
      </c>
      <c r="K53" s="95">
        <f t="shared" si="4"/>
        <v>0.01013010748</v>
      </c>
    </row>
    <row r="54" hidden="1">
      <c r="A54" s="93" t="str">
        <f>IFERROR(__xludf.DUMMYFUNCTION("""COMPUTED_VALUE"""),"BC KP4 Hòa Vinh- Đông Hòa- Phú Yên")</f>
        <v>BC KP4 Hòa Vinh- Đông Hòa- Phú Yên</v>
      </c>
      <c r="B54" s="95">
        <f>IFERROR(__xludf.DUMMYFUNCTION("""COMPUTED_VALUE"""),0.06535947712418301)</f>
        <v>0.06535947712</v>
      </c>
      <c r="C54" s="95">
        <f>IFERROR(__xludf.DUMMYFUNCTION("""COMPUTED_VALUE"""),0.04854368932038835)</f>
        <v>0.04854368932</v>
      </c>
      <c r="D54" s="95">
        <f>IFERROR(__xludf.DUMMYFUNCTION("""COMPUTED_VALUE"""),0.06097560975609756)</f>
        <v>0.06097560976</v>
      </c>
      <c r="E54" s="95">
        <f>IFERROR(__xludf.DUMMYFUNCTION("""COMPUTED_VALUE"""),0.07167235494880546)</f>
        <v>0.07167235495</v>
      </c>
      <c r="F54" s="95">
        <f>IFERROR(__xludf.DUMMYFUNCTION("""COMPUTED_VALUE"""),0.06312292358803986)</f>
        <v>0.06312292359</v>
      </c>
      <c r="G54" s="95">
        <f>IFERROR(__xludf.DUMMYFUNCTION("""COMPUTED_VALUE"""),0.08361204013377926)</f>
        <v>0.08361204013</v>
      </c>
      <c r="H54" s="95">
        <f>IFERROR(__xludf.DUMMYFUNCTION("""COMPUTED_VALUE"""),0.07307692307692308)</f>
        <v>0.07307692308</v>
      </c>
      <c r="I54" s="95">
        <f>IFERROR(__xludf.DUMMYFUNCTION("""COMPUTED_VALUE"""),0.07356948228882834)</f>
        <v>0.07356948229</v>
      </c>
      <c r="J54" s="95">
        <f t="shared" si="3"/>
        <v>0.008210005165</v>
      </c>
      <c r="K54" s="95">
        <f t="shared" si="4"/>
        <v>0.0004925592119</v>
      </c>
    </row>
    <row r="55" hidden="1">
      <c r="A55" s="93" t="str">
        <f>IFERROR(__xludf.DUMMYFUNCTION("""COMPUTED_VALUE"""),"BC 159 Tân Quảng-EaTóh-Krông Năng-Đắk Lắk")</f>
        <v>BC 159 Tân Quảng-EaTóh-Krông Năng-Đắk Lắk</v>
      </c>
      <c r="B55" s="95">
        <f>IFERROR(__xludf.DUMMYFUNCTION("""COMPUTED_VALUE"""),0.09482758620689655)</f>
        <v>0.09482758621</v>
      </c>
      <c r="C55" s="95">
        <f>IFERROR(__xludf.DUMMYFUNCTION("""COMPUTED_VALUE"""),0.1)</f>
        <v>0.1</v>
      </c>
      <c r="D55" s="95">
        <f>IFERROR(__xludf.DUMMYFUNCTION("""COMPUTED_VALUE"""),0.15789473684210525)</f>
        <v>0.1578947368</v>
      </c>
      <c r="E55" s="95">
        <f>IFERROR(__xludf.DUMMYFUNCTION("""COMPUTED_VALUE"""),0.08383233532934131)</f>
        <v>0.08383233533</v>
      </c>
      <c r="F55" s="95">
        <f>IFERROR(__xludf.DUMMYFUNCTION("""COMPUTED_VALUE"""),0.05228758169934641)</f>
        <v>0.0522875817</v>
      </c>
      <c r="G55" s="95">
        <f>IFERROR(__xludf.DUMMYFUNCTION("""COMPUTED_VALUE"""),0.08247422680412371)</f>
        <v>0.0824742268</v>
      </c>
      <c r="H55" s="95">
        <f>IFERROR(__xludf.DUMMYFUNCTION("""COMPUTED_VALUE"""),0.08433734939759036)</f>
        <v>0.0843373494</v>
      </c>
      <c r="I55" s="95">
        <f>IFERROR(__xludf.DUMMYFUNCTION("""COMPUTED_VALUE"""),0.0707070707070707)</f>
        <v>0.07070707071</v>
      </c>
      <c r="J55" s="95">
        <f t="shared" si="3"/>
        <v>-0.0241205155</v>
      </c>
      <c r="K55" s="95">
        <f t="shared" si="4"/>
        <v>-0.01363027869</v>
      </c>
    </row>
    <row r="56" hidden="1">
      <c r="A56" s="93" t="str">
        <f>IFERROR(__xludf.DUMMYFUNCTION("""COMPUTED_VALUE"""),"BC TDP3 Thị Trấn Krông Kmart-Krông Bông-Đắk Lắk")</f>
        <v>BC TDP3 Thị Trấn Krông Kmart-Krông Bông-Đắk Lắk</v>
      </c>
      <c r="B56" s="95">
        <f>IFERROR(__xludf.DUMMYFUNCTION("""COMPUTED_VALUE"""),0.13875598086124402)</f>
        <v>0.1387559809</v>
      </c>
      <c r="C56" s="95">
        <f>IFERROR(__xludf.DUMMYFUNCTION("""COMPUTED_VALUE"""),0.09523809523809523)</f>
        <v>0.09523809524</v>
      </c>
      <c r="D56" s="95">
        <f>IFERROR(__xludf.DUMMYFUNCTION("""COMPUTED_VALUE"""),0.0735930735930736)</f>
        <v>0.07359307359</v>
      </c>
      <c r="E56" s="95">
        <f>IFERROR(__xludf.DUMMYFUNCTION("""COMPUTED_VALUE"""),0.07423580786026202)</f>
        <v>0.07423580786</v>
      </c>
      <c r="F56" s="95">
        <f>IFERROR(__xludf.DUMMYFUNCTION("""COMPUTED_VALUE"""),0.0546875)</f>
        <v>0.0546875</v>
      </c>
      <c r="G56" s="95">
        <f>IFERROR(__xludf.DUMMYFUNCTION("""COMPUTED_VALUE"""),0.047244094488188976)</f>
        <v>0.04724409449</v>
      </c>
      <c r="H56" s="95">
        <f>IFERROR(__xludf.DUMMYFUNCTION("""COMPUTED_VALUE"""),0.0944206008583691)</f>
        <v>0.09442060086</v>
      </c>
      <c r="I56" s="95">
        <f>IFERROR(__xludf.DUMMYFUNCTION("""COMPUTED_VALUE"""),0.07035175879396985)</f>
        <v>0.07035175879</v>
      </c>
      <c r="J56" s="95">
        <f t="shared" si="3"/>
        <v>-0.06840422207</v>
      </c>
      <c r="K56" s="95">
        <f t="shared" si="4"/>
        <v>-0.02406884206</v>
      </c>
    </row>
    <row r="57" hidden="1">
      <c r="A57" s="93" t="str">
        <f>IFERROR(__xludf.DUMMYFUNCTION("""COMPUTED_VALUE"""),"BC 274 Hùng Vương-Tuy Hòa-Phú Yên")</f>
        <v>BC 274 Hùng Vương-Tuy Hòa-Phú Yên</v>
      </c>
      <c r="B57" s="95">
        <f>IFERROR(__xludf.DUMMYFUNCTION("""COMPUTED_VALUE"""),0.07543103448275862)</f>
        <v>0.07543103448</v>
      </c>
      <c r="C57" s="95">
        <f>IFERROR(__xludf.DUMMYFUNCTION("""COMPUTED_VALUE"""),0.08108108108108109)</f>
        <v>0.08108108108</v>
      </c>
      <c r="D57" s="95">
        <f>IFERROR(__xludf.DUMMYFUNCTION("""COMPUTED_VALUE"""),0.09224318658280922)</f>
        <v>0.09224318658</v>
      </c>
      <c r="E57" s="95">
        <f>IFERROR(__xludf.DUMMYFUNCTION("""COMPUTED_VALUE"""),0.06741573033707865)</f>
        <v>0.06741573034</v>
      </c>
      <c r="F57" s="95">
        <f>IFERROR(__xludf.DUMMYFUNCTION("""COMPUTED_VALUE"""),0.0687960687960688)</f>
        <v>0.0687960688</v>
      </c>
      <c r="G57" s="95">
        <f>IFERROR(__xludf.DUMMYFUNCTION("""COMPUTED_VALUE"""),0.07906976744186046)</f>
        <v>0.07906976744</v>
      </c>
      <c r="H57" s="95">
        <f>IFERROR(__xludf.DUMMYFUNCTION("""COMPUTED_VALUE"""),0.10725552050473186)</f>
        <v>0.1072555205</v>
      </c>
      <c r="I57" s="95">
        <f>IFERROR(__xludf.DUMMYFUNCTION("""COMPUTED_VALUE"""),0.07010309278350516)</f>
        <v>0.07010309278</v>
      </c>
      <c r="J57" s="95">
        <f t="shared" si="3"/>
        <v>-0.005327941699</v>
      </c>
      <c r="K57" s="95">
        <f t="shared" si="4"/>
        <v>-0.03715242772</v>
      </c>
    </row>
    <row r="58" hidden="1">
      <c r="A58" s="93" t="str">
        <f>IFERROR(__xludf.DUMMYFUNCTION("""COMPUTED_VALUE"""),"BC 327A Cách Mạng Tháng 8-Pleiku-Gia Lai")</f>
        <v>BC 327A Cách Mạng Tháng 8-Pleiku-Gia Lai</v>
      </c>
      <c r="B58" s="95">
        <f>IFERROR(__xludf.DUMMYFUNCTION("""COMPUTED_VALUE"""),0.048034934497816595)</f>
        <v>0.0480349345</v>
      </c>
      <c r="C58" s="95">
        <f>IFERROR(__xludf.DUMMYFUNCTION("""COMPUTED_VALUE"""),0.08045977011494253)</f>
        <v>0.08045977011</v>
      </c>
      <c r="D58" s="95">
        <f>IFERROR(__xludf.DUMMYFUNCTION("""COMPUTED_VALUE"""),0.0821917808219178)</f>
        <v>0.08219178082</v>
      </c>
      <c r="E58" s="95">
        <f>IFERROR(__xludf.DUMMYFUNCTION("""COMPUTED_VALUE"""),0.07128309572301425)</f>
        <v>0.07128309572</v>
      </c>
      <c r="F58" s="95">
        <f>IFERROR(__xludf.DUMMYFUNCTION("""COMPUTED_VALUE"""),0.061452513966480445)</f>
        <v>0.06145251397</v>
      </c>
      <c r="G58" s="95">
        <f>IFERROR(__xludf.DUMMYFUNCTION("""COMPUTED_VALUE"""),0.06971153846153846)</f>
        <v>0.06971153846</v>
      </c>
      <c r="H58" s="95">
        <f>IFERROR(__xludf.DUMMYFUNCTION("""COMPUTED_VALUE"""),0.13178294573643412)</f>
        <v>0.1317829457</v>
      </c>
      <c r="I58" s="95">
        <f>IFERROR(__xludf.DUMMYFUNCTION("""COMPUTED_VALUE"""),0.06845965770171149)</f>
        <v>0.0684596577</v>
      </c>
      <c r="J58" s="95">
        <f t="shared" si="3"/>
        <v>0.0204247232</v>
      </c>
      <c r="K58" s="95">
        <f t="shared" si="4"/>
        <v>-0.06332328803</v>
      </c>
    </row>
    <row r="59" hidden="1">
      <c r="A59" s="93" t="str">
        <f>IFERROR(__xludf.DUMMYFUNCTION("""COMPUTED_VALUE"""),"BC 03 Trần Hưng Đạo-Krông Pắc-Đắk Lắk")</f>
        <v>BC 03 Trần Hưng Đạo-Krông Pắc-Đắk Lắk</v>
      </c>
      <c r="B59" s="95">
        <f>IFERROR(__xludf.DUMMYFUNCTION("""COMPUTED_VALUE"""),0.06744868035190615)</f>
        <v>0.06744868035</v>
      </c>
      <c r="C59" s="95">
        <f>IFERROR(__xludf.DUMMYFUNCTION("""COMPUTED_VALUE"""),0.07712082262210797)</f>
        <v>0.07712082262</v>
      </c>
      <c r="D59" s="95">
        <f>IFERROR(__xludf.DUMMYFUNCTION("""COMPUTED_VALUE"""),0.0967741935483871)</f>
        <v>0.09677419355</v>
      </c>
      <c r="E59" s="95">
        <f>IFERROR(__xludf.DUMMYFUNCTION("""COMPUTED_VALUE"""),0.056338028169014086)</f>
        <v>0.05633802817</v>
      </c>
      <c r="F59" s="95">
        <f>IFERROR(__xludf.DUMMYFUNCTION("""COMPUTED_VALUE"""),0.04408817635270541)</f>
        <v>0.04408817635</v>
      </c>
      <c r="G59" s="95">
        <f>IFERROR(__xludf.DUMMYFUNCTION("""COMPUTED_VALUE"""),0.09415584415584416)</f>
        <v>0.09415584416</v>
      </c>
      <c r="H59" s="95">
        <f>IFERROR(__xludf.DUMMYFUNCTION("""COMPUTED_VALUE"""),0.08436724565756824)</f>
        <v>0.08436724566</v>
      </c>
      <c r="I59" s="95">
        <f>IFERROR(__xludf.DUMMYFUNCTION("""COMPUTED_VALUE"""),0.06840390879478828)</f>
        <v>0.06840390879</v>
      </c>
      <c r="J59" s="95">
        <f t="shared" si="3"/>
        <v>0.0009552284429</v>
      </c>
      <c r="K59" s="95">
        <f t="shared" si="4"/>
        <v>-0.01596333686</v>
      </c>
    </row>
    <row r="60" hidden="1">
      <c r="A60" s="93" t="str">
        <f>IFERROR(__xludf.DUMMYFUNCTION("""COMPUTED_VALUE"""),"BC 172 Hùng Vương-Chư Prông-Gia Lai")</f>
        <v>BC 172 Hùng Vương-Chư Prông-Gia Lai</v>
      </c>
      <c r="B60" s="95">
        <f>IFERROR(__xludf.DUMMYFUNCTION("""COMPUTED_VALUE"""),0.049586776859504134)</f>
        <v>0.04958677686</v>
      </c>
      <c r="C60" s="95">
        <f>IFERROR(__xludf.DUMMYFUNCTION("""COMPUTED_VALUE"""),0.07219251336898395)</f>
        <v>0.07219251337</v>
      </c>
      <c r="D60" s="95">
        <f>IFERROR(__xludf.DUMMYFUNCTION("""COMPUTED_VALUE"""),0.04835164835164835)</f>
        <v>0.04835164835</v>
      </c>
      <c r="E60" s="95">
        <f>IFERROR(__xludf.DUMMYFUNCTION("""COMPUTED_VALUE"""),0.0783289817232376)</f>
        <v>0.07832898172</v>
      </c>
      <c r="F60" s="95">
        <f>IFERROR(__xludf.DUMMYFUNCTION("""COMPUTED_VALUE"""),0.04339622641509434)</f>
        <v>0.04339622642</v>
      </c>
      <c r="G60" s="95">
        <f>IFERROR(__xludf.DUMMYFUNCTION("""COMPUTED_VALUE"""),0.06074766355140187)</f>
        <v>0.06074766355</v>
      </c>
      <c r="H60" s="95">
        <f>IFERROR(__xludf.DUMMYFUNCTION("""COMPUTED_VALUE"""),0.08362369337979095)</f>
        <v>0.08362369338</v>
      </c>
      <c r="I60" s="95">
        <f>IFERROR(__xludf.DUMMYFUNCTION("""COMPUTED_VALUE"""),0.06741573033707865)</f>
        <v>0.06741573034</v>
      </c>
      <c r="J60" s="95">
        <f t="shared" si="3"/>
        <v>0.01782895348</v>
      </c>
      <c r="K60" s="95">
        <f t="shared" si="4"/>
        <v>-0.01620796304</v>
      </c>
    </row>
    <row r="61" hidden="1">
      <c r="A61" s="93" t="str">
        <f>IFERROR(__xludf.DUMMYFUNCTION("""COMPUTED_VALUE"""),"BC 565 Trần Phú-Tuy Phước-Bình Định")</f>
        <v>BC 565 Trần Phú-Tuy Phước-Bình Định</v>
      </c>
      <c r="B61" s="95">
        <f>IFERROR(__xludf.DUMMYFUNCTION("""COMPUTED_VALUE"""),0.08136482939632546)</f>
        <v>0.0813648294</v>
      </c>
      <c r="C61" s="95">
        <f>IFERROR(__xludf.DUMMYFUNCTION("""COMPUTED_VALUE"""),0.07712765957446809)</f>
        <v>0.07712765957</v>
      </c>
      <c r="D61" s="95">
        <f>IFERROR(__xludf.DUMMYFUNCTION("""COMPUTED_VALUE"""),0.07728337236533958)</f>
        <v>0.07728337237</v>
      </c>
      <c r="E61" s="95">
        <f>IFERROR(__xludf.DUMMYFUNCTION("""COMPUTED_VALUE"""),0.07088607594936709)</f>
        <v>0.07088607595</v>
      </c>
      <c r="F61" s="95">
        <f>IFERROR(__xludf.DUMMYFUNCTION("""COMPUTED_VALUE"""),0.0712401055408971)</f>
        <v>0.07124010554</v>
      </c>
      <c r="G61" s="95">
        <f>IFERROR(__xludf.DUMMYFUNCTION("""COMPUTED_VALUE"""),0.0672782874617737)</f>
        <v>0.06727828746</v>
      </c>
      <c r="H61" s="95">
        <f>IFERROR(__xludf.DUMMYFUNCTION("""COMPUTED_VALUE"""),0.08394160583941605)</f>
        <v>0.08394160584</v>
      </c>
      <c r="I61" s="95">
        <f>IFERROR(__xludf.DUMMYFUNCTION("""COMPUTED_VALUE"""),0.06735751295336788)</f>
        <v>0.06735751295</v>
      </c>
      <c r="J61" s="95">
        <f t="shared" si="3"/>
        <v>-0.01400731644</v>
      </c>
      <c r="K61" s="95">
        <f t="shared" si="4"/>
        <v>-0.01658409289</v>
      </c>
    </row>
    <row r="62" hidden="1">
      <c r="A62" s="93" t="str">
        <f>IFERROR(__xludf.DUMMYFUNCTION("""COMPUTED_VALUE"""),"BC Km 30 Tân Hòa-Buôn Đôn-Đắk Lắk")</f>
        <v>BC Km 30 Tân Hòa-Buôn Đôn-Đắk Lắk</v>
      </c>
      <c r="B62" s="95">
        <f>IFERROR(__xludf.DUMMYFUNCTION("""COMPUTED_VALUE"""),0.10734463276836158)</f>
        <v>0.1073446328</v>
      </c>
      <c r="C62" s="95">
        <f>IFERROR(__xludf.DUMMYFUNCTION("""COMPUTED_VALUE"""),0.09615384615384616)</f>
        <v>0.09615384615</v>
      </c>
      <c r="D62" s="95">
        <f>IFERROR(__xludf.DUMMYFUNCTION("""COMPUTED_VALUE"""),0.04411764705882353)</f>
        <v>0.04411764706</v>
      </c>
      <c r="E62" s="95">
        <f>IFERROR(__xludf.DUMMYFUNCTION("""COMPUTED_VALUE"""),0.06635071090047394)</f>
        <v>0.0663507109</v>
      </c>
      <c r="F62" s="95">
        <f>IFERROR(__xludf.DUMMYFUNCTION("""COMPUTED_VALUE"""),0.07009345794392523)</f>
        <v>0.07009345794</v>
      </c>
      <c r="G62" s="95">
        <f>IFERROR(__xludf.DUMMYFUNCTION("""COMPUTED_VALUE"""),0.07142857142857142)</f>
        <v>0.07142857143</v>
      </c>
      <c r="H62" s="95">
        <f>IFERROR(__xludf.DUMMYFUNCTION("""COMPUTED_VALUE"""),0.11413043478260869)</f>
        <v>0.1141304348</v>
      </c>
      <c r="I62" s="95">
        <f>IFERROR(__xludf.DUMMYFUNCTION("""COMPUTED_VALUE"""),0.0670391061452514)</f>
        <v>0.06703910615</v>
      </c>
      <c r="J62" s="95">
        <f t="shared" si="3"/>
        <v>-0.04030552662</v>
      </c>
      <c r="K62" s="95">
        <f t="shared" si="4"/>
        <v>-0.04709132864</v>
      </c>
    </row>
    <row r="63">
      <c r="A63" s="93" t="str">
        <f>IFERROR(__xludf.DUMMYFUNCTION("""COMPUTED_VALUE"""),"BC 125 Lý Chính Thắng-Buôn Ma Thuột-Đắk Lắk")</f>
        <v>BC 125 Lý Chính Thắng-Buôn Ma Thuột-Đắk Lắk</v>
      </c>
      <c r="B63" s="95">
        <f>IFERROR(__xludf.DUMMYFUNCTION("""COMPUTED_VALUE"""),0.07166123778501629)</f>
        <v>0.07166123779</v>
      </c>
      <c r="C63" s="95">
        <f>IFERROR(__xludf.DUMMYFUNCTION("""COMPUTED_VALUE"""),0.07467532467532467)</f>
        <v>0.07467532468</v>
      </c>
      <c r="D63" s="95">
        <f>IFERROR(__xludf.DUMMYFUNCTION("""COMPUTED_VALUE"""),0.11726384364820847)</f>
        <v>0.1172638436</v>
      </c>
      <c r="E63" s="95">
        <f>IFERROR(__xludf.DUMMYFUNCTION("""COMPUTED_VALUE"""),0.09345794392523364)</f>
        <v>0.09345794393</v>
      </c>
      <c r="F63" s="95">
        <f>IFERROR(__xludf.DUMMYFUNCTION("""COMPUTED_VALUE"""),0.13966480446927373)</f>
        <v>0.1396648045</v>
      </c>
      <c r="G63" s="95">
        <f>IFERROR(__xludf.DUMMYFUNCTION("""COMPUTED_VALUE"""),0.0660377358490566)</f>
        <v>0.06603773585</v>
      </c>
      <c r="H63" s="95">
        <f>IFERROR(__xludf.DUMMYFUNCTION("""COMPUTED_VALUE"""),0.0975609756097561)</f>
        <v>0.09756097561</v>
      </c>
      <c r="I63" s="95">
        <f>IFERROR(__xludf.DUMMYFUNCTION("""COMPUTED_VALUE"""),0.06547619047619048)</f>
        <v>0.06547619048</v>
      </c>
      <c r="J63" s="95">
        <f t="shared" si="3"/>
        <v>-0.006185047309</v>
      </c>
      <c r="K63" s="95">
        <f t="shared" si="4"/>
        <v>-0.03208478513</v>
      </c>
    </row>
    <row r="64">
      <c r="A64" s="93" t="str">
        <f>IFERROR(__xludf.DUMMYFUNCTION("""COMPUTED_VALUE"""),"BC 138 Trần Phú- Đồng Xuân- Phú Yên")</f>
        <v>BC 138 Trần Phú- Đồng Xuân- Phú Yên</v>
      </c>
      <c r="B64" s="95">
        <f>IFERROR(__xludf.DUMMYFUNCTION("""COMPUTED_VALUE"""),0.07878787878787878)</f>
        <v>0.07878787879</v>
      </c>
      <c r="C64" s="95">
        <f>IFERROR(__xludf.DUMMYFUNCTION("""COMPUTED_VALUE"""),0.061224489795918366)</f>
        <v>0.0612244898</v>
      </c>
      <c r="D64" s="95">
        <f>IFERROR(__xludf.DUMMYFUNCTION("""COMPUTED_VALUE"""),0.048484848484848485)</f>
        <v>0.04848484848</v>
      </c>
      <c r="E64" s="95">
        <f>IFERROR(__xludf.DUMMYFUNCTION("""COMPUTED_VALUE"""),0.0472972972972973)</f>
        <v>0.0472972973</v>
      </c>
      <c r="F64" s="95">
        <f>IFERROR(__xludf.DUMMYFUNCTION("""COMPUTED_VALUE"""),0.026845637583892617)</f>
        <v>0.02684563758</v>
      </c>
      <c r="G64" s="95">
        <f>IFERROR(__xludf.DUMMYFUNCTION("""COMPUTED_VALUE"""),0.056451612903225805)</f>
        <v>0.0564516129</v>
      </c>
      <c r="H64" s="95">
        <f>IFERROR(__xludf.DUMMYFUNCTION("""COMPUTED_VALUE"""),0.10434782608695652)</f>
        <v>0.1043478261</v>
      </c>
      <c r="I64" s="95">
        <f>IFERROR(__xludf.DUMMYFUNCTION("""COMPUTED_VALUE"""),0.06547619047619048)</f>
        <v>0.06547619048</v>
      </c>
      <c r="J64" s="95">
        <f t="shared" si="3"/>
        <v>-0.01331168831</v>
      </c>
      <c r="K64" s="95">
        <f t="shared" si="4"/>
        <v>-0.03887163561</v>
      </c>
    </row>
    <row r="65">
      <c r="A65" s="93" t="str">
        <f>IFERROR(__xludf.DUMMYFUNCTION("""COMPUTED_VALUE"""),"BC 269 Tây Sơn-Quy Nhơn-Bình Định")</f>
        <v>BC 269 Tây Sơn-Quy Nhơn-Bình Định</v>
      </c>
      <c r="B65" s="95">
        <f>IFERROR(__xludf.DUMMYFUNCTION("""COMPUTED_VALUE"""),0.0525164113785558)</f>
        <v>0.05251641138</v>
      </c>
      <c r="C65" s="95">
        <f>IFERROR(__xludf.DUMMYFUNCTION("""COMPUTED_VALUE"""),0.07188160676532769)</f>
        <v>0.07188160677</v>
      </c>
      <c r="D65" s="95">
        <f>IFERROR(__xludf.DUMMYFUNCTION("""COMPUTED_VALUE"""),0.04771784232365145)</f>
        <v>0.04771784232</v>
      </c>
      <c r="E65" s="95">
        <f>IFERROR(__xludf.DUMMYFUNCTION("""COMPUTED_VALUE"""),0.0636604774535809)</f>
        <v>0.06366047745</v>
      </c>
      <c r="F65" s="95">
        <f>IFERROR(__xludf.DUMMYFUNCTION("""COMPUTED_VALUE"""),0.06419753086419754)</f>
        <v>0.06419753086</v>
      </c>
      <c r="G65" s="95">
        <f>IFERROR(__xludf.DUMMYFUNCTION("""COMPUTED_VALUE"""),0.06030150753768844)</f>
        <v>0.06030150754</v>
      </c>
      <c r="H65" s="95">
        <f>IFERROR(__xludf.DUMMYFUNCTION("""COMPUTED_VALUE"""),0.09119496855345911)</f>
        <v>0.09119496855</v>
      </c>
      <c r="I65" s="95">
        <f>IFERROR(__xludf.DUMMYFUNCTION("""COMPUTED_VALUE"""),0.0650994575045208)</f>
        <v>0.0650994575</v>
      </c>
      <c r="J65" s="95">
        <f t="shared" si="3"/>
        <v>0.01258304613</v>
      </c>
      <c r="K65" s="95">
        <f t="shared" si="4"/>
        <v>-0.02609551105</v>
      </c>
    </row>
    <row r="66">
      <c r="A66" s="93" t="str">
        <f>IFERROR(__xludf.DUMMYFUNCTION("""COMPUTED_VALUE"""),"BC 396 Âu Cơ-Bùi Thị Xuân-Quy Nhơn-Bình Định")</f>
        <v>BC 396 Âu Cơ-Bùi Thị Xuân-Quy Nhơn-Bình Định</v>
      </c>
      <c r="B66" s="95">
        <f>IFERROR(__xludf.DUMMYFUNCTION("""COMPUTED_VALUE"""),0.07368421052631578)</f>
        <v>0.07368421053</v>
      </c>
      <c r="C66" s="95">
        <f>IFERROR(__xludf.DUMMYFUNCTION("""COMPUTED_VALUE"""),0.04932735426008968)</f>
        <v>0.04932735426</v>
      </c>
      <c r="D66" s="95">
        <f>IFERROR(__xludf.DUMMYFUNCTION("""COMPUTED_VALUE"""),0.06532663316582915)</f>
        <v>0.06532663317</v>
      </c>
      <c r="E66" s="95">
        <f>IFERROR(__xludf.DUMMYFUNCTION("""COMPUTED_VALUE"""),0.08620689655172414)</f>
        <v>0.08620689655</v>
      </c>
      <c r="F66" s="95">
        <f>IFERROR(__xludf.DUMMYFUNCTION("""COMPUTED_VALUE"""),0.08)</f>
        <v>0.08</v>
      </c>
      <c r="G66" s="95">
        <f>IFERROR(__xludf.DUMMYFUNCTION("""COMPUTED_VALUE"""),0.06779661016949153)</f>
        <v>0.06779661017</v>
      </c>
      <c r="H66" s="95">
        <f>IFERROR(__xludf.DUMMYFUNCTION("""COMPUTED_VALUE"""),0.06285714285714286)</f>
        <v>0.06285714286</v>
      </c>
      <c r="I66" s="95">
        <f>IFERROR(__xludf.DUMMYFUNCTION("""COMPUTED_VALUE"""),0.06435643564356436)</f>
        <v>0.06435643564</v>
      </c>
      <c r="J66" s="95">
        <f t="shared" si="3"/>
        <v>-0.009327774883</v>
      </c>
      <c r="K66" s="95">
        <f t="shared" si="4"/>
        <v>0.001499292786</v>
      </c>
    </row>
    <row r="67">
      <c r="A67" s="93" t="str">
        <f>IFERROR(__xludf.DUMMYFUNCTION("""COMPUTED_VALUE"""),"BC Khu Vực Kim Châu-An Nhơn-Bình Định")</f>
        <v>BC Khu Vực Kim Châu-An Nhơn-Bình Định</v>
      </c>
      <c r="B67" s="95">
        <f>IFERROR(__xludf.DUMMYFUNCTION("""COMPUTED_VALUE"""),0.08239700374531835)</f>
        <v>0.08239700375</v>
      </c>
      <c r="C67" s="95">
        <f>IFERROR(__xludf.DUMMYFUNCTION("""COMPUTED_VALUE"""),0.0784313725490196)</f>
        <v>0.07843137255</v>
      </c>
      <c r="D67" s="95">
        <f>IFERROR(__xludf.DUMMYFUNCTION("""COMPUTED_VALUE"""),0.07420494699646643)</f>
        <v>0.074204947</v>
      </c>
      <c r="E67" s="95">
        <f>IFERROR(__xludf.DUMMYFUNCTION("""COMPUTED_VALUE"""),0.082)</f>
        <v>0.082</v>
      </c>
      <c r="F67" s="95">
        <f>IFERROR(__xludf.DUMMYFUNCTION("""COMPUTED_VALUE"""),0.0531496062992126)</f>
        <v>0.0531496063</v>
      </c>
      <c r="G67" s="95">
        <f>IFERROR(__xludf.DUMMYFUNCTION("""COMPUTED_VALUE"""),0.08176100628930817)</f>
        <v>0.08176100629</v>
      </c>
      <c r="H67" s="95">
        <f>IFERROR(__xludf.DUMMYFUNCTION("""COMPUTED_VALUE"""),0.11528822055137844)</f>
        <v>0.1152882206</v>
      </c>
      <c r="I67" s="95">
        <f>IFERROR(__xludf.DUMMYFUNCTION("""COMPUTED_VALUE"""),0.06422018348623854)</f>
        <v>0.06422018349</v>
      </c>
      <c r="J67" s="95">
        <f t="shared" si="3"/>
        <v>-0.01817682026</v>
      </c>
      <c r="K67" s="95">
        <f t="shared" si="4"/>
        <v>-0.05106803707</v>
      </c>
    </row>
    <row r="68">
      <c r="A68" s="93" t="str">
        <f>IFERROR(__xludf.DUMMYFUNCTION("""COMPUTED_VALUE"""),"BC 61 Quang Trung-Xã Vân Canh-Bình Định")</f>
        <v>BC 61 Quang Trung-Xã Vân Canh-Bình Định</v>
      </c>
      <c r="B68" s="95">
        <f>IFERROR(__xludf.DUMMYFUNCTION("""COMPUTED_VALUE"""),0.0821917808219178)</f>
        <v>0.08219178082</v>
      </c>
      <c r="C68" s="95">
        <f>IFERROR(__xludf.DUMMYFUNCTION("""COMPUTED_VALUE"""),0.13636363636363635)</f>
        <v>0.1363636364</v>
      </c>
      <c r="D68" s="95">
        <f>IFERROR(__xludf.DUMMYFUNCTION("""COMPUTED_VALUE"""),0.11538461538461539)</f>
        <v>0.1153846154</v>
      </c>
      <c r="E68" s="95">
        <f>IFERROR(__xludf.DUMMYFUNCTION("""COMPUTED_VALUE"""),0.10588235294117647)</f>
        <v>0.1058823529</v>
      </c>
      <c r="F68" s="95">
        <f>IFERROR(__xludf.DUMMYFUNCTION("""COMPUTED_VALUE"""),0.07142857142857142)</f>
        <v>0.07142857143</v>
      </c>
      <c r="G68" s="95">
        <f>IFERROR(__xludf.DUMMYFUNCTION("""COMPUTED_VALUE"""),0.06578947368421052)</f>
        <v>0.06578947368</v>
      </c>
      <c r="H68" s="95">
        <f>IFERROR(__xludf.DUMMYFUNCTION("""COMPUTED_VALUE"""),0.24285714285714285)</f>
        <v>0.2428571429</v>
      </c>
      <c r="I68" s="95">
        <f>IFERROR(__xludf.DUMMYFUNCTION("""COMPUTED_VALUE"""),0.06382978723404255)</f>
        <v>0.06382978723</v>
      </c>
      <c r="J68" s="95">
        <f t="shared" si="3"/>
        <v>-0.01836199359</v>
      </c>
      <c r="K68" s="95">
        <f t="shared" si="4"/>
        <v>-0.1790273556</v>
      </c>
    </row>
    <row r="69">
      <c r="A69" s="93" t="str">
        <f>IFERROR(__xludf.DUMMYFUNCTION("""COMPUTED_VALUE"""),"BC 73 Lê Lợi-Chư Pah-Gia Lai")</f>
        <v>BC 73 Lê Lợi-Chư Pah-Gia Lai</v>
      </c>
      <c r="B69" s="95">
        <f>IFERROR(__xludf.DUMMYFUNCTION("""COMPUTED_VALUE"""),0.027888446215139442)</f>
        <v>0.02788844622</v>
      </c>
      <c r="C69" s="95">
        <f>IFERROR(__xludf.DUMMYFUNCTION("""COMPUTED_VALUE"""),0.05434782608695652)</f>
        <v>0.05434782609</v>
      </c>
      <c r="D69" s="95">
        <f>IFERROR(__xludf.DUMMYFUNCTION("""COMPUTED_VALUE"""),0.04142011834319527)</f>
        <v>0.04142011834</v>
      </c>
      <c r="E69" s="95">
        <f>IFERROR(__xludf.DUMMYFUNCTION("""COMPUTED_VALUE"""),0.06837606837606838)</f>
        <v>0.06837606838</v>
      </c>
      <c r="F69" s="95">
        <f>IFERROR(__xludf.DUMMYFUNCTION("""COMPUTED_VALUE"""),0.0755813953488372)</f>
        <v>0.07558139535</v>
      </c>
      <c r="G69" s="95">
        <f>IFERROR(__xludf.DUMMYFUNCTION("""COMPUTED_VALUE"""),0.09606986899563319)</f>
        <v>0.096069869</v>
      </c>
      <c r="H69" s="95">
        <f>IFERROR(__xludf.DUMMYFUNCTION("""COMPUTED_VALUE"""),0.08783783783783784)</f>
        <v>0.08783783784</v>
      </c>
      <c r="I69" s="95">
        <f>IFERROR(__xludf.DUMMYFUNCTION("""COMPUTED_VALUE"""),0.06302521008403361)</f>
        <v>0.06302521008</v>
      </c>
      <c r="J69" s="95">
        <f t="shared" si="3"/>
        <v>0.03513676387</v>
      </c>
      <c r="K69" s="95">
        <f t="shared" si="4"/>
        <v>-0.02481262775</v>
      </c>
    </row>
    <row r="70">
      <c r="A70" s="93" t="str">
        <f>IFERROR(__xludf.DUMMYFUNCTION("""COMPUTED_VALUE"""),"BC Hoài Nhơn-Bình Định")</f>
        <v>BC Hoài Nhơn-Bình Định</v>
      </c>
      <c r="B70" s="95">
        <f>IFERROR(__xludf.DUMMYFUNCTION("""COMPUTED_VALUE"""),0.05511811023622047)</f>
        <v>0.05511811024</v>
      </c>
      <c r="C70" s="95">
        <f>IFERROR(__xludf.DUMMYFUNCTION("""COMPUTED_VALUE"""),0.099601593625498)</f>
        <v>0.09960159363</v>
      </c>
      <c r="D70" s="95">
        <f>IFERROR(__xludf.DUMMYFUNCTION("""COMPUTED_VALUE"""),0.059233449477351915)</f>
        <v>0.05923344948</v>
      </c>
      <c r="E70" s="95">
        <f>IFERROR(__xludf.DUMMYFUNCTION("""COMPUTED_VALUE"""),0.0821917808219178)</f>
        <v>0.08219178082</v>
      </c>
      <c r="F70" s="95">
        <f>IFERROR(__xludf.DUMMYFUNCTION("""COMPUTED_VALUE"""),0.07792207792207792)</f>
        <v>0.07792207792</v>
      </c>
      <c r="G70" s="95">
        <f>IFERROR(__xludf.DUMMYFUNCTION("""COMPUTED_VALUE"""),0.09829059829059829)</f>
        <v>0.09829059829</v>
      </c>
      <c r="H70" s="95">
        <f>IFERROR(__xludf.DUMMYFUNCTION("""COMPUTED_VALUE"""),0.12422360248447205)</f>
        <v>0.1242236025</v>
      </c>
      <c r="I70" s="95">
        <f>IFERROR(__xludf.DUMMYFUNCTION("""COMPUTED_VALUE"""),0.06291390728476821)</f>
        <v>0.06291390728</v>
      </c>
      <c r="J70" s="95">
        <f t="shared" si="3"/>
        <v>0.007795797049</v>
      </c>
      <c r="K70" s="95">
        <f t="shared" si="4"/>
        <v>-0.0613096952</v>
      </c>
    </row>
    <row r="71">
      <c r="A71" s="93" t="str">
        <f>IFERROR(__xludf.DUMMYFUNCTION("""COMPUTED_VALUE"""),"BC 44 Quang Trung-Tây Sơn-Bình Định")</f>
        <v>BC 44 Quang Trung-Tây Sơn-Bình Định</v>
      </c>
      <c r="B71" s="95">
        <f>IFERROR(__xludf.DUMMYFUNCTION("""COMPUTED_VALUE"""),0.07168458781362007)</f>
        <v>0.07168458781</v>
      </c>
      <c r="C71" s="95">
        <f>IFERROR(__xludf.DUMMYFUNCTION("""COMPUTED_VALUE"""),0.08945686900958466)</f>
        <v>0.08945686901</v>
      </c>
      <c r="D71" s="95">
        <f>IFERROR(__xludf.DUMMYFUNCTION("""COMPUTED_VALUE"""),0.049342105263157895)</f>
        <v>0.04934210526</v>
      </c>
      <c r="E71" s="95">
        <f>IFERROR(__xludf.DUMMYFUNCTION("""COMPUTED_VALUE"""),0.05426356589147287)</f>
        <v>0.05426356589</v>
      </c>
      <c r="F71" s="95">
        <f>IFERROR(__xludf.DUMMYFUNCTION("""COMPUTED_VALUE"""),0.037383177570093455)</f>
        <v>0.03738317757</v>
      </c>
      <c r="G71" s="95">
        <f>IFERROR(__xludf.DUMMYFUNCTION("""COMPUTED_VALUE"""),0.07913669064748201)</f>
        <v>0.07913669065</v>
      </c>
      <c r="H71" s="95">
        <f>IFERROR(__xludf.DUMMYFUNCTION("""COMPUTED_VALUE"""),0.09734513274336283)</f>
        <v>0.09734513274</v>
      </c>
      <c r="I71" s="95">
        <f>IFERROR(__xludf.DUMMYFUNCTION("""COMPUTED_VALUE"""),0.061764705882352944)</f>
        <v>0.06176470588</v>
      </c>
      <c r="J71" s="95">
        <f t="shared" si="3"/>
        <v>-0.009919881931</v>
      </c>
      <c r="K71" s="95">
        <f t="shared" si="4"/>
        <v>-0.03558042686</v>
      </c>
    </row>
    <row r="72">
      <c r="A72" s="93" t="str">
        <f>IFERROR(__xludf.DUMMYFUNCTION("""COMPUTED_VALUE"""),"BC 263 Đống Đa-Quy Nhơn-Bình Định")</f>
        <v>BC 263 Đống Đa-Quy Nhơn-Bình Định</v>
      </c>
      <c r="B72" s="95">
        <f>IFERROR(__xludf.DUMMYFUNCTION("""COMPUTED_VALUE"""),0.046251993620414676)</f>
        <v>0.04625199362</v>
      </c>
      <c r="C72" s="95">
        <f>IFERROR(__xludf.DUMMYFUNCTION("""COMPUTED_VALUE"""),0.06699346405228758)</f>
        <v>0.06699346405</v>
      </c>
      <c r="D72" s="95">
        <f>IFERROR(__xludf.DUMMYFUNCTION("""COMPUTED_VALUE"""),0.09090909090909091)</f>
        <v>0.09090909091</v>
      </c>
      <c r="E72" s="95">
        <f>IFERROR(__xludf.DUMMYFUNCTION("""COMPUTED_VALUE"""),0.0708502024291498)</f>
        <v>0.07085020243</v>
      </c>
      <c r="F72" s="95">
        <f>IFERROR(__xludf.DUMMYFUNCTION("""COMPUTED_VALUE"""),0.06506849315068493)</f>
        <v>0.06506849315</v>
      </c>
      <c r="G72" s="95">
        <f>IFERROR(__xludf.DUMMYFUNCTION("""COMPUTED_VALUE"""),0.06818181818181818)</f>
        <v>0.06818181818</v>
      </c>
      <c r="H72" s="95">
        <f>IFERROR(__xludf.DUMMYFUNCTION("""COMPUTED_VALUE"""),0.1188118811881188)</f>
        <v>0.1188118812</v>
      </c>
      <c r="I72" s="95">
        <f>IFERROR(__xludf.DUMMYFUNCTION("""COMPUTED_VALUE"""),0.05822416302765648)</f>
        <v>0.05822416303</v>
      </c>
      <c r="J72" s="95">
        <f t="shared" si="3"/>
        <v>0.01197216941</v>
      </c>
      <c r="K72" s="95">
        <f t="shared" si="4"/>
        <v>-0.06058771816</v>
      </c>
    </row>
    <row r="73">
      <c r="A73" s="93" t="str">
        <f>IFERROR(__xludf.DUMMYFUNCTION("""COMPUTED_VALUE"""),"BC DT644-Sông Cầu-Phú Yên")</f>
        <v>BC DT644-Sông Cầu-Phú Yên</v>
      </c>
      <c r="B73" s="95">
        <f>IFERROR(__xludf.DUMMYFUNCTION("""COMPUTED_VALUE"""),0.06840390879478828)</f>
        <v>0.06840390879</v>
      </c>
      <c r="C73" s="95">
        <f>IFERROR(__xludf.DUMMYFUNCTION("""COMPUTED_VALUE"""),0.04221635883905013)</f>
        <v>0.04221635884</v>
      </c>
      <c r="D73" s="95">
        <f>IFERROR(__xludf.DUMMYFUNCTION("""COMPUTED_VALUE"""),0.05806451612903226)</f>
        <v>0.05806451613</v>
      </c>
      <c r="E73" s="95">
        <f>IFERROR(__xludf.DUMMYFUNCTION("""COMPUTED_VALUE"""),0.04113924050632911)</f>
        <v>0.04113924051</v>
      </c>
      <c r="F73" s="95">
        <f>IFERROR(__xludf.DUMMYFUNCTION("""COMPUTED_VALUE"""),0.06191950464396285)</f>
        <v>0.06191950464</v>
      </c>
      <c r="G73" s="95">
        <f>IFERROR(__xludf.DUMMYFUNCTION("""COMPUTED_VALUE"""),0.05860805860805861)</f>
        <v>0.05860805861</v>
      </c>
      <c r="H73" s="95">
        <f>IFERROR(__xludf.DUMMYFUNCTION("""COMPUTED_VALUE"""),0.06177606177606178)</f>
        <v>0.06177606178</v>
      </c>
      <c r="I73" s="95">
        <f>IFERROR(__xludf.DUMMYFUNCTION("""COMPUTED_VALUE"""),0.05641025641025641)</f>
        <v>0.05641025641</v>
      </c>
      <c r="J73" s="95">
        <f t="shared" si="3"/>
        <v>-0.01199365238</v>
      </c>
      <c r="K73" s="95">
        <f t="shared" si="4"/>
        <v>-0.005365805366</v>
      </c>
    </row>
    <row r="74">
      <c r="A74" s="93" t="str">
        <f>IFERROR(__xludf.DUMMYFUNCTION("""COMPUTED_VALUE"""),"BC 838 Quang Trung-Phường Hoài Nhơn Tây-Bình Định")</f>
        <v>BC 838 Quang Trung-Phường Hoài Nhơn Tây-Bình Định</v>
      </c>
      <c r="B74" s="95">
        <f>IFERROR(__xludf.DUMMYFUNCTION("""COMPUTED_VALUE"""),0.055970149253731345)</f>
        <v>0.05597014925</v>
      </c>
      <c r="C74" s="95">
        <f>IFERROR(__xludf.DUMMYFUNCTION("""COMPUTED_VALUE"""),0.055762081784386616)</f>
        <v>0.05576208178</v>
      </c>
      <c r="D74" s="95">
        <f>IFERROR(__xludf.DUMMYFUNCTION("""COMPUTED_VALUE"""),0.056818181818181816)</f>
        <v>0.05681818182</v>
      </c>
      <c r="E74" s="95">
        <f>IFERROR(__xludf.DUMMYFUNCTION("""COMPUTED_VALUE"""),0.047058823529411764)</f>
        <v>0.04705882353</v>
      </c>
      <c r="F74" s="95">
        <f>IFERROR(__xludf.DUMMYFUNCTION("""COMPUTED_VALUE"""),0.045454545454545456)</f>
        <v>0.04545454545</v>
      </c>
      <c r="G74" s="95">
        <f>IFERROR(__xludf.DUMMYFUNCTION("""COMPUTED_VALUE"""),0.07246376811594203)</f>
        <v>0.07246376812</v>
      </c>
      <c r="H74" s="95">
        <f>IFERROR(__xludf.DUMMYFUNCTION("""COMPUTED_VALUE"""),0.06358381502890173)</f>
        <v>0.06358381503</v>
      </c>
      <c r="I74" s="95">
        <f>IFERROR(__xludf.DUMMYFUNCTION("""COMPUTED_VALUE"""),0.05379746835443038)</f>
        <v>0.05379746835</v>
      </c>
      <c r="J74" s="95">
        <f t="shared" si="3"/>
        <v>-0.002172680899</v>
      </c>
      <c r="K74" s="95">
        <f t="shared" si="4"/>
        <v>-0.009786346674</v>
      </c>
    </row>
    <row r="75">
      <c r="A75" s="93" t="str">
        <f>IFERROR(__xludf.DUMMYFUNCTION("""COMPUTED_VALUE"""),"BC 15 Hoàng Văn Thụ-An Khê-Gia Lai")</f>
        <v>BC 15 Hoàng Văn Thụ-An Khê-Gia Lai</v>
      </c>
      <c r="B75" s="95">
        <f>IFERROR(__xludf.DUMMYFUNCTION("""COMPUTED_VALUE"""),0.0389344262295082)</f>
        <v>0.03893442623</v>
      </c>
      <c r="C75" s="95">
        <f>IFERROR(__xludf.DUMMYFUNCTION("""COMPUTED_VALUE"""),0.0773067331670823)</f>
        <v>0.07730673317</v>
      </c>
      <c r="D75" s="95">
        <f>IFERROR(__xludf.DUMMYFUNCTION("""COMPUTED_VALUE"""),0.07462686567164178)</f>
        <v>0.07462686567</v>
      </c>
      <c r="E75" s="95">
        <f>IFERROR(__xludf.DUMMYFUNCTION("""COMPUTED_VALUE"""),0.07307692307692308)</f>
        <v>0.07307692308</v>
      </c>
      <c r="F75" s="95">
        <f>IFERROR(__xludf.DUMMYFUNCTION("""COMPUTED_VALUE"""),0.043568464730290454)</f>
        <v>0.04356846473</v>
      </c>
      <c r="G75" s="95">
        <f>IFERROR(__xludf.DUMMYFUNCTION("""COMPUTED_VALUE"""),0.06490384615384616)</f>
        <v>0.06490384615</v>
      </c>
      <c r="H75" s="95">
        <f>IFERROR(__xludf.DUMMYFUNCTION("""COMPUTED_VALUE"""),0.07643312101910828)</f>
        <v>0.07643312102</v>
      </c>
      <c r="I75" s="95">
        <f>IFERROR(__xludf.DUMMYFUNCTION("""COMPUTED_VALUE"""),0.052830188679245285)</f>
        <v>0.05283018868</v>
      </c>
      <c r="J75" s="95">
        <f t="shared" si="3"/>
        <v>0.01389576245</v>
      </c>
      <c r="K75" s="95">
        <f t="shared" si="4"/>
        <v>-0.02360293234</v>
      </c>
    </row>
    <row r="76">
      <c r="A76" s="93" t="str">
        <f>IFERROR(__xludf.DUMMYFUNCTION("""COMPUTED_VALUE"""),"BC Đường 3 Tháng 2-Xã Phù Cát-Bình Định")</f>
        <v>BC Đường 3 Tháng 2-Xã Phù Cát-Bình Định</v>
      </c>
      <c r="B76" s="95">
        <f>IFERROR(__xludf.DUMMYFUNCTION("""COMPUTED_VALUE"""),0.05693950177935943)</f>
        <v>0.05693950178</v>
      </c>
      <c r="C76" s="95">
        <f>IFERROR(__xludf.DUMMYFUNCTION("""COMPUTED_VALUE"""),0.04642857142857143)</f>
        <v>0.04642857143</v>
      </c>
      <c r="D76" s="95">
        <f>IFERROR(__xludf.DUMMYFUNCTION("""COMPUTED_VALUE"""),0.10112359550561797)</f>
        <v>0.1011235955</v>
      </c>
      <c r="E76" s="95">
        <f>IFERROR(__xludf.DUMMYFUNCTION("""COMPUTED_VALUE"""),0.07394366197183098)</f>
        <v>0.07394366197</v>
      </c>
      <c r="F76" s="95">
        <f>IFERROR(__xludf.DUMMYFUNCTION("""COMPUTED_VALUE"""),0.08614232209737828)</f>
        <v>0.0861423221</v>
      </c>
      <c r="G76" s="95">
        <f>IFERROR(__xludf.DUMMYFUNCTION("""COMPUTED_VALUE"""),0.0898876404494382)</f>
        <v>0.08988764045</v>
      </c>
      <c r="H76" s="95">
        <f>IFERROR(__xludf.DUMMYFUNCTION("""COMPUTED_VALUE"""),0.0641025641025641)</f>
        <v>0.0641025641</v>
      </c>
      <c r="I76" s="95">
        <f>IFERROR(__xludf.DUMMYFUNCTION("""COMPUTED_VALUE"""),0.04918032786885246)</f>
        <v>0.04918032787</v>
      </c>
      <c r="J76" s="95">
        <f t="shared" si="3"/>
        <v>-0.007759173911</v>
      </c>
      <c r="K76" s="95">
        <f t="shared" si="4"/>
        <v>-0.01492223623</v>
      </c>
    </row>
    <row r="77">
      <c r="A77" s="93" t="str">
        <f>IFERROR(__xludf.DUMMYFUNCTION("""COMPUTED_VALUE"""),"BC Vận Hành Thôn Định Trị-Xã Vĩnh Thạnh-Bình Định")</f>
        <v>BC Vận Hành Thôn Định Trị-Xã Vĩnh Thạnh-Bình Định</v>
      </c>
      <c r="B77" s="95">
        <f>IFERROR(__xludf.DUMMYFUNCTION("""COMPUTED_VALUE"""),0.03529411764705882)</f>
        <v>0.03529411765</v>
      </c>
      <c r="C77" s="95">
        <f>IFERROR(__xludf.DUMMYFUNCTION("""COMPUTED_VALUE"""),0.1095890410958904)</f>
        <v>0.1095890411</v>
      </c>
      <c r="D77" s="95">
        <f>IFERROR(__xludf.DUMMYFUNCTION("""COMPUTED_VALUE"""),0.049019607843137254)</f>
        <v>0.04901960784</v>
      </c>
      <c r="E77" s="95">
        <f>IFERROR(__xludf.DUMMYFUNCTION("""COMPUTED_VALUE"""),0.06153846153846154)</f>
        <v>0.06153846154</v>
      </c>
      <c r="F77" s="95">
        <f>IFERROR(__xludf.DUMMYFUNCTION("""COMPUTED_VALUE"""),0.03225806451612903)</f>
        <v>0.03225806452</v>
      </c>
      <c r="G77" s="95">
        <f>IFERROR(__xludf.DUMMYFUNCTION("""COMPUTED_VALUE"""),0.10144927536231885)</f>
        <v>0.1014492754</v>
      </c>
      <c r="H77" s="95">
        <f>IFERROR(__xludf.DUMMYFUNCTION("""COMPUTED_VALUE"""),0.0641025641025641)</f>
        <v>0.0641025641</v>
      </c>
      <c r="I77" s="95">
        <f>IFERROR(__xludf.DUMMYFUNCTION("""COMPUTED_VALUE"""),0.04819277108433735)</f>
        <v>0.04819277108</v>
      </c>
      <c r="J77" s="95">
        <f t="shared" si="3"/>
        <v>0.01289865344</v>
      </c>
      <c r="K77" s="95">
        <f t="shared" si="4"/>
        <v>-0.01590979302</v>
      </c>
    </row>
    <row r="78">
      <c r="A78" s="93" t="str">
        <f>IFERROR(__xludf.DUMMYFUNCTION("""COMPUTED_VALUE"""),"BC KP3 TT Hai Riềng-Sông Hinh-Phú Yên")</f>
        <v>BC KP3 TT Hai Riềng-Sông Hinh-Phú Yên</v>
      </c>
      <c r="B78" s="95">
        <f>IFERROR(__xludf.DUMMYFUNCTION("""COMPUTED_VALUE"""),0.08013937282229965)</f>
        <v>0.08013937282</v>
      </c>
      <c r="C78" s="95">
        <f>IFERROR(__xludf.DUMMYFUNCTION("""COMPUTED_VALUE"""),0.03970223325062035)</f>
        <v>0.03970223325</v>
      </c>
      <c r="D78" s="95">
        <f>IFERROR(__xludf.DUMMYFUNCTION("""COMPUTED_VALUE"""),0.07803468208092486)</f>
        <v>0.07803468208</v>
      </c>
      <c r="E78" s="95">
        <f>IFERROR(__xludf.DUMMYFUNCTION("""COMPUTED_VALUE"""),0.06515580736543909)</f>
        <v>0.06515580737</v>
      </c>
      <c r="F78" s="95">
        <f>IFERROR(__xludf.DUMMYFUNCTION("""COMPUTED_VALUE"""),0.07166123778501629)</f>
        <v>0.07166123779</v>
      </c>
      <c r="G78" s="95">
        <f>IFERROR(__xludf.DUMMYFUNCTION("""COMPUTED_VALUE"""),0.06397306397306397)</f>
        <v>0.06397306397</v>
      </c>
      <c r="H78" s="95">
        <f>IFERROR(__xludf.DUMMYFUNCTION("""COMPUTED_VALUE"""),0.09965635738831616)</f>
        <v>0.09965635739</v>
      </c>
      <c r="I78" s="95">
        <f>IFERROR(__xludf.DUMMYFUNCTION("""COMPUTED_VALUE"""),0.047752808988764044)</f>
        <v>0.04775280899</v>
      </c>
      <c r="J78" s="95">
        <f t="shared" si="3"/>
        <v>-0.03238656383</v>
      </c>
      <c r="K78" s="95">
        <f t="shared" si="4"/>
        <v>-0.0519035484</v>
      </c>
    </row>
    <row r="79">
      <c r="A79" s="93" t="str">
        <f>IFERROR(__xludf.DUMMYFUNCTION("""COMPUTED_VALUE"""),"BC Thôn Chánh Hóa-Xã Cát Tiến-Bình Định")</f>
        <v>BC Thôn Chánh Hóa-Xã Cát Tiến-Bình Định</v>
      </c>
      <c r="B79" s="95">
        <f>IFERROR(__xludf.DUMMYFUNCTION("""COMPUTED_VALUE"""),0.08450704225352113)</f>
        <v>0.08450704225</v>
      </c>
      <c r="C79" s="95">
        <f>IFERROR(__xludf.DUMMYFUNCTION("""COMPUTED_VALUE"""),0.05)</f>
        <v>0.05</v>
      </c>
      <c r="D79" s="95">
        <f>IFERROR(__xludf.DUMMYFUNCTION("""COMPUTED_VALUE"""),0.07407407407407407)</f>
        <v>0.07407407407</v>
      </c>
      <c r="E79" s="95">
        <f>IFERROR(__xludf.DUMMYFUNCTION("""COMPUTED_VALUE"""),0.05042016806722689)</f>
        <v>0.05042016807</v>
      </c>
      <c r="F79" s="95">
        <f>IFERROR(__xludf.DUMMYFUNCTION("""COMPUTED_VALUE"""),0.057971014492753624)</f>
        <v>0.05797101449</v>
      </c>
      <c r="G79" s="95">
        <f>IFERROR(__xludf.DUMMYFUNCTION("""COMPUTED_VALUE"""),0.043478260869565216)</f>
        <v>0.04347826087</v>
      </c>
      <c r="H79" s="95">
        <f>IFERROR(__xludf.DUMMYFUNCTION("""COMPUTED_VALUE"""),0.15789473684210525)</f>
        <v>0.1578947368</v>
      </c>
      <c r="I79" s="95">
        <f>IFERROR(__xludf.DUMMYFUNCTION("""COMPUTED_VALUE"""),0.046052631578947366)</f>
        <v>0.04605263158</v>
      </c>
      <c r="J79" s="95">
        <f t="shared" si="3"/>
        <v>-0.03845441067</v>
      </c>
      <c r="K79" s="95">
        <f t="shared" si="4"/>
        <v>-0.1118421053</v>
      </c>
    </row>
    <row r="80">
      <c r="A80" s="93" t="str">
        <f>IFERROR(__xludf.DUMMYFUNCTION("""COMPUTED_VALUE"""),"BC 71 Quốc Lộ 1A-Xã Tuy An Bắc-Phú Yên")</f>
        <v>BC 71 Quốc Lộ 1A-Xã Tuy An Bắc-Phú Yên</v>
      </c>
      <c r="B80" s="95">
        <f>IFERROR(__xludf.DUMMYFUNCTION("""COMPUTED_VALUE"""),0.08383233532934131)</f>
        <v>0.08383233533</v>
      </c>
      <c r="C80" s="95">
        <f>IFERROR(__xludf.DUMMYFUNCTION("""COMPUTED_VALUE"""),0.04326923076923077)</f>
        <v>0.04326923077</v>
      </c>
      <c r="D80" s="95">
        <f>IFERROR(__xludf.DUMMYFUNCTION("""COMPUTED_VALUE"""),0.06435643564356436)</f>
        <v>0.06435643564</v>
      </c>
      <c r="E80" s="95">
        <f>IFERROR(__xludf.DUMMYFUNCTION("""COMPUTED_VALUE"""),0.044444444444444446)</f>
        <v>0.04444444444</v>
      </c>
      <c r="F80" s="95">
        <f>IFERROR(__xludf.DUMMYFUNCTION("""COMPUTED_VALUE"""),0.0481283422459893)</f>
        <v>0.04812834225</v>
      </c>
      <c r="G80" s="95">
        <f>IFERROR(__xludf.DUMMYFUNCTION("""COMPUTED_VALUE"""),0.06707317073170732)</f>
        <v>0.06707317073</v>
      </c>
      <c r="H80" s="95">
        <f>IFERROR(__xludf.DUMMYFUNCTION("""COMPUTED_VALUE"""),0.08208955223880597)</f>
        <v>0.08208955224</v>
      </c>
      <c r="I80" s="95">
        <f>IFERROR(__xludf.DUMMYFUNCTION("""COMPUTED_VALUE"""),0.044444444444444446)</f>
        <v>0.04444444444</v>
      </c>
      <c r="J80" s="95">
        <f t="shared" si="3"/>
        <v>-0.03938789088</v>
      </c>
      <c r="K80" s="95">
        <f t="shared" si="4"/>
        <v>-0.03764510779</v>
      </c>
    </row>
    <row r="81">
      <c r="A81" s="93" t="str">
        <f>IFERROR(__xludf.DUMMYFUNCTION("""COMPUTED_VALUE"""),"BC 499 Phạm Văn Đồng-Pleiku-Gia Lai")</f>
        <v>BC 499 Phạm Văn Đồng-Pleiku-Gia Lai</v>
      </c>
      <c r="B81" s="95">
        <f>IFERROR(__xludf.DUMMYFUNCTION("""COMPUTED_VALUE"""),0.06378600823045268)</f>
        <v>0.06378600823</v>
      </c>
      <c r="C81" s="95">
        <f>IFERROR(__xludf.DUMMYFUNCTION("""COMPUTED_VALUE"""),0.08333333333333333)</f>
        <v>0.08333333333</v>
      </c>
      <c r="D81" s="95">
        <f>IFERROR(__xludf.DUMMYFUNCTION("""COMPUTED_VALUE"""),0.07125890736342043)</f>
        <v>0.07125890736</v>
      </c>
      <c r="E81" s="95">
        <f>IFERROR(__xludf.DUMMYFUNCTION("""COMPUTED_VALUE"""),0.05273069679849341)</f>
        <v>0.0527306968</v>
      </c>
      <c r="F81" s="95">
        <f>IFERROR(__xludf.DUMMYFUNCTION("""COMPUTED_VALUE"""),0.07052896725440806)</f>
        <v>0.07052896725</v>
      </c>
      <c r="G81" s="95">
        <f>IFERROR(__xludf.DUMMYFUNCTION("""COMPUTED_VALUE"""),0.0684931506849315)</f>
        <v>0.06849315068</v>
      </c>
      <c r="H81" s="95">
        <f>IFERROR(__xludf.DUMMYFUNCTION("""COMPUTED_VALUE"""),0.11484593837535013)</f>
        <v>0.1148459384</v>
      </c>
      <c r="I81" s="95">
        <f>IFERROR(__xludf.DUMMYFUNCTION("""COMPUTED_VALUE"""),0.04411764705882353)</f>
        <v>0.04411764706</v>
      </c>
      <c r="J81" s="95">
        <f t="shared" si="3"/>
        <v>-0.01966836117</v>
      </c>
      <c r="K81" s="95">
        <f t="shared" si="4"/>
        <v>-0.07072829132</v>
      </c>
    </row>
    <row r="82">
      <c r="A82" s="93" t="str">
        <f>IFERROR(__xludf.DUMMYFUNCTION("""COMPUTED_VALUE"""),"BC 414 Trần Hưng Đạo-Mang Yang-Gia Lai")</f>
        <v>BC 414 Trần Hưng Đạo-Mang Yang-Gia Lai</v>
      </c>
      <c r="B82" s="95">
        <f>IFERROR(__xludf.DUMMYFUNCTION("""COMPUTED_VALUE"""),0.028925619834710745)</f>
        <v>0.02892561983</v>
      </c>
      <c r="C82" s="95">
        <f>IFERROR(__xludf.DUMMYFUNCTION("""COMPUTED_VALUE"""),0.06428571428571428)</f>
        <v>0.06428571429</v>
      </c>
      <c r="D82" s="95">
        <f>IFERROR(__xludf.DUMMYFUNCTION("""COMPUTED_VALUE"""),0.046875)</f>
        <v>0.046875</v>
      </c>
      <c r="E82" s="95">
        <f>IFERROR(__xludf.DUMMYFUNCTION("""COMPUTED_VALUE"""),0.06358381502890173)</f>
        <v>0.06358381503</v>
      </c>
      <c r="F82" s="95">
        <f>IFERROR(__xludf.DUMMYFUNCTION("""COMPUTED_VALUE"""),0.013824884792626729)</f>
        <v>0.01382488479</v>
      </c>
      <c r="G82" s="95">
        <f>IFERROR(__xludf.DUMMYFUNCTION("""COMPUTED_VALUE"""),0.058823529411764705)</f>
        <v>0.05882352941</v>
      </c>
      <c r="H82" s="95">
        <f>IFERROR(__xludf.DUMMYFUNCTION("""COMPUTED_VALUE"""),0.07368421052631578)</f>
        <v>0.07368421053</v>
      </c>
      <c r="I82" s="95">
        <f>IFERROR(__xludf.DUMMYFUNCTION("""COMPUTED_VALUE"""),0.0425531914893617)</f>
        <v>0.04255319149</v>
      </c>
      <c r="J82" s="95">
        <f t="shared" si="3"/>
        <v>0.01362757165</v>
      </c>
      <c r="K82" s="95">
        <f t="shared" si="4"/>
        <v>-0.03113101904</v>
      </c>
    </row>
    <row r="83">
      <c r="A83" s="93" t="str">
        <f>IFERROR(__xludf.DUMMYFUNCTION("""COMPUTED_VALUE"""),"BC 274 Hùng Vương-Chư Pưh-Gia Lai")</f>
        <v>BC 274 Hùng Vương-Chư Pưh-Gia Lai</v>
      </c>
      <c r="B83" s="95">
        <f>IFERROR(__xludf.DUMMYFUNCTION("""COMPUTED_VALUE"""),0.029239766081871343)</f>
        <v>0.02923976608</v>
      </c>
      <c r="C83" s="95">
        <f>IFERROR(__xludf.DUMMYFUNCTION("""COMPUTED_VALUE"""),0.04487179487179487)</f>
        <v>0.04487179487</v>
      </c>
      <c r="D83" s="95">
        <f>IFERROR(__xludf.DUMMYFUNCTION("""COMPUTED_VALUE"""),0.0728476821192053)</f>
        <v>0.07284768212</v>
      </c>
      <c r="E83" s="95">
        <f>IFERROR(__xludf.DUMMYFUNCTION("""COMPUTED_VALUE"""),0.03317535545023697)</f>
        <v>0.03317535545</v>
      </c>
      <c r="F83" s="95">
        <f>IFERROR(__xludf.DUMMYFUNCTION("""COMPUTED_VALUE"""),0.047619047619047616)</f>
        <v>0.04761904762</v>
      </c>
      <c r="G83" s="95">
        <f>IFERROR(__xludf.DUMMYFUNCTION("""COMPUTED_VALUE"""),0.08670520231213873)</f>
        <v>0.08670520231</v>
      </c>
      <c r="H83" s="95">
        <f>IFERROR(__xludf.DUMMYFUNCTION("""COMPUTED_VALUE"""),0.05084745762711865)</f>
        <v>0.05084745763</v>
      </c>
      <c r="I83" s="95">
        <f>IFERROR(__xludf.DUMMYFUNCTION("""COMPUTED_VALUE"""),0.03825136612021858)</f>
        <v>0.03825136612</v>
      </c>
      <c r="J83" s="95">
        <f t="shared" si="3"/>
        <v>0.009011600038</v>
      </c>
      <c r="K83" s="95">
        <f t="shared" si="4"/>
        <v>-0.01259609151</v>
      </c>
    </row>
    <row r="84">
      <c r="A84" s="93" t="str">
        <f>IFERROR(__xludf.DUMMYFUNCTION("""COMPUTED_VALUE"""),"BC Đường Tỉnh 643-Xã Tuy An Nam-Phú Yên")</f>
        <v>BC Đường Tỉnh 643-Xã Tuy An Nam-Phú Yên</v>
      </c>
      <c r="B84" s="95">
        <f>IFERROR(__xludf.DUMMYFUNCTION("""COMPUTED_VALUE"""),0.06306306306306306)</f>
        <v>0.06306306306</v>
      </c>
      <c r="C84" s="95">
        <f>IFERROR(__xludf.DUMMYFUNCTION("""COMPUTED_VALUE"""),0.05925925925925926)</f>
        <v>0.05925925926</v>
      </c>
      <c r="D84" s="95">
        <f>IFERROR(__xludf.DUMMYFUNCTION("""COMPUTED_VALUE"""),0.06422018348623854)</f>
        <v>0.06422018349</v>
      </c>
      <c r="E84" s="95">
        <f>IFERROR(__xludf.DUMMYFUNCTION("""COMPUTED_VALUE"""),0.014925373134328358)</f>
        <v>0.01492537313</v>
      </c>
      <c r="F84" s="95">
        <f>IFERROR(__xludf.DUMMYFUNCTION("""COMPUTED_VALUE"""),0.043478260869565216)</f>
        <v>0.04347826087</v>
      </c>
      <c r="G84" s="95">
        <f>IFERROR(__xludf.DUMMYFUNCTION("""COMPUTED_VALUE"""),0.05319148936170213)</f>
        <v>0.05319148936</v>
      </c>
      <c r="H84" s="95">
        <f>IFERROR(__xludf.DUMMYFUNCTION("""COMPUTED_VALUE"""),0.04597701149425287)</f>
        <v>0.04597701149</v>
      </c>
      <c r="I84" s="95">
        <f>IFERROR(__xludf.DUMMYFUNCTION("""COMPUTED_VALUE"""),0.037383177570093455)</f>
        <v>0.03738317757</v>
      </c>
      <c r="J84" s="95">
        <f t="shared" si="3"/>
        <v>-0.02567988549</v>
      </c>
      <c r="K84" s="95">
        <f t="shared" si="4"/>
        <v>-0.008593833924</v>
      </c>
    </row>
    <row r="85">
      <c r="A85" s="93" t="str">
        <f>IFERROR(__xludf.DUMMYFUNCTION("""COMPUTED_VALUE"""),"BC 21 Tây Sơn-Xã Phù Mỹ-Bình Định")</f>
        <v>BC 21 Tây Sơn-Xã Phù Mỹ-Bình Định</v>
      </c>
      <c r="B85" s="95">
        <f>IFERROR(__xludf.DUMMYFUNCTION("""COMPUTED_VALUE"""),0.08609271523178808)</f>
        <v>0.08609271523</v>
      </c>
      <c r="C85" s="95">
        <f>IFERROR(__xludf.DUMMYFUNCTION("""COMPUTED_VALUE"""),0.05398457583547558)</f>
        <v>0.05398457584</v>
      </c>
      <c r="D85" s="95">
        <f>IFERROR(__xludf.DUMMYFUNCTION("""COMPUTED_VALUE"""),0.09116022099447514)</f>
        <v>0.09116022099</v>
      </c>
      <c r="E85" s="95">
        <f>IFERROR(__xludf.DUMMYFUNCTION("""COMPUTED_VALUE"""),0.0729483282674772)</f>
        <v>0.07294832827</v>
      </c>
      <c r="F85" s="95">
        <f>IFERROR(__xludf.DUMMYFUNCTION("""COMPUTED_VALUE"""),0.07219251336898395)</f>
        <v>0.07219251337</v>
      </c>
      <c r="G85" s="95">
        <f>IFERROR(__xludf.DUMMYFUNCTION("""COMPUTED_VALUE"""),0.07836990595611286)</f>
        <v>0.07836990596</v>
      </c>
      <c r="H85" s="95">
        <f>IFERROR(__xludf.DUMMYFUNCTION("""COMPUTED_VALUE"""),0.10931174089068826)</f>
        <v>0.1093117409</v>
      </c>
      <c r="I85" s="95">
        <f>IFERROR(__xludf.DUMMYFUNCTION("""COMPUTED_VALUE"""),0.03694581280788178)</f>
        <v>0.03694581281</v>
      </c>
      <c r="J85" s="95">
        <f t="shared" si="3"/>
        <v>-0.04914690242</v>
      </c>
      <c r="K85" s="95">
        <f t="shared" si="4"/>
        <v>-0.07236592808</v>
      </c>
    </row>
    <row r="86">
      <c r="A86" s="93" t="str">
        <f>IFERROR(__xludf.DUMMYFUNCTION("""COMPUTED_VALUE"""),"BC 569 Trường Chinh-Pleiku-Gia Lai")</f>
        <v>BC 569 Trường Chinh-Pleiku-Gia Lai</v>
      </c>
      <c r="B86" s="95">
        <f>IFERROR(__xludf.DUMMYFUNCTION("""COMPUTED_VALUE"""),0.05077262693156733)</f>
        <v>0.05077262693</v>
      </c>
      <c r="C86" s="95">
        <f>IFERROR(__xludf.DUMMYFUNCTION("""COMPUTED_VALUE"""),0.055327868852459015)</f>
        <v>0.05532786885</v>
      </c>
      <c r="D86" s="95">
        <f>IFERROR(__xludf.DUMMYFUNCTION("""COMPUTED_VALUE"""),0.04314720812182741)</f>
        <v>0.04314720812</v>
      </c>
      <c r="E86" s="95">
        <f>IFERROR(__xludf.DUMMYFUNCTION("""COMPUTED_VALUE"""),0.030181086519114688)</f>
        <v>0.03018108652</v>
      </c>
      <c r="F86" s="95">
        <f>IFERROR(__xludf.DUMMYFUNCTION("""COMPUTED_VALUE"""),0.045454545454545456)</f>
        <v>0.04545454545</v>
      </c>
      <c r="G86" s="95">
        <f>IFERROR(__xludf.DUMMYFUNCTION("""COMPUTED_VALUE"""),0.05823293172690763)</f>
        <v>0.05823293173</v>
      </c>
      <c r="H86" s="95">
        <f>IFERROR(__xludf.DUMMYFUNCTION("""COMPUTED_VALUE"""),0.06968641114982578)</f>
        <v>0.06968641115</v>
      </c>
      <c r="I86" s="95">
        <f>IFERROR(__xludf.DUMMYFUNCTION("""COMPUTED_VALUE"""),0.03563941299790356)</f>
        <v>0.035639413</v>
      </c>
      <c r="J86" s="95">
        <f t="shared" si="3"/>
        <v>-0.01513321393</v>
      </c>
      <c r="K86" s="95">
        <f t="shared" si="4"/>
        <v>-0.03404699815</v>
      </c>
    </row>
    <row r="87">
      <c r="A87" s="93" t="str">
        <f>IFERROR(__xludf.DUMMYFUNCTION("""COMPUTED_VALUE"""),"BC Thị Trấn Phú Thứ-Tây Hoà-Phú Yên")</f>
        <v>BC Thị Trấn Phú Thứ-Tây Hoà-Phú Yên</v>
      </c>
      <c r="B87" s="95">
        <f>IFERROR(__xludf.DUMMYFUNCTION("""COMPUTED_VALUE"""),0.06995884773662552)</f>
        <v>0.06995884774</v>
      </c>
      <c r="C87" s="95">
        <f>IFERROR(__xludf.DUMMYFUNCTION("""COMPUTED_VALUE"""),0.042105263157894736)</f>
        <v>0.04210526316</v>
      </c>
      <c r="D87" s="95">
        <f>IFERROR(__xludf.DUMMYFUNCTION("""COMPUTED_VALUE"""),0.08208955223880597)</f>
        <v>0.08208955224</v>
      </c>
      <c r="E87" s="95">
        <f>IFERROR(__xludf.DUMMYFUNCTION("""COMPUTED_VALUE"""),0.06542056074766354)</f>
        <v>0.06542056075</v>
      </c>
      <c r="F87" s="95">
        <f>IFERROR(__xludf.DUMMYFUNCTION("""COMPUTED_VALUE"""),0.03065134099616858)</f>
        <v>0.030651341</v>
      </c>
      <c r="G87" s="95">
        <f>IFERROR(__xludf.DUMMYFUNCTION("""COMPUTED_VALUE"""),0.06324110671936758)</f>
        <v>0.06324110672</v>
      </c>
      <c r="H87" s="95">
        <f>IFERROR(__xludf.DUMMYFUNCTION("""COMPUTED_VALUE"""),0.11274509803921569)</f>
        <v>0.112745098</v>
      </c>
      <c r="I87" s="95">
        <f>IFERROR(__xludf.DUMMYFUNCTION("""COMPUTED_VALUE"""),0.03389830508474576)</f>
        <v>0.03389830508</v>
      </c>
      <c r="J87" s="95">
        <f t="shared" si="3"/>
        <v>-0.03606054265</v>
      </c>
      <c r="K87" s="95">
        <f t="shared" si="4"/>
        <v>-0.07884679295</v>
      </c>
    </row>
    <row r="88">
      <c r="A88" s="273" t="str">
        <f>IFERROR(__xludf.DUMMYFUNCTION("""COMPUTED_VALUE"""),"BC Số 35 Phạm Văn Đồng-Tăng Bạt Hổ-Hoài Ân-Bình Định")</f>
        <v>BC Số 35 Phạm Văn Đồng-Tăng Bạt Hổ-Hoài Ân-Bình Định</v>
      </c>
      <c r="B88" s="95">
        <f>IFERROR(__xludf.DUMMYFUNCTION("""COMPUTED_VALUE"""),0.06403940886699508)</f>
        <v>0.06403940887</v>
      </c>
      <c r="C88" s="95">
        <f>IFERROR(__xludf.DUMMYFUNCTION("""COMPUTED_VALUE"""),0.05627705627705628)</f>
        <v>0.05627705628</v>
      </c>
      <c r="D88" s="95">
        <f>IFERROR(__xludf.DUMMYFUNCTION("""COMPUTED_VALUE"""),0.05263157894736842)</f>
        <v>0.05263157895</v>
      </c>
      <c r="E88" s="95">
        <f>IFERROR(__xludf.DUMMYFUNCTION("""COMPUTED_VALUE"""),0.055793991416309016)</f>
        <v>0.05579399142</v>
      </c>
      <c r="F88" s="95">
        <f>IFERROR(__xludf.DUMMYFUNCTION("""COMPUTED_VALUE"""),0.06756756756756757)</f>
        <v>0.06756756757</v>
      </c>
      <c r="G88" s="95">
        <f>IFERROR(__xludf.DUMMYFUNCTION("""COMPUTED_VALUE"""),0.06965174129353234)</f>
        <v>0.06965174129</v>
      </c>
      <c r="H88" s="95">
        <f>IFERROR(__xludf.DUMMYFUNCTION("""COMPUTED_VALUE"""),0.06962025316455696)</f>
        <v>0.06962025316</v>
      </c>
      <c r="I88" s="95">
        <f>IFERROR(__xludf.DUMMYFUNCTION("""COMPUTED_VALUE"""),0.03347280334728033)</f>
        <v>0.03347280335</v>
      </c>
      <c r="J88" s="95">
        <f t="shared" si="3"/>
        <v>-0.03056660552</v>
      </c>
      <c r="K88" s="95">
        <f t="shared" si="4"/>
        <v>-0.03614744982</v>
      </c>
    </row>
    <row r="89">
      <c r="A89" s="273" t="str">
        <f>IFERROR(__xludf.DUMMYFUNCTION("""COMPUTED_VALUE"""),"BC 127B Lê Văn Tám-Thị Trấn Kbang-Huyện Kbang-Gia Lai")</f>
        <v>BC 127B Lê Văn Tám-Thị Trấn Kbang-Huyện Kbang-Gia Lai</v>
      </c>
      <c r="B89" s="95">
        <f>IFERROR(__xludf.DUMMYFUNCTION("""COMPUTED_VALUE"""),0.08298755186721991)</f>
        <v>0.08298755187</v>
      </c>
      <c r="C89" s="95">
        <f>IFERROR(__xludf.DUMMYFUNCTION("""COMPUTED_VALUE"""),0.05)</f>
        <v>0.05</v>
      </c>
      <c r="D89" s="95">
        <f>IFERROR(__xludf.DUMMYFUNCTION("""COMPUTED_VALUE"""),0.04017857142857143)</f>
        <v>0.04017857143</v>
      </c>
      <c r="E89" s="95">
        <f>IFERROR(__xludf.DUMMYFUNCTION("""COMPUTED_VALUE"""),0.041884816753926704)</f>
        <v>0.04188481675</v>
      </c>
      <c r="F89" s="95">
        <f>IFERROR(__xludf.DUMMYFUNCTION("""COMPUTED_VALUE"""),0.05741626794258373)</f>
        <v>0.05741626794</v>
      </c>
      <c r="G89" s="95">
        <f>IFERROR(__xludf.DUMMYFUNCTION("""COMPUTED_VALUE"""),0.08928571428571429)</f>
        <v>0.08928571429</v>
      </c>
      <c r="H89" s="95">
        <f>IFERROR(__xludf.DUMMYFUNCTION("""COMPUTED_VALUE"""),0.05511811023622047)</f>
        <v>0.05511811024</v>
      </c>
      <c r="I89" s="95">
        <f>IFERROR(__xludf.DUMMYFUNCTION("""COMPUTED_VALUE"""),0.03125)</f>
        <v>0.03125</v>
      </c>
      <c r="J89" s="95">
        <f t="shared" si="3"/>
        <v>-0.05173755187</v>
      </c>
      <c r="K89" s="95">
        <f t="shared" si="4"/>
        <v>-0.02386811024</v>
      </c>
    </row>
    <row r="90">
      <c r="A90" s="273" t="str">
        <f>IFERROR(__xludf.DUMMYFUNCTION("""COMPUTED_VALUE"""),"BC 767 Hùng Vương-Quy Nhơn-Bình Định")</f>
        <v>BC 767 Hùng Vương-Quy Nhơn-Bình Định</v>
      </c>
      <c r="B90" s="129">
        <f>IFERROR(__xludf.DUMMYFUNCTION("""COMPUTED_VALUE"""),0.05238095238095238)</f>
        <v>0.05238095238</v>
      </c>
      <c r="C90" s="129">
        <f>IFERROR(__xludf.DUMMYFUNCTION("""COMPUTED_VALUE"""),0.022388059701492536)</f>
        <v>0.0223880597</v>
      </c>
      <c r="D90" s="129">
        <f>IFERROR(__xludf.DUMMYFUNCTION("""COMPUTED_VALUE"""),0.024193548387096774)</f>
        <v>0.02419354839</v>
      </c>
      <c r="E90" s="129">
        <f>IFERROR(__xludf.DUMMYFUNCTION("""COMPUTED_VALUE"""),0.04477611940298507)</f>
        <v>0.0447761194</v>
      </c>
      <c r="F90" s="129">
        <f>IFERROR(__xludf.DUMMYFUNCTION("""COMPUTED_VALUE"""),0.019230769230769232)</f>
        <v>0.01923076923</v>
      </c>
      <c r="G90" s="129">
        <f>IFERROR(__xludf.DUMMYFUNCTION("""COMPUTED_VALUE"""),0.06451612903225806)</f>
        <v>0.06451612903</v>
      </c>
      <c r="H90" s="129">
        <f>IFERROR(__xludf.DUMMYFUNCTION("""COMPUTED_VALUE"""),0.04516129032258064)</f>
        <v>0.04516129032</v>
      </c>
      <c r="I90" s="129">
        <f>IFERROR(__xludf.DUMMYFUNCTION("""COMPUTED_VALUE"""),0.023255813953488372)</f>
        <v>0.02325581395</v>
      </c>
      <c r="J90" s="95">
        <f t="shared" si="3"/>
        <v>-0.02912513843</v>
      </c>
      <c r="K90" s="95">
        <f t="shared" si="4"/>
        <v>-0.02190547637</v>
      </c>
    </row>
    <row r="91">
      <c r="A91" s="273" t="str">
        <f>IFERROR(__xludf.DUMMYFUNCTION("""COMPUTED_VALUE"""),"BC 225 Phạm Văn Đồng-Buôn Ma Thuột-Đắk Lắk")</f>
        <v>BC 225 Phạm Văn Đồng-Buôn Ma Thuột-Đắk Lắk</v>
      </c>
      <c r="B91" s="129">
        <f>IFERROR(__xludf.DUMMYFUNCTION("""COMPUTED_VALUE"""),1.0)</f>
        <v>1</v>
      </c>
      <c r="C91" s="129">
        <f>IFERROR(__xludf.DUMMYFUNCTION("""COMPUTED_VALUE"""),1.0)</f>
        <v>1</v>
      </c>
      <c r="D91" s="129">
        <f>IFERROR(__xludf.DUMMYFUNCTION("""COMPUTED_VALUE"""),1.0)</f>
        <v>1</v>
      </c>
      <c r="E91" s="128"/>
      <c r="F91" s="128"/>
      <c r="G91" s="128"/>
      <c r="H91" s="128"/>
      <c r="I91" s="128"/>
      <c r="J91" s="95">
        <f t="shared" si="3"/>
        <v>-1</v>
      </c>
      <c r="K91" s="94">
        <f t="shared" si="4"/>
        <v>0</v>
      </c>
    </row>
    <row r="92">
      <c r="A92" s="48"/>
      <c r="B92" s="48"/>
      <c r="C92" s="48"/>
      <c r="D92" s="48"/>
      <c r="E92" s="48"/>
      <c r="F92" s="48"/>
      <c r="G92" s="48"/>
      <c r="H92" s="48"/>
      <c r="I92" s="48"/>
    </row>
    <row r="93">
      <c r="A93" s="48"/>
      <c r="B93" s="48"/>
      <c r="C93" s="48"/>
      <c r="D93" s="48"/>
      <c r="E93" s="48"/>
      <c r="F93" s="48"/>
      <c r="G93" s="48"/>
      <c r="H93" s="48"/>
      <c r="I93" s="48"/>
    </row>
  </sheetData>
  <mergeCells count="4">
    <mergeCell ref="B1:H1"/>
    <mergeCell ref="J1:K1"/>
    <mergeCell ref="B24:H24"/>
    <mergeCell ref="J24:K24"/>
  </mergeCells>
  <conditionalFormatting sqref="J26:J91">
    <cfRule type="cellIs" dxfId="3" priority="1" operator="greaterThan">
      <formula>"0%"</formula>
    </cfRule>
  </conditionalFormatting>
  <conditionalFormatting sqref="K26:K91">
    <cfRule type="cellIs" dxfId="2" priority="2" operator="greaterThan">
      <formula>"0%"</formula>
    </cfRule>
  </conditionalFormatting>
  <conditionalFormatting sqref="J3:J17">
    <cfRule type="cellIs" dxfId="3" priority="3" operator="greaterThan">
      <formula>"0%"</formula>
    </cfRule>
  </conditionalFormatting>
  <conditionalFormatting sqref="K3:K17">
    <cfRule type="cellIs" dxfId="3" priority="4" operator="greaterThan">
      <formula>"0%"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13"/>
    <col customWidth="1" min="2" max="11" width="10.25"/>
  </cols>
  <sheetData>
    <row r="1">
      <c r="A1" s="260" t="s">
        <v>42</v>
      </c>
      <c r="B1" s="261" t="s">
        <v>34</v>
      </c>
      <c r="C1" s="262"/>
      <c r="D1" s="262"/>
      <c r="E1" s="262"/>
      <c r="F1" s="262"/>
      <c r="G1" s="262"/>
      <c r="H1" s="263"/>
      <c r="I1" s="224" t="s">
        <v>35</v>
      </c>
      <c r="J1" s="264" t="s">
        <v>36</v>
      </c>
      <c r="K1" s="262"/>
    </row>
    <row r="2">
      <c r="A2" s="121" t="str">
        <f>IFERROR(__xludf.DUMMYFUNCTION("IMPORTRANGE(""https://docs.google.com/spreadsheets/d/1487b2qDJjFxuit1ljyyJ220-vW46d0ImSvFQle7Fw-k/edit?gid=248439520#gid=248439520 "",""FD AM !Y42:AG58"")"),"AM ")</f>
        <v>AM </v>
      </c>
      <c r="B2" s="121" t="str">
        <f>IFERROR(__xludf.DUMMYFUNCTION("""COMPUTED_VALUE"""),"2026-05-13")</f>
        <v>2026-05-13</v>
      </c>
      <c r="C2" s="121" t="str">
        <f>IFERROR(__xludf.DUMMYFUNCTION("""COMPUTED_VALUE"""),"2026-05-14")</f>
        <v>2026-05-14</v>
      </c>
      <c r="D2" s="121" t="str">
        <f>IFERROR(__xludf.DUMMYFUNCTION("""COMPUTED_VALUE"""),"2026-05-15")</f>
        <v>2026-05-15</v>
      </c>
      <c r="E2" s="121" t="str">
        <f>IFERROR(__xludf.DUMMYFUNCTION("""COMPUTED_VALUE"""),"2026-05-16")</f>
        <v>2026-05-16</v>
      </c>
      <c r="F2" s="121" t="str">
        <f>IFERROR(__xludf.DUMMYFUNCTION("""COMPUTED_VALUE"""),"2026-05-17")</f>
        <v>2026-05-17</v>
      </c>
      <c r="G2" s="121" t="str">
        <f>IFERROR(__xludf.DUMMYFUNCTION("""COMPUTED_VALUE"""),"2026-05-18")</f>
        <v>2026-05-18</v>
      </c>
      <c r="H2" s="121" t="str">
        <f>IFERROR(__xludf.DUMMYFUNCTION("""COMPUTED_VALUE"""),"2026-05-19")</f>
        <v>2026-05-19</v>
      </c>
      <c r="I2" s="121" t="str">
        <f>IFERROR(__xludf.DUMMYFUNCTION("""COMPUTED_VALUE"""),"2026-05-20")</f>
        <v>2026-05-20</v>
      </c>
      <c r="J2" s="265" t="s">
        <v>37</v>
      </c>
      <c r="K2" s="265" t="s">
        <v>38</v>
      </c>
    </row>
    <row r="3">
      <c r="A3" s="94" t="str">
        <f>IFERROR(__xludf.DUMMYFUNCTION("""COMPUTED_VALUE"""),"Nguyễn Thị Bảo Nhi")</f>
        <v>Nguyễn Thị Bảo Nhi</v>
      </c>
      <c r="B3" s="95">
        <f>IFERROR(__xludf.DUMMYFUNCTION("""COMPUTED_VALUE"""),0.05930470347648262)</f>
        <v>0.05930470348</v>
      </c>
      <c r="C3" s="95">
        <f>IFERROR(__xludf.DUMMYFUNCTION("""COMPUTED_VALUE"""),0.04681647940074907)</f>
        <v>0.0468164794</v>
      </c>
      <c r="D3" s="95">
        <f>IFERROR(__xludf.DUMMYFUNCTION("""COMPUTED_VALUE"""),0.05110732538330494)</f>
        <v>0.05110732538</v>
      </c>
      <c r="E3" s="95">
        <f>IFERROR(__xludf.DUMMYFUNCTION("""COMPUTED_VALUE"""),0.041916167664670656)</f>
        <v>0.04191616766</v>
      </c>
      <c r="F3" s="95">
        <f>IFERROR(__xludf.DUMMYFUNCTION("""COMPUTED_VALUE"""),0.06072106261859583)</f>
        <v>0.06072106262</v>
      </c>
      <c r="G3" s="95">
        <f>IFERROR(__xludf.DUMMYFUNCTION("""COMPUTED_VALUE"""),0.07736943907156674)</f>
        <v>0.07736943907</v>
      </c>
      <c r="H3" s="95">
        <f>IFERROR(__xludf.DUMMYFUNCTION("""COMPUTED_VALUE"""),0.06991525423728813)</f>
        <v>0.06991525424</v>
      </c>
      <c r="I3" s="95">
        <f>IFERROR(__xludf.DUMMYFUNCTION("""COMPUTED_VALUE"""),0.08303249097472924)</f>
        <v>0.08303249097</v>
      </c>
      <c r="J3" s="95">
        <f t="shared" ref="J3:J18" si="1">I3-B3</f>
        <v>0.0237277875</v>
      </c>
      <c r="K3" s="95">
        <f t="shared" ref="K3:K18" si="2">I3-H3</f>
        <v>0.01311723674</v>
      </c>
    </row>
    <row r="4">
      <c r="A4" s="94" t="str">
        <f>IFERROR(__xludf.DUMMYFUNCTION("""COMPUTED_VALUE"""),"Nguyễn Công Luận")</f>
        <v>Nguyễn Công Luận</v>
      </c>
      <c r="B4" s="95">
        <f>IFERROR(__xludf.DUMMYFUNCTION("""COMPUTED_VALUE"""),0.04342105263157895)</f>
        <v>0.04342105263</v>
      </c>
      <c r="C4" s="95">
        <f>IFERROR(__xludf.DUMMYFUNCTION("""COMPUTED_VALUE"""),0.06434782608695652)</f>
        <v>0.06434782609</v>
      </c>
      <c r="D4" s="95">
        <f>IFERROR(__xludf.DUMMYFUNCTION("""COMPUTED_VALUE"""),0.053125)</f>
        <v>0.053125</v>
      </c>
      <c r="E4" s="95">
        <f>IFERROR(__xludf.DUMMYFUNCTION("""COMPUTED_VALUE"""),0.023564064801178203)</f>
        <v>0.0235640648</v>
      </c>
      <c r="F4" s="95">
        <f>IFERROR(__xludf.DUMMYFUNCTION("""COMPUTED_VALUE"""),0.06486486486486487)</f>
        <v>0.06486486486</v>
      </c>
      <c r="G4" s="95">
        <f>IFERROR(__xludf.DUMMYFUNCTION("""COMPUTED_VALUE"""),0.061788617886178863)</f>
        <v>0.06178861789</v>
      </c>
      <c r="H4" s="95">
        <f>IFERROR(__xludf.DUMMYFUNCTION("""COMPUTED_VALUE"""),0.08425720620842572)</f>
        <v>0.08425720621</v>
      </c>
      <c r="I4" s="95">
        <f>IFERROR(__xludf.DUMMYFUNCTION("""COMPUTED_VALUE"""),0.06341463414634146)</f>
        <v>0.06341463415</v>
      </c>
      <c r="J4" s="95">
        <f t="shared" si="1"/>
        <v>0.01999358151</v>
      </c>
      <c r="K4" s="95">
        <f t="shared" si="2"/>
        <v>-0.02084257206</v>
      </c>
    </row>
    <row r="5">
      <c r="A5" s="94" t="str">
        <f>IFERROR(__xludf.DUMMYFUNCTION("""COMPUTED_VALUE"""),"Mai Đức Hoàng Long")</f>
        <v>Mai Đức Hoàng Long</v>
      </c>
      <c r="B5" s="95">
        <f>IFERROR(__xludf.DUMMYFUNCTION("""COMPUTED_VALUE"""),0.01929260450160772)</f>
        <v>0.0192926045</v>
      </c>
      <c r="C5" s="95">
        <f>IFERROR(__xludf.DUMMYFUNCTION("""COMPUTED_VALUE"""),0.05621301775147929)</f>
        <v>0.05621301775</v>
      </c>
      <c r="D5" s="95">
        <f>IFERROR(__xludf.DUMMYFUNCTION("""COMPUTED_VALUE"""),0.06402439024390244)</f>
        <v>0.06402439024</v>
      </c>
      <c r="E5" s="95">
        <f>IFERROR(__xludf.DUMMYFUNCTION("""COMPUTED_VALUE"""),0.005797101449275362)</f>
        <v>0.005797101449</v>
      </c>
      <c r="F5" s="95">
        <f>IFERROR(__xludf.DUMMYFUNCTION("""COMPUTED_VALUE"""),0.02586206896551724)</f>
        <v>0.02586206897</v>
      </c>
      <c r="G5" s="95">
        <f>IFERROR(__xludf.DUMMYFUNCTION("""COMPUTED_VALUE"""),0.054140127388535034)</f>
        <v>0.05414012739</v>
      </c>
      <c r="H5" s="95">
        <f>IFERROR(__xludf.DUMMYFUNCTION("""COMPUTED_VALUE"""),0.05309734513274336)</f>
        <v>0.05309734513</v>
      </c>
      <c r="I5" s="95">
        <f>IFERROR(__xludf.DUMMYFUNCTION("""COMPUTED_VALUE"""),0.055900621118012424)</f>
        <v>0.05590062112</v>
      </c>
      <c r="J5" s="95">
        <f t="shared" si="1"/>
        <v>0.03660801662</v>
      </c>
      <c r="K5" s="95">
        <f t="shared" si="2"/>
        <v>0.002803275985</v>
      </c>
    </row>
    <row r="6">
      <c r="A6" s="94" t="str">
        <f>IFERROR(__xludf.DUMMYFUNCTION("""COMPUTED_VALUE"""),"Lê Văn Tài")</f>
        <v>Lê Văn Tài</v>
      </c>
      <c r="B6" s="95">
        <f>IFERROR(__xludf.DUMMYFUNCTION("""COMPUTED_VALUE"""),0.08035714285714286)</f>
        <v>0.08035714286</v>
      </c>
      <c r="C6" s="95">
        <f>IFERROR(__xludf.DUMMYFUNCTION("""COMPUTED_VALUE"""),0.05303030303030303)</f>
        <v>0.05303030303</v>
      </c>
      <c r="D6" s="95">
        <f>IFERROR(__xludf.DUMMYFUNCTION("""COMPUTED_VALUE"""),0.06569343065693431)</f>
        <v>0.06569343066</v>
      </c>
      <c r="E6" s="95">
        <f>IFERROR(__xludf.DUMMYFUNCTION("""COMPUTED_VALUE"""),0.027726432532347505)</f>
        <v>0.02772643253</v>
      </c>
      <c r="F6" s="95">
        <f>IFERROR(__xludf.DUMMYFUNCTION("""COMPUTED_VALUE"""),0.0693950177935943)</f>
        <v>0.06939501779</v>
      </c>
      <c r="G6" s="95">
        <f>IFERROR(__xludf.DUMMYFUNCTION("""COMPUTED_VALUE"""),0.043478260869565216)</f>
        <v>0.04347826087</v>
      </c>
      <c r="H6" s="95">
        <f>IFERROR(__xludf.DUMMYFUNCTION("""COMPUTED_VALUE"""),0.06331877729257641)</f>
        <v>0.06331877729</v>
      </c>
      <c r="I6" s="95">
        <f>IFERROR(__xludf.DUMMYFUNCTION("""COMPUTED_VALUE"""),0.053830227743271224)</f>
        <v>0.05383022774</v>
      </c>
      <c r="J6" s="95">
        <f t="shared" si="1"/>
        <v>-0.02652691511</v>
      </c>
      <c r="K6" s="95">
        <f t="shared" si="2"/>
        <v>-0.009488549549</v>
      </c>
    </row>
    <row r="7">
      <c r="A7" s="94" t="str">
        <f>IFERROR(__xludf.DUMMYFUNCTION("""COMPUTED_VALUE"""),"Nguyễn Hoàng Anh")</f>
        <v>Nguyễn Hoàng Anh</v>
      </c>
      <c r="B7" s="95">
        <f>IFERROR(__xludf.DUMMYFUNCTION("""COMPUTED_VALUE"""),0.09047619047619047)</f>
        <v>0.09047619048</v>
      </c>
      <c r="C7" s="95">
        <f>IFERROR(__xludf.DUMMYFUNCTION("""COMPUTED_VALUE"""),0.06437768240343347)</f>
        <v>0.0643776824</v>
      </c>
      <c r="D7" s="95">
        <f>IFERROR(__xludf.DUMMYFUNCTION("""COMPUTED_VALUE"""),0.06150341685649203)</f>
        <v>0.06150341686</v>
      </c>
      <c r="E7" s="95">
        <f>IFERROR(__xludf.DUMMYFUNCTION("""COMPUTED_VALUE"""),0.03665987780040733)</f>
        <v>0.0366598778</v>
      </c>
      <c r="F7" s="95">
        <f>IFERROR(__xludf.DUMMYFUNCTION("""COMPUTED_VALUE"""),0.07171314741035857)</f>
        <v>0.07171314741</v>
      </c>
      <c r="G7" s="95">
        <f>IFERROR(__xludf.DUMMYFUNCTION("""COMPUTED_VALUE"""),0.05803571428571429)</f>
        <v>0.05803571429</v>
      </c>
      <c r="H7" s="95">
        <f>IFERROR(__xludf.DUMMYFUNCTION("""COMPUTED_VALUE"""),0.08393285371702638)</f>
        <v>0.08393285372</v>
      </c>
      <c r="I7" s="95">
        <f>IFERROR(__xludf.DUMMYFUNCTION("""COMPUTED_VALUE"""),0.052980132450331126)</f>
        <v>0.05298013245</v>
      </c>
      <c r="J7" s="95">
        <f t="shared" si="1"/>
        <v>-0.03749605803</v>
      </c>
      <c r="K7" s="95">
        <f t="shared" si="2"/>
        <v>-0.03095272127</v>
      </c>
    </row>
    <row r="8">
      <c r="A8" s="94" t="str">
        <f>IFERROR(__xludf.DUMMYFUNCTION("""COMPUTED_VALUE"""),"Ngô Thị Bích Trâm")</f>
        <v>Ngô Thị Bích Trâm</v>
      </c>
      <c r="B8" s="95">
        <f>IFERROR(__xludf.DUMMYFUNCTION("""COMPUTED_VALUE"""),0.05124450951683748)</f>
        <v>0.05124450952</v>
      </c>
      <c r="C8" s="95">
        <f>IFERROR(__xludf.DUMMYFUNCTION("""COMPUTED_VALUE"""),0.07719928186714542)</f>
        <v>0.07719928187</v>
      </c>
      <c r="D8" s="95">
        <f>IFERROR(__xludf.DUMMYFUNCTION("""COMPUTED_VALUE"""),0.04974271012006861)</f>
        <v>0.04974271012</v>
      </c>
      <c r="E8" s="95">
        <f>IFERROR(__xludf.DUMMYFUNCTION("""COMPUTED_VALUE"""),0.03322259136212625)</f>
        <v>0.03322259136</v>
      </c>
      <c r="F8" s="95">
        <f>IFERROR(__xludf.DUMMYFUNCTION("""COMPUTED_VALUE"""),0.047400611620795105)</f>
        <v>0.04740061162</v>
      </c>
      <c r="G8" s="95">
        <f>IFERROR(__xludf.DUMMYFUNCTION("""COMPUTED_VALUE"""),0.06540447504302926)</f>
        <v>0.06540447504</v>
      </c>
      <c r="H8" s="95">
        <f>IFERROR(__xludf.DUMMYFUNCTION("""COMPUTED_VALUE"""),0.08767123287671233)</f>
        <v>0.08767123288</v>
      </c>
      <c r="I8" s="95">
        <f>IFERROR(__xludf.DUMMYFUNCTION("""COMPUTED_VALUE"""),0.0489060489060489)</f>
        <v>0.04890604891</v>
      </c>
      <c r="J8" s="95">
        <f t="shared" si="1"/>
        <v>-0.002338460611</v>
      </c>
      <c r="K8" s="95">
        <f t="shared" si="2"/>
        <v>-0.03876518397</v>
      </c>
    </row>
    <row r="9">
      <c r="A9" s="94" t="str">
        <f>IFERROR(__xludf.DUMMYFUNCTION("""COMPUTED_VALUE"""),"Nguyễn Văn Sáng")</f>
        <v>Nguyễn Văn Sáng</v>
      </c>
      <c r="B9" s="95">
        <f>IFERROR(__xludf.DUMMYFUNCTION("""COMPUTED_VALUE"""),0.04492753623188406)</f>
        <v>0.04492753623</v>
      </c>
      <c r="C9" s="95">
        <f>IFERROR(__xludf.DUMMYFUNCTION("""COMPUTED_VALUE"""),0.05322128851540616)</f>
        <v>0.05322128852</v>
      </c>
      <c r="D9" s="95">
        <f>IFERROR(__xludf.DUMMYFUNCTION("""COMPUTED_VALUE"""),0.057352941176470586)</f>
        <v>0.05735294118</v>
      </c>
      <c r="E9" s="95">
        <f>IFERROR(__xludf.DUMMYFUNCTION("""COMPUTED_VALUE"""),0.036231884057971016)</f>
        <v>0.03623188406</v>
      </c>
      <c r="F9" s="95">
        <f>IFERROR(__xludf.DUMMYFUNCTION("""COMPUTED_VALUE"""),0.058823529411764705)</f>
        <v>0.05882352941</v>
      </c>
      <c r="G9" s="95">
        <f>IFERROR(__xludf.DUMMYFUNCTION("""COMPUTED_VALUE"""),0.046511627906976744)</f>
        <v>0.04651162791</v>
      </c>
      <c r="H9" s="95">
        <f>IFERROR(__xludf.DUMMYFUNCTION("""COMPUTED_VALUE"""),0.08359133126934984)</f>
        <v>0.08359133127</v>
      </c>
      <c r="I9" s="95">
        <f>IFERROR(__xludf.DUMMYFUNCTION("""COMPUTED_VALUE"""),0.04387291981845688)</f>
        <v>0.04387291982</v>
      </c>
      <c r="J9" s="95">
        <f t="shared" si="1"/>
        <v>-0.001054616413</v>
      </c>
      <c r="K9" s="95">
        <f t="shared" si="2"/>
        <v>-0.03971841145</v>
      </c>
    </row>
    <row r="10">
      <c r="A10" s="94" t="str">
        <f>IFERROR(__xludf.DUMMYFUNCTION("""COMPUTED_VALUE"""),"Nguyễn Đình Trung")</f>
        <v>Nguyễn Đình Trung</v>
      </c>
      <c r="B10" s="95">
        <f>IFERROR(__xludf.DUMMYFUNCTION("""COMPUTED_VALUE"""),0.032640949554896145)</f>
        <v>0.03264094955</v>
      </c>
      <c r="C10" s="95">
        <f>IFERROR(__xludf.DUMMYFUNCTION("""COMPUTED_VALUE"""),0.05725190839694656)</f>
        <v>0.0572519084</v>
      </c>
      <c r="D10" s="95">
        <f>IFERROR(__xludf.DUMMYFUNCTION("""COMPUTED_VALUE"""),0.05673758865248227)</f>
        <v>0.05673758865</v>
      </c>
      <c r="E10" s="95">
        <f>IFERROR(__xludf.DUMMYFUNCTION("""COMPUTED_VALUE"""),0.024806201550387597)</f>
        <v>0.02480620155</v>
      </c>
      <c r="F10" s="95">
        <f>IFERROR(__xludf.DUMMYFUNCTION("""COMPUTED_VALUE"""),0.054635761589403975)</f>
        <v>0.05463576159</v>
      </c>
      <c r="G10" s="95">
        <f>IFERROR(__xludf.DUMMYFUNCTION("""COMPUTED_VALUE"""),0.058637083993660855)</f>
        <v>0.05863708399</v>
      </c>
      <c r="H10" s="95">
        <f>IFERROR(__xludf.DUMMYFUNCTION("""COMPUTED_VALUE"""),0.06666666666666667)</f>
        <v>0.06666666667</v>
      </c>
      <c r="I10" s="95">
        <f>IFERROR(__xludf.DUMMYFUNCTION("""COMPUTED_VALUE"""),0.043478260869565216)</f>
        <v>0.04347826087</v>
      </c>
      <c r="J10" s="95">
        <f t="shared" si="1"/>
        <v>0.01083731131</v>
      </c>
      <c r="K10" s="95">
        <f t="shared" si="2"/>
        <v>-0.0231884058</v>
      </c>
    </row>
    <row r="11">
      <c r="A11" s="94" t="str">
        <f>IFERROR(__xludf.DUMMYFUNCTION("""COMPUTED_VALUE"""),"Nguyễn Ngọc Hà")</f>
        <v>Nguyễn Ngọc Hà</v>
      </c>
      <c r="B11" s="95">
        <f>IFERROR(__xludf.DUMMYFUNCTION("""COMPUTED_VALUE"""),0.06188925081433225)</f>
        <v>0.06188925081</v>
      </c>
      <c r="C11" s="95">
        <f>IFERROR(__xludf.DUMMYFUNCTION("""COMPUTED_VALUE"""),0.07604562737642585)</f>
        <v>0.07604562738</v>
      </c>
      <c r="D11" s="95">
        <f>IFERROR(__xludf.DUMMYFUNCTION("""COMPUTED_VALUE"""),0.05244755244755245)</f>
        <v>0.05244755245</v>
      </c>
      <c r="E11" s="95">
        <f>IFERROR(__xludf.DUMMYFUNCTION("""COMPUTED_VALUE"""),0.028481012658227847)</f>
        <v>0.02848101266</v>
      </c>
      <c r="F11" s="95">
        <f>IFERROR(__xludf.DUMMYFUNCTION("""COMPUTED_VALUE"""),0.0635593220338983)</f>
        <v>0.06355932203</v>
      </c>
      <c r="G11" s="95">
        <f>IFERROR(__xludf.DUMMYFUNCTION("""COMPUTED_VALUE"""),0.04953560371517028)</f>
        <v>0.04953560372</v>
      </c>
      <c r="H11" s="95">
        <f>IFERROR(__xludf.DUMMYFUNCTION("""COMPUTED_VALUE"""),0.06172839506172839)</f>
        <v>0.06172839506</v>
      </c>
      <c r="I11" s="95">
        <f>IFERROR(__xludf.DUMMYFUNCTION("""COMPUTED_VALUE"""),0.03468208092485549)</f>
        <v>0.03468208092</v>
      </c>
      <c r="J11" s="95">
        <f t="shared" si="1"/>
        <v>-0.02720716989</v>
      </c>
      <c r="K11" s="95">
        <f t="shared" si="2"/>
        <v>-0.02704631414</v>
      </c>
    </row>
    <row r="12">
      <c r="A12" s="94" t="str">
        <f>IFERROR(__xludf.DUMMYFUNCTION("""COMPUTED_VALUE"""),"Trần Nhật Thương")</f>
        <v>Trần Nhật Thương</v>
      </c>
      <c r="B12" s="95">
        <f>IFERROR(__xludf.DUMMYFUNCTION("""COMPUTED_VALUE"""),0.03317535545023697)</f>
        <v>0.03317535545</v>
      </c>
      <c r="C12" s="95">
        <f>IFERROR(__xludf.DUMMYFUNCTION("""COMPUTED_VALUE"""),0.03656597774244833)</f>
        <v>0.03656597774</v>
      </c>
      <c r="D12" s="95">
        <f>IFERROR(__xludf.DUMMYFUNCTION("""COMPUTED_VALUE"""),0.02050473186119874)</f>
        <v>0.02050473186</v>
      </c>
      <c r="E12" s="95">
        <f>IFERROR(__xludf.DUMMYFUNCTION("""COMPUTED_VALUE"""),0.03208556149732621)</f>
        <v>0.0320855615</v>
      </c>
      <c r="F12" s="95">
        <f>IFERROR(__xludf.DUMMYFUNCTION("""COMPUTED_VALUE"""),0.030303030303030304)</f>
        <v>0.0303030303</v>
      </c>
      <c r="G12" s="95">
        <f>IFERROR(__xludf.DUMMYFUNCTION("""COMPUTED_VALUE"""),0.05185185185185185)</f>
        <v>0.05185185185</v>
      </c>
      <c r="H12" s="95">
        <f>IFERROR(__xludf.DUMMYFUNCTION("""COMPUTED_VALUE"""),0.04975124378109453)</f>
        <v>0.04975124378</v>
      </c>
      <c r="I12" s="95">
        <f>IFERROR(__xludf.DUMMYFUNCTION("""COMPUTED_VALUE"""),0.02906208718626156)</f>
        <v>0.02906208719</v>
      </c>
      <c r="J12" s="95">
        <f t="shared" si="1"/>
        <v>-0.004113268264</v>
      </c>
      <c r="K12" s="95">
        <f t="shared" si="2"/>
        <v>-0.02068915659</v>
      </c>
    </row>
    <row r="13">
      <c r="A13" s="94" t="str">
        <f>IFERROR(__xludf.DUMMYFUNCTION("""COMPUTED_VALUE"""),"Huỳnh Thị Mới")</f>
        <v>Huỳnh Thị Mới</v>
      </c>
      <c r="B13" s="95">
        <f>IFERROR(__xludf.DUMMYFUNCTION("""COMPUTED_VALUE"""),0.03201219512195122)</f>
        <v>0.03201219512</v>
      </c>
      <c r="C13" s="95">
        <f>IFERROR(__xludf.DUMMYFUNCTION("""COMPUTED_VALUE"""),0.02342606149341142)</f>
        <v>0.02342606149</v>
      </c>
      <c r="D13" s="95">
        <f>IFERROR(__xludf.DUMMYFUNCTION("""COMPUTED_VALUE"""),0.02996845425867508)</f>
        <v>0.02996845426</v>
      </c>
      <c r="E13" s="95">
        <f>IFERROR(__xludf.DUMMYFUNCTION("""COMPUTED_VALUE"""),0.015965166908563134)</f>
        <v>0.01596516691</v>
      </c>
      <c r="F13" s="95">
        <f>IFERROR(__xludf.DUMMYFUNCTION("""COMPUTED_VALUE"""),0.048558421851289835)</f>
        <v>0.04855842185</v>
      </c>
      <c r="G13" s="95">
        <f>IFERROR(__xludf.DUMMYFUNCTION("""COMPUTED_VALUE"""),0.05128205128205128)</f>
        <v>0.05128205128</v>
      </c>
      <c r="H13" s="95">
        <f>IFERROR(__xludf.DUMMYFUNCTION("""COMPUTED_VALUE"""),0.06987951807228916)</f>
        <v>0.06987951807</v>
      </c>
      <c r="I13" s="95">
        <f>IFERROR(__xludf.DUMMYFUNCTION("""COMPUTED_VALUE"""),0.027359781121751026)</f>
        <v>0.02735978112</v>
      </c>
      <c r="J13" s="95">
        <f t="shared" si="1"/>
        <v>-0.004652414</v>
      </c>
      <c r="K13" s="95">
        <f t="shared" si="2"/>
        <v>-0.04251973695</v>
      </c>
    </row>
    <row r="14">
      <c r="A14" s="94" t="str">
        <f>IFERROR(__xludf.DUMMYFUNCTION("""COMPUTED_VALUE"""),"Lê Trọng Khiêm")</f>
        <v>Lê Trọng Khiêm</v>
      </c>
      <c r="B14" s="95">
        <f>IFERROR(__xludf.DUMMYFUNCTION("""COMPUTED_VALUE"""),0.035058430717863104)</f>
        <v>0.03505843072</v>
      </c>
      <c r="C14" s="95">
        <f>IFERROR(__xludf.DUMMYFUNCTION("""COMPUTED_VALUE"""),0.03253182461103253)</f>
        <v>0.03253182461</v>
      </c>
      <c r="D14" s="95">
        <f>IFERROR(__xludf.DUMMYFUNCTION("""COMPUTED_VALUE"""),0.022838499184339316)</f>
        <v>0.02283849918</v>
      </c>
      <c r="E14" s="95">
        <f>IFERROR(__xludf.DUMMYFUNCTION("""COMPUTED_VALUE"""),0.023931623931623933)</f>
        <v>0.02393162393</v>
      </c>
      <c r="F14" s="95">
        <f>IFERROR(__xludf.DUMMYFUNCTION("""COMPUTED_VALUE"""),0.049689440993788817)</f>
        <v>0.04968944099</v>
      </c>
      <c r="G14" s="95">
        <f>IFERROR(__xludf.DUMMYFUNCTION("""COMPUTED_VALUE"""),0.03966942148760331)</f>
        <v>0.03966942149</v>
      </c>
      <c r="H14" s="95">
        <f>IFERROR(__xludf.DUMMYFUNCTION("""COMPUTED_VALUE"""),0.03611738148984198)</f>
        <v>0.03611738149</v>
      </c>
      <c r="I14" s="95">
        <f>IFERROR(__xludf.DUMMYFUNCTION("""COMPUTED_VALUE"""),0.025974025974025976)</f>
        <v>0.02597402597</v>
      </c>
      <c r="J14" s="95">
        <f t="shared" si="1"/>
        <v>-0.009084404744</v>
      </c>
      <c r="K14" s="95">
        <f t="shared" si="2"/>
        <v>-0.01014335552</v>
      </c>
    </row>
    <row r="15">
      <c r="A15" s="94" t="str">
        <f>IFERROR(__xludf.DUMMYFUNCTION("""COMPUTED_VALUE"""),"Phan Thanh Thức")</f>
        <v>Phan Thanh Thức</v>
      </c>
      <c r="B15" s="95">
        <f>IFERROR(__xludf.DUMMYFUNCTION("""COMPUTED_VALUE"""),0.037037037037037035)</f>
        <v>0.03703703704</v>
      </c>
      <c r="C15" s="95">
        <f>IFERROR(__xludf.DUMMYFUNCTION("""COMPUTED_VALUE"""),0.03955375253549696)</f>
        <v>0.03955375254</v>
      </c>
      <c r="D15" s="95">
        <f>IFERROR(__xludf.DUMMYFUNCTION("""COMPUTED_VALUE"""),0.029471544715447155)</f>
        <v>0.02947154472</v>
      </c>
      <c r="E15" s="95">
        <f>IFERROR(__xludf.DUMMYFUNCTION("""COMPUTED_VALUE"""),0.02759381898454746)</f>
        <v>0.02759381898</v>
      </c>
      <c r="F15" s="95">
        <f>IFERROR(__xludf.DUMMYFUNCTION("""COMPUTED_VALUE"""),0.038657171922685654)</f>
        <v>0.03865717192</v>
      </c>
      <c r="G15" s="95">
        <f>IFERROR(__xludf.DUMMYFUNCTION("""COMPUTED_VALUE"""),0.03931203931203931)</f>
        <v>0.03931203931</v>
      </c>
      <c r="H15" s="95">
        <f>IFERROR(__xludf.DUMMYFUNCTION("""COMPUTED_VALUE"""),0.05329153605015674)</f>
        <v>0.05329153605</v>
      </c>
      <c r="I15" s="95">
        <f>IFERROR(__xludf.DUMMYFUNCTION("""COMPUTED_VALUE"""),0.02549800796812749)</f>
        <v>0.02549800797</v>
      </c>
      <c r="J15" s="95">
        <f t="shared" si="1"/>
        <v>-0.01153902907</v>
      </c>
      <c r="K15" s="95">
        <f t="shared" si="2"/>
        <v>-0.02779352808</v>
      </c>
    </row>
    <row r="16">
      <c r="A16" s="94" t="str">
        <f>IFERROR(__xludf.DUMMYFUNCTION("""COMPUTED_VALUE"""),"Phan Thị Mỹ Chi")</f>
        <v>Phan Thị Mỹ Chi</v>
      </c>
      <c r="B16" s="95">
        <f>IFERROR(__xludf.DUMMYFUNCTION("""COMPUTED_VALUE"""),0.03373015873015873)</f>
        <v>0.03373015873</v>
      </c>
      <c r="C16" s="95">
        <f>IFERROR(__xludf.DUMMYFUNCTION("""COMPUTED_VALUE"""),0.04722222222222222)</f>
        <v>0.04722222222</v>
      </c>
      <c r="D16" s="95">
        <f>IFERROR(__xludf.DUMMYFUNCTION("""COMPUTED_VALUE"""),0.05896805896805897)</f>
        <v>0.05896805897</v>
      </c>
      <c r="E16" s="95">
        <f>IFERROR(__xludf.DUMMYFUNCTION("""COMPUTED_VALUE"""),0.020179372197309416)</f>
        <v>0.0201793722</v>
      </c>
      <c r="F16" s="95">
        <f>IFERROR(__xludf.DUMMYFUNCTION("""COMPUTED_VALUE"""),0.06807511737089202)</f>
        <v>0.06807511737</v>
      </c>
      <c r="G16" s="95">
        <f>IFERROR(__xludf.DUMMYFUNCTION("""COMPUTED_VALUE"""),0.05339805825242718)</f>
        <v>0.05339805825</v>
      </c>
      <c r="H16" s="95">
        <f>IFERROR(__xludf.DUMMYFUNCTION("""COMPUTED_VALUE"""),0.08778625954198473)</f>
        <v>0.08778625954</v>
      </c>
      <c r="I16" s="95">
        <f>IFERROR(__xludf.DUMMYFUNCTION("""COMPUTED_VALUE"""),0.0234375)</f>
        <v>0.0234375</v>
      </c>
      <c r="J16" s="95">
        <f t="shared" si="1"/>
        <v>-0.01029265873</v>
      </c>
      <c r="K16" s="95">
        <f t="shared" si="2"/>
        <v>-0.06434875954</v>
      </c>
    </row>
    <row r="17">
      <c r="A17" s="94" t="str">
        <f>IFERROR(__xludf.DUMMYFUNCTION("""COMPUTED_VALUE"""),"Võ Thanh Diệu")</f>
        <v>Võ Thanh Diệu</v>
      </c>
      <c r="B17" s="95">
        <f>IFERROR(__xludf.DUMMYFUNCTION("""COMPUTED_VALUE"""),0.036818851251840944)</f>
        <v>0.03681885125</v>
      </c>
      <c r="C17" s="95">
        <f>IFERROR(__xludf.DUMMYFUNCTION("""COMPUTED_VALUE"""),0.016845329249617153)</f>
        <v>0.01684532925</v>
      </c>
      <c r="D17" s="95">
        <f>IFERROR(__xludf.DUMMYFUNCTION("""COMPUTED_VALUE"""),0.030837004405286344)</f>
        <v>0.03083700441</v>
      </c>
      <c r="E17" s="95">
        <f>IFERROR(__xludf.DUMMYFUNCTION("""COMPUTED_VALUE"""),0.013114754098360656)</f>
        <v>0.0131147541</v>
      </c>
      <c r="F17" s="95">
        <f>IFERROR(__xludf.DUMMYFUNCTION("""COMPUTED_VALUE"""),0.03565640194489465)</f>
        <v>0.03565640194</v>
      </c>
      <c r="G17" s="95">
        <f>IFERROR(__xludf.DUMMYFUNCTION("""COMPUTED_VALUE"""),0.04477611940298507)</f>
        <v>0.0447761194</v>
      </c>
      <c r="H17" s="95">
        <f>IFERROR(__xludf.DUMMYFUNCTION("""COMPUTED_VALUE"""),0.04932735426008968)</f>
        <v>0.04932735426</v>
      </c>
      <c r="I17" s="95">
        <f>IFERROR(__xludf.DUMMYFUNCTION("""COMPUTED_VALUE"""),0.02176696542893726)</f>
        <v>0.02176696543</v>
      </c>
      <c r="J17" s="95">
        <f t="shared" si="1"/>
        <v>-0.01505188582</v>
      </c>
      <c r="K17" s="95">
        <f t="shared" si="2"/>
        <v>-0.02756038883</v>
      </c>
    </row>
    <row r="18">
      <c r="A18" s="266" t="str">
        <f>IFERROR(__xludf.DUMMYFUNCTION("""COMPUTED_VALUE"""),"Tổng cộng")</f>
        <v>Tổng cộng</v>
      </c>
      <c r="B18" s="267">
        <f>IFERROR(__xludf.DUMMYFUNCTION("""COMPUTED_VALUE"""),0.044127554457668985)</f>
        <v>0.04412755446</v>
      </c>
      <c r="C18" s="267">
        <f>IFERROR(__xludf.DUMMYFUNCTION("""COMPUTED_VALUE"""),0.04684748150757309)</f>
        <v>0.04684748151</v>
      </c>
      <c r="D18" s="267">
        <f>IFERROR(__xludf.DUMMYFUNCTION("""COMPUTED_VALUE"""),0.04449349442379182)</f>
        <v>0.04449349442</v>
      </c>
      <c r="E18" s="267">
        <f>IFERROR(__xludf.DUMMYFUNCTION("""COMPUTED_VALUE"""),0.026373881724177994)</f>
        <v>0.02637388172</v>
      </c>
      <c r="F18" s="267">
        <f>IFERROR(__xludf.DUMMYFUNCTION("""COMPUTED_VALUE"""),0.05155807365439093)</f>
        <v>0.05155807365</v>
      </c>
      <c r="G18" s="267">
        <f>IFERROR(__xludf.DUMMYFUNCTION("""COMPUTED_VALUE"""),0.05248891079349433)</f>
        <v>0.05248891079</v>
      </c>
      <c r="H18" s="267">
        <f>IFERROR(__xludf.DUMMYFUNCTION("""COMPUTED_VALUE"""),0.06638418079096045)</f>
        <v>0.06638418079</v>
      </c>
      <c r="I18" s="267">
        <f>IFERROR(__xludf.DUMMYFUNCTION("""COMPUTED_VALUE"""),0.04016870857601928)</f>
        <v>0.04016870858</v>
      </c>
      <c r="J18" s="268">
        <f t="shared" si="1"/>
        <v>-0.003958845882</v>
      </c>
      <c r="K18" s="268">
        <f t="shared" si="2"/>
        <v>-0.02621547221</v>
      </c>
    </row>
    <row r="23">
      <c r="A23" s="269" t="s">
        <v>43</v>
      </c>
      <c r="B23" s="270" t="s">
        <v>34</v>
      </c>
      <c r="C23" s="74"/>
      <c r="D23" s="74"/>
      <c r="E23" s="74"/>
      <c r="F23" s="74"/>
      <c r="G23" s="74"/>
      <c r="H23" s="75"/>
      <c r="I23" s="271" t="s">
        <v>35</v>
      </c>
      <c r="J23" s="272" t="s">
        <v>36</v>
      </c>
      <c r="K23" s="75"/>
    </row>
    <row r="24">
      <c r="A24" s="120" t="str">
        <f>IFERROR(__xludf.DUMMYFUNCTION("IMPORTRANGE(""https://docs.google.com/spreadsheets/d/1487b2qDJjFxuit1ljyyJ220-vW46d0ImSvFQle7Fw-k/edit?gid=1485353984#gid=1485353984"",""FD BC!Y71:AG140"")"),"BC")</f>
        <v>BC</v>
      </c>
      <c r="B24" s="121" t="str">
        <f>IFERROR(__xludf.DUMMYFUNCTION("""COMPUTED_VALUE"""),"2026-05-13")</f>
        <v>2026-05-13</v>
      </c>
      <c r="C24" s="121" t="str">
        <f>IFERROR(__xludf.DUMMYFUNCTION("""COMPUTED_VALUE"""),"2026-05-14")</f>
        <v>2026-05-14</v>
      </c>
      <c r="D24" s="121" t="str">
        <f>IFERROR(__xludf.DUMMYFUNCTION("""COMPUTED_VALUE"""),"2026-05-15")</f>
        <v>2026-05-15</v>
      </c>
      <c r="E24" s="121" t="str">
        <f>IFERROR(__xludf.DUMMYFUNCTION("""COMPUTED_VALUE"""),"2026-05-16")</f>
        <v>2026-05-16</v>
      </c>
      <c r="F24" s="121" t="str">
        <f>IFERROR(__xludf.DUMMYFUNCTION("""COMPUTED_VALUE"""),"2026-05-17")</f>
        <v>2026-05-17</v>
      </c>
      <c r="G24" s="121" t="str">
        <f>IFERROR(__xludf.DUMMYFUNCTION("""COMPUTED_VALUE"""),"2026-05-18")</f>
        <v>2026-05-18</v>
      </c>
      <c r="H24" s="121" t="str">
        <f>IFERROR(__xludf.DUMMYFUNCTION("""COMPUTED_VALUE"""),"2026-05-19")</f>
        <v>2026-05-19</v>
      </c>
      <c r="I24" s="121" t="str">
        <f>IFERROR(__xludf.DUMMYFUNCTION("""COMPUTED_VALUE"""),"2026-05-20")</f>
        <v>2026-05-20</v>
      </c>
      <c r="J24" s="265" t="s">
        <v>37</v>
      </c>
      <c r="K24" s="265" t="s">
        <v>38</v>
      </c>
    </row>
    <row r="25">
      <c r="A25" s="93" t="str">
        <f>IFERROR(__xludf.DUMMYFUNCTION("""COMPUTED_VALUE"""),"BC 172 Quang Trung-Đức Cơ-Gia Lai")</f>
        <v>BC 172 Quang Trung-Đức Cơ-Gia Lai</v>
      </c>
      <c r="B25" s="95">
        <f>IFERROR(__xludf.DUMMYFUNCTION("""COMPUTED_VALUE"""),0.08)</f>
        <v>0.08</v>
      </c>
      <c r="C25" s="95">
        <f>IFERROR(__xludf.DUMMYFUNCTION("""COMPUTED_VALUE"""),0.0673076923076923)</f>
        <v>0.06730769231</v>
      </c>
      <c r="D25" s="95">
        <f>IFERROR(__xludf.DUMMYFUNCTION("""COMPUTED_VALUE"""),0.07216494845360824)</f>
        <v>0.07216494845</v>
      </c>
      <c r="E25" s="95">
        <f>IFERROR(__xludf.DUMMYFUNCTION("""COMPUTED_VALUE"""),0.02158273381294964)</f>
        <v>0.02158273381</v>
      </c>
      <c r="F25" s="95">
        <f>IFERROR(__xludf.DUMMYFUNCTION("""COMPUTED_VALUE"""),0.10218978102189781)</f>
        <v>0.102189781</v>
      </c>
      <c r="G25" s="95">
        <f>IFERROR(__xludf.DUMMYFUNCTION("""COMPUTED_VALUE"""),0.10606060606060606)</f>
        <v>0.1060606061</v>
      </c>
      <c r="H25" s="95">
        <f>IFERROR(__xludf.DUMMYFUNCTION("""COMPUTED_VALUE"""),0.10101010101010101)</f>
        <v>0.101010101</v>
      </c>
      <c r="I25" s="95">
        <f>IFERROR(__xludf.DUMMYFUNCTION("""COMPUTED_VALUE"""),0.12359550561797752)</f>
        <v>0.1235955056</v>
      </c>
      <c r="J25" s="95">
        <f t="shared" ref="J25:J90" si="3">I25-B25</f>
        <v>0.04359550562</v>
      </c>
      <c r="K25" s="95">
        <f t="shared" ref="K25:K90" si="4">I25-H25</f>
        <v>0.02258540461</v>
      </c>
    </row>
    <row r="26">
      <c r="A26" s="93" t="str">
        <f>IFERROR(__xludf.DUMMYFUNCTION("""COMPUTED_VALUE"""),"BC 70 Đường 30/4-Ea Tam-Buôn Ma Thuột-Đắk Lắk ")</f>
        <v>BC 70 Đường 30/4-Ea Tam-Buôn Ma Thuột-Đắk Lắk </v>
      </c>
      <c r="B26" s="95">
        <f>IFERROR(__xludf.DUMMYFUNCTION("""COMPUTED_VALUE"""),0.044444444444444446)</f>
        <v>0.04444444444</v>
      </c>
      <c r="C26" s="95">
        <f>IFERROR(__xludf.DUMMYFUNCTION("""COMPUTED_VALUE"""),0.05343511450381679)</f>
        <v>0.0534351145</v>
      </c>
      <c r="D26" s="95">
        <f>IFERROR(__xludf.DUMMYFUNCTION("""COMPUTED_VALUE"""),0.056910569105691054)</f>
        <v>0.05691056911</v>
      </c>
      <c r="E26" s="95">
        <f>IFERROR(__xludf.DUMMYFUNCTION("""COMPUTED_VALUE"""),0.045871559633027525)</f>
        <v>0.04587155963</v>
      </c>
      <c r="F26" s="95">
        <f>IFERROR(__xludf.DUMMYFUNCTION("""COMPUTED_VALUE"""),0.09174311926605505)</f>
        <v>0.09174311927</v>
      </c>
      <c r="G26" s="95">
        <f>IFERROR(__xludf.DUMMYFUNCTION("""COMPUTED_VALUE"""),0.10084033613445378)</f>
        <v>0.1008403361</v>
      </c>
      <c r="H26" s="95">
        <f>IFERROR(__xludf.DUMMYFUNCTION("""COMPUTED_VALUE"""),0.043478260869565216)</f>
        <v>0.04347826087</v>
      </c>
      <c r="I26" s="95">
        <f>IFERROR(__xludf.DUMMYFUNCTION("""COMPUTED_VALUE"""),0.12345679012345678)</f>
        <v>0.1234567901</v>
      </c>
      <c r="J26" s="95">
        <f t="shared" si="3"/>
        <v>0.07901234568</v>
      </c>
      <c r="K26" s="95">
        <f t="shared" si="4"/>
        <v>0.07997852925</v>
      </c>
    </row>
    <row r="27">
      <c r="A27" s="93" t="str">
        <f>IFERROR(__xludf.DUMMYFUNCTION("""COMPUTED_VALUE"""),"BC 09 Quốc Lộ 14-Hoà Phú-Đắk Lắk")</f>
        <v>BC 09 Quốc Lộ 14-Hoà Phú-Đắk Lắk</v>
      </c>
      <c r="B27" s="95">
        <f>IFERROR(__xludf.DUMMYFUNCTION("""COMPUTED_VALUE"""),1.0)</f>
        <v>1</v>
      </c>
      <c r="C27" s="95">
        <f>IFERROR(__xludf.DUMMYFUNCTION("""COMPUTED_VALUE"""),0.0410958904109589)</f>
        <v>0.04109589041</v>
      </c>
      <c r="D27" s="95">
        <f>IFERROR(__xludf.DUMMYFUNCTION("""COMPUTED_VALUE"""),0.031914893617021274)</f>
        <v>0.03191489362</v>
      </c>
      <c r="E27" s="95">
        <f>IFERROR(__xludf.DUMMYFUNCTION("""COMPUTED_VALUE"""),0.058823529411764705)</f>
        <v>0.05882352941</v>
      </c>
      <c r="F27" s="95">
        <f>IFERROR(__xludf.DUMMYFUNCTION("""COMPUTED_VALUE"""),0.07608695652173914)</f>
        <v>0.07608695652</v>
      </c>
      <c r="G27" s="95">
        <f>IFERROR(__xludf.DUMMYFUNCTION("""COMPUTED_VALUE"""),0.15492957746478872)</f>
        <v>0.1549295775</v>
      </c>
      <c r="H27" s="95">
        <f>IFERROR(__xludf.DUMMYFUNCTION("""COMPUTED_VALUE"""),0.07142857142857142)</f>
        <v>0.07142857143</v>
      </c>
      <c r="I27" s="95">
        <f>IFERROR(__xludf.DUMMYFUNCTION("""COMPUTED_VALUE"""),0.1232876712328767)</f>
        <v>0.1232876712</v>
      </c>
      <c r="J27" s="95">
        <f t="shared" si="3"/>
        <v>-0.8767123288</v>
      </c>
      <c r="K27" s="95">
        <f t="shared" si="4"/>
        <v>0.0518590998</v>
      </c>
    </row>
    <row r="28">
      <c r="A28" s="93" t="str">
        <f>IFERROR(__xludf.DUMMYFUNCTION("""COMPUTED_VALUE"""),"BC 64 Hùng Vương-Thị Trấn Krông Năng-Đắk Lắk")</f>
        <v>BC 64 Hùng Vương-Thị Trấn Krông Năng-Đắk Lắk</v>
      </c>
      <c r="B28" s="95">
        <f>IFERROR(__xludf.DUMMYFUNCTION("""COMPUTED_VALUE"""),0.008547008547008548)</f>
        <v>0.008547008547</v>
      </c>
      <c r="C28" s="95">
        <f>IFERROR(__xludf.DUMMYFUNCTION("""COMPUTED_VALUE"""),0.04504504504504504)</f>
        <v>0.04504504505</v>
      </c>
      <c r="D28" s="95">
        <f>IFERROR(__xludf.DUMMYFUNCTION("""COMPUTED_VALUE"""),0.05426356589147287)</f>
        <v>0.05426356589</v>
      </c>
      <c r="E28" s="95">
        <f>IFERROR(__xludf.DUMMYFUNCTION("""COMPUTED_VALUE"""),0.0)</f>
        <v>0</v>
      </c>
      <c r="F28" s="95">
        <f>IFERROR(__xludf.DUMMYFUNCTION("""COMPUTED_VALUE"""),0.015503875968992248)</f>
        <v>0.01550387597</v>
      </c>
      <c r="G28" s="95">
        <f>IFERROR(__xludf.DUMMYFUNCTION("""COMPUTED_VALUE"""),0.05102040816326531)</f>
        <v>0.05102040816</v>
      </c>
      <c r="H28" s="95">
        <f>IFERROR(__xludf.DUMMYFUNCTION("""COMPUTED_VALUE"""),0.015384615384615385)</f>
        <v>0.01538461538</v>
      </c>
      <c r="I28" s="95">
        <f>IFERROR(__xludf.DUMMYFUNCTION("""COMPUTED_VALUE"""),0.09701492537313433)</f>
        <v>0.09701492537</v>
      </c>
      <c r="J28" s="95">
        <f t="shared" si="3"/>
        <v>0.08846791683</v>
      </c>
      <c r="K28" s="95">
        <f t="shared" si="4"/>
        <v>0.08163030999</v>
      </c>
    </row>
    <row r="29">
      <c r="A29" s="93" t="str">
        <f>IFERROR(__xludf.DUMMYFUNCTION("""COMPUTED_VALUE"""),"BC 34 Quang Trung-Eakar-Đắk Lắk")</f>
        <v>BC 34 Quang Trung-Eakar-Đắk Lắk</v>
      </c>
      <c r="B29" s="95">
        <f>IFERROR(__xludf.DUMMYFUNCTION("""COMPUTED_VALUE"""),0.05303030303030303)</f>
        <v>0.05303030303</v>
      </c>
      <c r="C29" s="95">
        <f>IFERROR(__xludf.DUMMYFUNCTION("""COMPUTED_VALUE"""),0.05660377358490566)</f>
        <v>0.05660377358</v>
      </c>
      <c r="D29" s="95">
        <f>IFERROR(__xludf.DUMMYFUNCTION("""COMPUTED_VALUE"""),0.09649122807017543)</f>
        <v>0.09649122807</v>
      </c>
      <c r="E29" s="95">
        <f>IFERROR(__xludf.DUMMYFUNCTION("""COMPUTED_VALUE"""),0.044444444444444446)</f>
        <v>0.04444444444</v>
      </c>
      <c r="F29" s="95">
        <f>IFERROR(__xludf.DUMMYFUNCTION("""COMPUTED_VALUE"""),0.1276595744680851)</f>
        <v>0.1276595745</v>
      </c>
      <c r="G29" s="95">
        <f>IFERROR(__xludf.DUMMYFUNCTION("""COMPUTED_VALUE"""),0.05309734513274336)</f>
        <v>0.05309734513</v>
      </c>
      <c r="H29" s="95">
        <f>IFERROR(__xludf.DUMMYFUNCTION("""COMPUTED_VALUE"""),0.11965811965811966)</f>
        <v>0.1196581197</v>
      </c>
      <c r="I29" s="95">
        <f>IFERROR(__xludf.DUMMYFUNCTION("""COMPUTED_VALUE"""),0.09649122807017543)</f>
        <v>0.09649122807</v>
      </c>
      <c r="J29" s="95">
        <f t="shared" si="3"/>
        <v>0.04346092504</v>
      </c>
      <c r="K29" s="95">
        <f t="shared" si="4"/>
        <v>-0.02316689159</v>
      </c>
    </row>
    <row r="30">
      <c r="A30" s="93" t="str">
        <f>IFERROR(__xludf.DUMMYFUNCTION("""COMPUTED_VALUE"""),"BC 245 Hùng Vương-Ea Súp-Đắk Lắk")</f>
        <v>BC 245 Hùng Vương-Ea Súp-Đắk Lắk</v>
      </c>
      <c r="B30" s="95">
        <f>IFERROR(__xludf.DUMMYFUNCTION("""COMPUTED_VALUE"""),0.09574468085106383)</f>
        <v>0.09574468085</v>
      </c>
      <c r="C30" s="95">
        <f>IFERROR(__xludf.DUMMYFUNCTION("""COMPUTED_VALUE"""),0.07476635514018691)</f>
        <v>0.07476635514</v>
      </c>
      <c r="D30" s="95">
        <f>IFERROR(__xludf.DUMMYFUNCTION("""COMPUTED_VALUE"""),0.0962962962962963)</f>
        <v>0.0962962963</v>
      </c>
      <c r="E30" s="95">
        <f>IFERROR(__xludf.DUMMYFUNCTION("""COMPUTED_VALUE"""),0.02727272727272727)</f>
        <v>0.02727272727</v>
      </c>
      <c r="F30" s="95">
        <f>IFERROR(__xludf.DUMMYFUNCTION("""COMPUTED_VALUE"""),0.041666666666666664)</f>
        <v>0.04166666667</v>
      </c>
      <c r="G30" s="95">
        <f>IFERROR(__xludf.DUMMYFUNCTION("""COMPUTED_VALUE"""),0.07692307692307693)</f>
        <v>0.07692307692</v>
      </c>
      <c r="H30" s="95">
        <f>IFERROR(__xludf.DUMMYFUNCTION("""COMPUTED_VALUE"""),0.0967741935483871)</f>
        <v>0.09677419355</v>
      </c>
      <c r="I30" s="95">
        <f>IFERROR(__xludf.DUMMYFUNCTION("""COMPUTED_VALUE"""),0.08)</f>
        <v>0.08</v>
      </c>
      <c r="J30" s="95">
        <f t="shared" si="3"/>
        <v>-0.01574468085</v>
      </c>
      <c r="K30" s="95">
        <f t="shared" si="4"/>
        <v>-0.01677419355</v>
      </c>
    </row>
    <row r="31">
      <c r="A31" s="93" t="str">
        <f>IFERROR(__xludf.DUMMYFUNCTION("""COMPUTED_VALUE"""),"BC Ngã Ba Đắk Liêng-Huyện Lắk-Đắk Lắk")</f>
        <v>BC Ngã Ba Đắk Liêng-Huyện Lắk-Đắk Lắk</v>
      </c>
      <c r="B31" s="95">
        <f>IFERROR(__xludf.DUMMYFUNCTION("""COMPUTED_VALUE"""),0.19230769230769232)</f>
        <v>0.1923076923</v>
      </c>
      <c r="C31" s="95">
        <f>IFERROR(__xludf.DUMMYFUNCTION("""COMPUTED_VALUE"""),0.11702127659574468)</f>
        <v>0.1170212766</v>
      </c>
      <c r="D31" s="95">
        <f>IFERROR(__xludf.DUMMYFUNCTION("""COMPUTED_VALUE"""),0.11864406779661017)</f>
        <v>0.1186440678</v>
      </c>
      <c r="E31" s="95">
        <f>IFERROR(__xludf.DUMMYFUNCTION("""COMPUTED_VALUE"""),0.053763440860215055)</f>
        <v>0.05376344086</v>
      </c>
      <c r="F31" s="95">
        <f>IFERROR(__xludf.DUMMYFUNCTION("""COMPUTED_VALUE"""),0.19736842105263158)</f>
        <v>0.1973684211</v>
      </c>
      <c r="G31" s="95">
        <f>IFERROR(__xludf.DUMMYFUNCTION("""COMPUTED_VALUE"""),0.13333333333333333)</f>
        <v>0.1333333333</v>
      </c>
      <c r="H31" s="95">
        <f>IFERROR(__xludf.DUMMYFUNCTION("""COMPUTED_VALUE"""),0.14084507042253522)</f>
        <v>0.1408450704</v>
      </c>
      <c r="I31" s="95">
        <f>IFERROR(__xludf.DUMMYFUNCTION("""COMPUTED_VALUE"""),0.07920792079207921)</f>
        <v>0.07920792079</v>
      </c>
      <c r="J31" s="95">
        <f t="shared" si="3"/>
        <v>-0.1130997715</v>
      </c>
      <c r="K31" s="95">
        <f t="shared" si="4"/>
        <v>-0.06163714963</v>
      </c>
    </row>
    <row r="32">
      <c r="A32" s="93" t="str">
        <f>IFERROR(__xludf.DUMMYFUNCTION("""COMPUTED_VALUE"""),"BC 941 Giải Phóng-Ea Đrăng-Ea H'Leo-Đắk Lắk")</f>
        <v>BC 941 Giải Phóng-Ea Đrăng-Ea H'Leo-Đắk Lắk</v>
      </c>
      <c r="B32" s="95">
        <f>IFERROR(__xludf.DUMMYFUNCTION("""COMPUTED_VALUE"""),0.10101010101010101)</f>
        <v>0.101010101</v>
      </c>
      <c r="C32" s="95">
        <f>IFERROR(__xludf.DUMMYFUNCTION("""COMPUTED_VALUE"""),0.11475409836065574)</f>
        <v>0.1147540984</v>
      </c>
      <c r="D32" s="95">
        <f>IFERROR(__xludf.DUMMYFUNCTION("""COMPUTED_VALUE"""),0.07462686567164178)</f>
        <v>0.07462686567</v>
      </c>
      <c r="E32" s="95">
        <f>IFERROR(__xludf.DUMMYFUNCTION("""COMPUTED_VALUE"""),0.0136986301369863)</f>
        <v>0.01369863014</v>
      </c>
      <c r="F32" s="95">
        <f>IFERROR(__xludf.DUMMYFUNCTION("""COMPUTED_VALUE"""),0.0625)</f>
        <v>0.0625</v>
      </c>
      <c r="G32" s="95">
        <f>IFERROR(__xludf.DUMMYFUNCTION("""COMPUTED_VALUE"""),0.049586776859504134)</f>
        <v>0.04958677686</v>
      </c>
      <c r="H32" s="95">
        <f>IFERROR(__xludf.DUMMYFUNCTION("""COMPUTED_VALUE"""),0.07142857142857142)</f>
        <v>0.07142857143</v>
      </c>
      <c r="I32" s="95">
        <f>IFERROR(__xludf.DUMMYFUNCTION("""COMPUTED_VALUE"""),0.07766990291262135)</f>
        <v>0.07766990291</v>
      </c>
      <c r="J32" s="95">
        <f t="shared" si="3"/>
        <v>-0.0233401981</v>
      </c>
      <c r="K32" s="95">
        <f t="shared" si="4"/>
        <v>0.006241331484</v>
      </c>
    </row>
    <row r="33">
      <c r="A33" s="93" t="str">
        <f>IFERROR(__xludf.DUMMYFUNCTION("""COMPUTED_VALUE"""),"BC 61 Quang Trung-Xã Vân Canh-Bình Định")</f>
        <v>BC 61 Quang Trung-Xã Vân Canh-Bình Định</v>
      </c>
      <c r="B33" s="95">
        <f>IFERROR(__xludf.DUMMYFUNCTION("""COMPUTED_VALUE"""),0.04081632653061224)</f>
        <v>0.04081632653</v>
      </c>
      <c r="C33" s="95">
        <f>IFERROR(__xludf.DUMMYFUNCTION("""COMPUTED_VALUE"""),0.1)</f>
        <v>0.1</v>
      </c>
      <c r="D33" s="95">
        <f>IFERROR(__xludf.DUMMYFUNCTION("""COMPUTED_VALUE"""),0.02127659574468085)</f>
        <v>0.02127659574</v>
      </c>
      <c r="E33" s="95">
        <f>IFERROR(__xludf.DUMMYFUNCTION("""COMPUTED_VALUE"""),0.023809523809523808)</f>
        <v>0.02380952381</v>
      </c>
      <c r="F33" s="95">
        <f>IFERROR(__xludf.DUMMYFUNCTION("""COMPUTED_VALUE"""),0.034482758620689655)</f>
        <v>0.03448275862</v>
      </c>
      <c r="G33" s="95">
        <f>IFERROR(__xludf.DUMMYFUNCTION("""COMPUTED_VALUE"""),0.09090909090909091)</f>
        <v>0.09090909091</v>
      </c>
      <c r="H33" s="95">
        <f>IFERROR(__xludf.DUMMYFUNCTION("""COMPUTED_VALUE"""),0.047619047619047616)</f>
        <v>0.04761904762</v>
      </c>
      <c r="I33" s="95">
        <f>IFERROR(__xludf.DUMMYFUNCTION("""COMPUTED_VALUE"""),0.07058823529411765)</f>
        <v>0.07058823529</v>
      </c>
      <c r="J33" s="95">
        <f t="shared" si="3"/>
        <v>0.02977190876</v>
      </c>
      <c r="K33" s="95">
        <f t="shared" si="4"/>
        <v>0.02296918768</v>
      </c>
    </row>
    <row r="34">
      <c r="A34" s="93" t="str">
        <f>IFERROR(__xludf.DUMMYFUNCTION("""COMPUTED_VALUE"""),"BC 236A Nguyễn Huệ-Đak Đoa-Gia Lai")</f>
        <v>BC 236A Nguyễn Huệ-Đak Đoa-Gia Lai</v>
      </c>
      <c r="B34" s="95">
        <f>IFERROR(__xludf.DUMMYFUNCTION("""COMPUTED_VALUE"""),0.08968609865470852)</f>
        <v>0.08968609865</v>
      </c>
      <c r="C34" s="95">
        <f>IFERROR(__xludf.DUMMYFUNCTION("""COMPUTED_VALUE"""),0.13259668508287292)</f>
        <v>0.1325966851</v>
      </c>
      <c r="D34" s="95">
        <f>IFERROR(__xludf.DUMMYFUNCTION("""COMPUTED_VALUE"""),0.07352941176470588)</f>
        <v>0.07352941176</v>
      </c>
      <c r="E34" s="95">
        <f>IFERROR(__xludf.DUMMYFUNCTION("""COMPUTED_VALUE"""),0.059113300492610835)</f>
        <v>0.05911330049</v>
      </c>
      <c r="F34" s="95">
        <f>IFERROR(__xludf.DUMMYFUNCTION("""COMPUTED_VALUE"""),0.07547169811320754)</f>
        <v>0.07547169811</v>
      </c>
      <c r="G34" s="95">
        <f>IFERROR(__xludf.DUMMYFUNCTION("""COMPUTED_VALUE"""),0.07142857142857142)</f>
        <v>0.07142857143</v>
      </c>
      <c r="H34" s="95">
        <f>IFERROR(__xludf.DUMMYFUNCTION("""COMPUTED_VALUE"""),0.109375)</f>
        <v>0.109375</v>
      </c>
      <c r="I34" s="95">
        <f>IFERROR(__xludf.DUMMYFUNCTION("""COMPUTED_VALUE"""),0.06382978723404255)</f>
        <v>0.06382978723</v>
      </c>
      <c r="J34" s="95">
        <f t="shared" si="3"/>
        <v>-0.02585631142</v>
      </c>
      <c r="K34" s="95">
        <f t="shared" si="4"/>
        <v>-0.04554521277</v>
      </c>
    </row>
    <row r="35">
      <c r="A35" s="93" t="str">
        <f>IFERROR(__xludf.DUMMYFUNCTION("""COMPUTED_VALUE"""),"BC Km18-Cư Kuin-Đắk Lắk")</f>
        <v>BC Km18-Cư Kuin-Đắk Lắk</v>
      </c>
      <c r="B35" s="95">
        <f>IFERROR(__xludf.DUMMYFUNCTION("""COMPUTED_VALUE"""),0.08196721311475409)</f>
        <v>0.08196721311</v>
      </c>
      <c r="C35" s="95">
        <f>IFERROR(__xludf.DUMMYFUNCTION("""COMPUTED_VALUE"""),0.07462686567164178)</f>
        <v>0.07462686567</v>
      </c>
      <c r="D35" s="95">
        <f>IFERROR(__xludf.DUMMYFUNCTION("""COMPUTED_VALUE"""),0.08256880733944955)</f>
        <v>0.08256880734</v>
      </c>
      <c r="E35" s="95">
        <f>IFERROR(__xludf.DUMMYFUNCTION("""COMPUTED_VALUE"""),0.038461538461538464)</f>
        <v>0.03846153846</v>
      </c>
      <c r="F35" s="95">
        <f>IFERROR(__xludf.DUMMYFUNCTION("""COMPUTED_VALUE"""),0.06164383561643835)</f>
        <v>0.06164383562</v>
      </c>
      <c r="G35" s="95">
        <f>IFERROR(__xludf.DUMMYFUNCTION("""COMPUTED_VALUE"""),0.051094890510948905)</f>
        <v>0.05109489051</v>
      </c>
      <c r="H35" s="95">
        <f>IFERROR(__xludf.DUMMYFUNCTION("""COMPUTED_VALUE"""),0.10714285714285714)</f>
        <v>0.1071428571</v>
      </c>
      <c r="I35" s="95">
        <f>IFERROR(__xludf.DUMMYFUNCTION("""COMPUTED_VALUE"""),0.0625)</f>
        <v>0.0625</v>
      </c>
      <c r="J35" s="95">
        <f t="shared" si="3"/>
        <v>-0.01946721311</v>
      </c>
      <c r="K35" s="95">
        <f t="shared" si="4"/>
        <v>-0.04464285714</v>
      </c>
    </row>
    <row r="36">
      <c r="A36" s="93" t="str">
        <f>IFERROR(__xludf.DUMMYFUNCTION("""COMPUTED_VALUE"""),"BC 39 Nguyễn Huệ-Ayun Pa-Gia Lai")</f>
        <v>BC 39 Nguyễn Huệ-Ayun Pa-Gia Lai</v>
      </c>
      <c r="B36" s="95">
        <f>IFERROR(__xludf.DUMMYFUNCTION("""COMPUTED_VALUE"""),0.011363636363636364)</f>
        <v>0.01136363636</v>
      </c>
      <c r="C36" s="95">
        <f>IFERROR(__xludf.DUMMYFUNCTION("""COMPUTED_VALUE"""),0.08661417322834646)</f>
        <v>0.08661417323</v>
      </c>
      <c r="D36" s="95">
        <f>IFERROR(__xludf.DUMMYFUNCTION("""COMPUTED_VALUE"""),0.050724637681159424)</f>
        <v>0.05072463768</v>
      </c>
      <c r="E36" s="95">
        <f>IFERROR(__xludf.DUMMYFUNCTION("""COMPUTED_VALUE"""),0.021897810218978103)</f>
        <v>0.02189781022</v>
      </c>
      <c r="F36" s="95">
        <f>IFERROR(__xludf.DUMMYFUNCTION("""COMPUTED_VALUE"""),0.05357142857142857)</f>
        <v>0.05357142857</v>
      </c>
      <c r="G36" s="95">
        <f>IFERROR(__xludf.DUMMYFUNCTION("""COMPUTED_VALUE"""),0.07627118644067797)</f>
        <v>0.07627118644</v>
      </c>
      <c r="H36" s="95">
        <f>IFERROR(__xludf.DUMMYFUNCTION("""COMPUTED_VALUE"""),0.06060606060606061)</f>
        <v>0.06060606061</v>
      </c>
      <c r="I36" s="95">
        <f>IFERROR(__xludf.DUMMYFUNCTION("""COMPUTED_VALUE"""),0.06134969325153374)</f>
        <v>0.06134969325</v>
      </c>
      <c r="J36" s="95">
        <f t="shared" si="3"/>
        <v>0.04998605689</v>
      </c>
      <c r="K36" s="95">
        <f t="shared" si="4"/>
        <v>0.0007436326455</v>
      </c>
    </row>
    <row r="37">
      <c r="A37" s="93" t="str">
        <f>IFERROR(__xludf.DUMMYFUNCTION("""COMPUTED_VALUE"""),"BC 21 Tây Sơn-Xã Phù Mỹ-Bình Định")</f>
        <v>BC 21 Tây Sơn-Xã Phù Mỹ-Bình Định</v>
      </c>
      <c r="B37" s="95">
        <f>IFERROR(__xludf.DUMMYFUNCTION("""COMPUTED_VALUE"""),0.037209302325581395)</f>
        <v>0.03720930233</v>
      </c>
      <c r="C37" s="95">
        <f>IFERROR(__xludf.DUMMYFUNCTION("""COMPUTED_VALUE"""),0.06220095693779904)</f>
        <v>0.06220095694</v>
      </c>
      <c r="D37" s="95">
        <f>IFERROR(__xludf.DUMMYFUNCTION("""COMPUTED_VALUE"""),0.02030456852791878)</f>
        <v>0.02030456853</v>
      </c>
      <c r="E37" s="95">
        <f>IFERROR(__xludf.DUMMYFUNCTION("""COMPUTED_VALUE"""),0.033707865168539325)</f>
        <v>0.03370786517</v>
      </c>
      <c r="F37" s="95">
        <f>IFERROR(__xludf.DUMMYFUNCTION("""COMPUTED_VALUE"""),0.05217391304347826)</f>
        <v>0.05217391304</v>
      </c>
      <c r="G37" s="95">
        <f>IFERROR(__xludf.DUMMYFUNCTION("""COMPUTED_VALUE"""),0.07647058823529412)</f>
        <v>0.07647058824</v>
      </c>
      <c r="H37" s="95">
        <f>IFERROR(__xludf.DUMMYFUNCTION("""COMPUTED_VALUE"""),0.06993006993006994)</f>
        <v>0.06993006993</v>
      </c>
      <c r="I37" s="95">
        <f>IFERROR(__xludf.DUMMYFUNCTION("""COMPUTED_VALUE"""),0.05813953488372093)</f>
        <v>0.05813953488</v>
      </c>
      <c r="J37" s="95">
        <f t="shared" si="3"/>
        <v>0.02093023256</v>
      </c>
      <c r="K37" s="95">
        <f t="shared" si="4"/>
        <v>-0.01179053505</v>
      </c>
    </row>
    <row r="38">
      <c r="A38" s="93" t="str">
        <f>IFERROR(__xludf.DUMMYFUNCTION("""COMPUTED_VALUE"""),"BC 327A Cách Mạng Tháng 8-Pleiku-Gia Lai")</f>
        <v>BC 327A Cách Mạng Tháng 8-Pleiku-Gia Lai</v>
      </c>
      <c r="B38" s="95">
        <f>IFERROR(__xludf.DUMMYFUNCTION("""COMPUTED_VALUE"""),0.01639344262295082)</f>
        <v>0.01639344262</v>
      </c>
      <c r="C38" s="95">
        <f>IFERROR(__xludf.DUMMYFUNCTION("""COMPUTED_VALUE"""),0.023952095808383235)</f>
        <v>0.02395209581</v>
      </c>
      <c r="D38" s="95">
        <f>IFERROR(__xludf.DUMMYFUNCTION("""COMPUTED_VALUE"""),0.041666666666666664)</f>
        <v>0.04166666667</v>
      </c>
      <c r="E38" s="95">
        <f>IFERROR(__xludf.DUMMYFUNCTION("""COMPUTED_VALUE"""),0.02631578947368421)</f>
        <v>0.02631578947</v>
      </c>
      <c r="F38" s="95">
        <f>IFERROR(__xludf.DUMMYFUNCTION("""COMPUTED_VALUE"""),0.03125)</f>
        <v>0.03125</v>
      </c>
      <c r="G38" s="95">
        <f>IFERROR(__xludf.DUMMYFUNCTION("""COMPUTED_VALUE"""),0.07650273224043716)</f>
        <v>0.07650273224</v>
      </c>
      <c r="H38" s="95">
        <f>IFERROR(__xludf.DUMMYFUNCTION("""COMPUTED_VALUE"""),0.035398230088495575)</f>
        <v>0.03539823009</v>
      </c>
      <c r="I38" s="95">
        <f>IFERROR(__xludf.DUMMYFUNCTION("""COMPUTED_VALUE"""),0.05747126436781609)</f>
        <v>0.05747126437</v>
      </c>
      <c r="J38" s="95">
        <f t="shared" si="3"/>
        <v>0.04107782174</v>
      </c>
      <c r="K38" s="95">
        <f t="shared" si="4"/>
        <v>0.02207303428</v>
      </c>
    </row>
    <row r="39">
      <c r="A39" s="93" t="str">
        <f>IFERROR(__xludf.DUMMYFUNCTION("""COMPUTED_VALUE"""),"BC 297 Hùng Vương-CưMgar-Đắk Lắk")</f>
        <v>BC 297 Hùng Vương-CưMgar-Đắk Lắk</v>
      </c>
      <c r="B39" s="95">
        <f>IFERROR(__xludf.DUMMYFUNCTION("""COMPUTED_VALUE"""),0.07291666666666667)</f>
        <v>0.07291666667</v>
      </c>
      <c r="C39" s="95">
        <f>IFERROR(__xludf.DUMMYFUNCTION("""COMPUTED_VALUE"""),0.01834862385321101)</f>
        <v>0.01834862385</v>
      </c>
      <c r="D39" s="95">
        <f>IFERROR(__xludf.DUMMYFUNCTION("""COMPUTED_VALUE"""),0.04285714285714286)</f>
        <v>0.04285714286</v>
      </c>
      <c r="E39" s="95">
        <f>IFERROR(__xludf.DUMMYFUNCTION("""COMPUTED_VALUE"""),0.028112449799196786)</f>
        <v>0.0281124498</v>
      </c>
      <c r="F39" s="95">
        <f>IFERROR(__xludf.DUMMYFUNCTION("""COMPUTED_VALUE"""),0.04090909090909091)</f>
        <v>0.04090909091</v>
      </c>
      <c r="G39" s="95">
        <f>IFERROR(__xludf.DUMMYFUNCTION("""COMPUTED_VALUE"""),0.035)</f>
        <v>0.035</v>
      </c>
      <c r="H39" s="95">
        <f>IFERROR(__xludf.DUMMYFUNCTION("""COMPUTED_VALUE"""),0.05472636815920398)</f>
        <v>0.05472636816</v>
      </c>
      <c r="I39" s="95">
        <f>IFERROR(__xludf.DUMMYFUNCTION("""COMPUTED_VALUE"""),0.05128205128205128)</f>
        <v>0.05128205128</v>
      </c>
      <c r="J39" s="95">
        <f t="shared" si="3"/>
        <v>-0.02163461538</v>
      </c>
      <c r="K39" s="95">
        <f t="shared" si="4"/>
        <v>-0.003444316877</v>
      </c>
    </row>
    <row r="40">
      <c r="A40" s="93" t="str">
        <f>IFERROR(__xludf.DUMMYFUNCTION("""COMPUTED_VALUE"""),"BC 499 Phạm Văn Đồng-Pleiku-Gia Lai")</f>
        <v>BC 499 Phạm Văn Đồng-Pleiku-Gia Lai</v>
      </c>
      <c r="B40" s="95">
        <f>IFERROR(__xludf.DUMMYFUNCTION("""COMPUTED_VALUE"""),0.022935779816513763)</f>
        <v>0.02293577982</v>
      </c>
      <c r="C40" s="95">
        <f>IFERROR(__xludf.DUMMYFUNCTION("""COMPUTED_VALUE"""),0.024875621890547265)</f>
        <v>0.02487562189</v>
      </c>
      <c r="D40" s="95">
        <f>IFERROR(__xludf.DUMMYFUNCTION("""COMPUTED_VALUE"""),0.06293706293706294)</f>
        <v>0.06293706294</v>
      </c>
      <c r="E40" s="95">
        <f>IFERROR(__xludf.DUMMYFUNCTION("""COMPUTED_VALUE"""),0.013824884792626729)</f>
        <v>0.01382488479</v>
      </c>
      <c r="F40" s="95">
        <f>IFERROR(__xludf.DUMMYFUNCTION("""COMPUTED_VALUE"""),0.045714285714285714)</f>
        <v>0.04571428571</v>
      </c>
      <c r="G40" s="95">
        <f>IFERROR(__xludf.DUMMYFUNCTION("""COMPUTED_VALUE"""),0.075)</f>
        <v>0.075</v>
      </c>
      <c r="H40" s="95">
        <f>IFERROR(__xludf.DUMMYFUNCTION("""COMPUTED_VALUE"""),0.07079646017699115)</f>
        <v>0.07079646018</v>
      </c>
      <c r="I40" s="95">
        <f>IFERROR(__xludf.DUMMYFUNCTION("""COMPUTED_VALUE"""),0.05106382978723404)</f>
        <v>0.05106382979</v>
      </c>
      <c r="J40" s="95">
        <f t="shared" si="3"/>
        <v>0.02812804997</v>
      </c>
      <c r="K40" s="95">
        <f t="shared" si="4"/>
        <v>-0.01973263039</v>
      </c>
    </row>
    <row r="41">
      <c r="A41" s="93" t="str">
        <f>IFERROR(__xludf.DUMMYFUNCTION("""COMPUTED_VALUE"""),"BC Thôn Tân Lập Quốc Lộ 26-Xã Cư M'ta-M'Đrắk-Đăk Lắk")</f>
        <v>BC Thôn Tân Lập Quốc Lộ 26-Xã Cư M'ta-M'Đrắk-Đăk Lắk</v>
      </c>
      <c r="B41" s="95">
        <f>IFERROR(__xludf.DUMMYFUNCTION("""COMPUTED_VALUE"""),0.047619047619047616)</f>
        <v>0.04761904762</v>
      </c>
      <c r="C41" s="95">
        <f>IFERROR(__xludf.DUMMYFUNCTION("""COMPUTED_VALUE"""),0.0707070707070707)</f>
        <v>0.07070707071</v>
      </c>
      <c r="D41" s="95">
        <f>IFERROR(__xludf.DUMMYFUNCTION("""COMPUTED_VALUE"""),0.08888888888888889)</f>
        <v>0.08888888889</v>
      </c>
      <c r="E41" s="95">
        <f>IFERROR(__xludf.DUMMYFUNCTION("""COMPUTED_VALUE"""),0.015748031496062992)</f>
        <v>0.0157480315</v>
      </c>
      <c r="F41" s="95">
        <f>IFERROR(__xludf.DUMMYFUNCTION("""COMPUTED_VALUE"""),0.07)</f>
        <v>0.07</v>
      </c>
      <c r="G41" s="95">
        <f>IFERROR(__xludf.DUMMYFUNCTION("""COMPUTED_VALUE"""),0.061224489795918366)</f>
        <v>0.0612244898</v>
      </c>
      <c r="H41" s="95">
        <f>IFERROR(__xludf.DUMMYFUNCTION("""COMPUTED_VALUE"""),0.06451612903225806)</f>
        <v>0.06451612903</v>
      </c>
      <c r="I41" s="95">
        <f>IFERROR(__xludf.DUMMYFUNCTION("""COMPUTED_VALUE"""),0.05042016806722689)</f>
        <v>0.05042016807</v>
      </c>
      <c r="J41" s="95">
        <f t="shared" si="3"/>
        <v>0.002801120448</v>
      </c>
      <c r="K41" s="95">
        <f t="shared" si="4"/>
        <v>-0.01409596097</v>
      </c>
    </row>
    <row r="42">
      <c r="A42" s="93" t="str">
        <f>IFERROR(__xludf.DUMMYFUNCTION("""COMPUTED_VALUE"""),"BC 03 Trần Hưng Đạo-Krông Pắc-Đắk Lắk")</f>
        <v>BC 03 Trần Hưng Đạo-Krông Pắc-Đắk Lắk</v>
      </c>
      <c r="B42" s="95">
        <f>IFERROR(__xludf.DUMMYFUNCTION("""COMPUTED_VALUE"""),0.04487179487179487)</f>
        <v>0.04487179487</v>
      </c>
      <c r="C42" s="95">
        <f>IFERROR(__xludf.DUMMYFUNCTION("""COMPUTED_VALUE"""),0.05913978494623656)</f>
        <v>0.05913978495</v>
      </c>
      <c r="D42" s="95">
        <f>IFERROR(__xludf.DUMMYFUNCTION("""COMPUTED_VALUE"""),0.040229885057471264)</f>
        <v>0.04022988506</v>
      </c>
      <c r="E42" s="95">
        <f>IFERROR(__xludf.DUMMYFUNCTION("""COMPUTED_VALUE"""),0.0051813471502590676)</f>
        <v>0.00518134715</v>
      </c>
      <c r="F42" s="95">
        <f>IFERROR(__xludf.DUMMYFUNCTION("""COMPUTED_VALUE"""),0.04739336492890995)</f>
        <v>0.04739336493</v>
      </c>
      <c r="G42" s="95">
        <f>IFERROR(__xludf.DUMMYFUNCTION("""COMPUTED_VALUE"""),0.02158273381294964)</f>
        <v>0.02158273381</v>
      </c>
      <c r="H42" s="95">
        <f>IFERROR(__xludf.DUMMYFUNCTION("""COMPUTED_VALUE"""),0.043478260869565216)</f>
        <v>0.04347826087</v>
      </c>
      <c r="I42" s="95">
        <f>IFERROR(__xludf.DUMMYFUNCTION("""COMPUTED_VALUE"""),0.050314465408805034)</f>
        <v>0.05031446541</v>
      </c>
      <c r="J42" s="95">
        <f t="shared" si="3"/>
        <v>0.005442670537</v>
      </c>
      <c r="K42" s="95">
        <f t="shared" si="4"/>
        <v>0.006836204539</v>
      </c>
    </row>
    <row r="43">
      <c r="A43" s="93" t="str">
        <f>IFERROR(__xludf.DUMMYFUNCTION("""COMPUTED_VALUE"""),"BC 138 Hùng Vương-Phú Thiện-Gia Lai")</f>
        <v>BC 138 Hùng Vương-Phú Thiện-Gia Lai</v>
      </c>
      <c r="B43" s="95">
        <f>IFERROR(__xludf.DUMMYFUNCTION("""COMPUTED_VALUE"""),0.026881720430107527)</f>
        <v>0.02688172043</v>
      </c>
      <c r="C43" s="95">
        <f>IFERROR(__xludf.DUMMYFUNCTION("""COMPUTED_VALUE"""),0.029411764705882353)</f>
        <v>0.02941176471</v>
      </c>
      <c r="D43" s="95">
        <f>IFERROR(__xludf.DUMMYFUNCTION("""COMPUTED_VALUE"""),0.04375)</f>
        <v>0.04375</v>
      </c>
      <c r="E43" s="95">
        <f>IFERROR(__xludf.DUMMYFUNCTION("""COMPUTED_VALUE"""),0.014184397163120567)</f>
        <v>0.01418439716</v>
      </c>
      <c r="F43" s="95">
        <f>IFERROR(__xludf.DUMMYFUNCTION("""COMPUTED_VALUE"""),0.023391812865497075)</f>
        <v>0.02339181287</v>
      </c>
      <c r="G43" s="95">
        <f>IFERROR(__xludf.DUMMYFUNCTION("""COMPUTED_VALUE"""),0.028368794326241134)</f>
        <v>0.02836879433</v>
      </c>
      <c r="H43" s="95">
        <f>IFERROR(__xludf.DUMMYFUNCTION("""COMPUTED_VALUE"""),0.09183673469387756)</f>
        <v>0.09183673469</v>
      </c>
      <c r="I43" s="95">
        <f>IFERROR(__xludf.DUMMYFUNCTION("""COMPUTED_VALUE"""),0.05027932960893855)</f>
        <v>0.05027932961</v>
      </c>
      <c r="J43" s="95">
        <f t="shared" si="3"/>
        <v>0.02339760918</v>
      </c>
      <c r="K43" s="95">
        <f t="shared" si="4"/>
        <v>-0.04155740508</v>
      </c>
    </row>
    <row r="44">
      <c r="A44" s="93" t="str">
        <f>IFERROR(__xludf.DUMMYFUNCTION("""COMPUTED_VALUE"""),"BC Thôn Đông Phước-Phú Hòa-Phú Yên")</f>
        <v>BC Thôn Đông Phước-Phú Hòa-Phú Yên</v>
      </c>
      <c r="B44" s="95">
        <f>IFERROR(__xludf.DUMMYFUNCTION("""COMPUTED_VALUE"""),0.034782608695652174)</f>
        <v>0.0347826087</v>
      </c>
      <c r="C44" s="95">
        <f>IFERROR(__xludf.DUMMYFUNCTION("""COMPUTED_VALUE"""),0.04132231404958678)</f>
        <v>0.04132231405</v>
      </c>
      <c r="D44" s="95">
        <f>IFERROR(__xludf.DUMMYFUNCTION("""COMPUTED_VALUE"""),0.010752688172043012)</f>
        <v>0.01075268817</v>
      </c>
      <c r="E44" s="95">
        <f>IFERROR(__xludf.DUMMYFUNCTION("""COMPUTED_VALUE"""),0.023529411764705882)</f>
        <v>0.02352941176</v>
      </c>
      <c r="F44" s="95">
        <f>IFERROR(__xludf.DUMMYFUNCTION("""COMPUTED_VALUE"""),0.04854368932038835)</f>
        <v>0.04854368932</v>
      </c>
      <c r="G44" s="95">
        <f>IFERROR(__xludf.DUMMYFUNCTION("""COMPUTED_VALUE"""),0.07)</f>
        <v>0.07</v>
      </c>
      <c r="H44" s="95">
        <f>IFERROR(__xludf.DUMMYFUNCTION("""COMPUTED_VALUE"""),0.06315789473684211)</f>
        <v>0.06315789474</v>
      </c>
      <c r="I44" s="95">
        <f>IFERROR(__xludf.DUMMYFUNCTION("""COMPUTED_VALUE"""),0.04827586206896552)</f>
        <v>0.04827586207</v>
      </c>
      <c r="J44" s="95">
        <f t="shared" si="3"/>
        <v>0.01349325337</v>
      </c>
      <c r="K44" s="95">
        <f t="shared" si="4"/>
        <v>-0.01488203267</v>
      </c>
    </row>
    <row r="45">
      <c r="A45" s="93" t="str">
        <f>IFERROR(__xludf.DUMMYFUNCTION("""COMPUTED_VALUE"""),"BC TDP3 Thị Trấn Krông Kmart-Krông Bông-Đắk Lắk")</f>
        <v>BC TDP3 Thị Trấn Krông Kmart-Krông Bông-Đắk Lắk</v>
      </c>
      <c r="B45" s="95">
        <f>IFERROR(__xludf.DUMMYFUNCTION("""COMPUTED_VALUE"""),0.06666666666666667)</f>
        <v>0.06666666667</v>
      </c>
      <c r="C45" s="95">
        <f>IFERROR(__xludf.DUMMYFUNCTION("""COMPUTED_VALUE"""),0.045871559633027525)</f>
        <v>0.04587155963</v>
      </c>
      <c r="D45" s="95">
        <f>IFERROR(__xludf.DUMMYFUNCTION("""COMPUTED_VALUE"""),0.017391304347826087)</f>
        <v>0.01739130435</v>
      </c>
      <c r="E45" s="95">
        <f>IFERROR(__xludf.DUMMYFUNCTION("""COMPUTED_VALUE"""),0.038461538461538464)</f>
        <v>0.03846153846</v>
      </c>
      <c r="F45" s="95">
        <f>IFERROR(__xludf.DUMMYFUNCTION("""COMPUTED_VALUE"""),0.05384615384615385)</f>
        <v>0.05384615385</v>
      </c>
      <c r="G45" s="95">
        <f>IFERROR(__xludf.DUMMYFUNCTION("""COMPUTED_VALUE"""),0.047619047619047616)</f>
        <v>0.04761904762</v>
      </c>
      <c r="H45" s="95">
        <f>IFERROR(__xludf.DUMMYFUNCTION("""COMPUTED_VALUE"""),0.07)</f>
        <v>0.07</v>
      </c>
      <c r="I45" s="95">
        <f>IFERROR(__xludf.DUMMYFUNCTION("""COMPUTED_VALUE"""),0.04807692307692308)</f>
        <v>0.04807692308</v>
      </c>
      <c r="J45" s="95">
        <f t="shared" si="3"/>
        <v>-0.01858974359</v>
      </c>
      <c r="K45" s="95">
        <f t="shared" si="4"/>
        <v>-0.02192307692</v>
      </c>
    </row>
    <row r="46">
      <c r="A46" s="93" t="str">
        <f>IFERROR(__xludf.DUMMYFUNCTION("""COMPUTED_VALUE"""),"BC 15 Hoàng Văn Thụ-An Khê-Gia Lai")</f>
        <v>BC 15 Hoàng Văn Thụ-An Khê-Gia Lai</v>
      </c>
      <c r="B46" s="95">
        <f>IFERROR(__xludf.DUMMYFUNCTION("""COMPUTED_VALUE"""),0.024193548387096774)</f>
        <v>0.02419354839</v>
      </c>
      <c r="C46" s="95">
        <f>IFERROR(__xludf.DUMMYFUNCTION("""COMPUTED_VALUE"""),0.06944444444444445)</f>
        <v>0.06944444444</v>
      </c>
      <c r="D46" s="95">
        <f>IFERROR(__xludf.DUMMYFUNCTION("""COMPUTED_VALUE"""),0.07234042553191489)</f>
        <v>0.07234042553</v>
      </c>
      <c r="E46" s="95">
        <f>IFERROR(__xludf.DUMMYFUNCTION("""COMPUTED_VALUE"""),0.023076923076923078)</f>
        <v>0.02307692308</v>
      </c>
      <c r="F46" s="95">
        <f>IFERROR(__xludf.DUMMYFUNCTION("""COMPUTED_VALUE"""),0.06696428571428571)</f>
        <v>0.06696428571</v>
      </c>
      <c r="G46" s="95">
        <f>IFERROR(__xludf.DUMMYFUNCTION("""COMPUTED_VALUE"""),0.05042016806722689)</f>
        <v>0.05042016807</v>
      </c>
      <c r="H46" s="95">
        <f>IFERROR(__xludf.DUMMYFUNCTION("""COMPUTED_VALUE"""),0.08396946564885496)</f>
        <v>0.08396946565</v>
      </c>
      <c r="I46" s="95">
        <f>IFERROR(__xludf.DUMMYFUNCTION("""COMPUTED_VALUE"""),0.04777070063694268)</f>
        <v>0.04777070064</v>
      </c>
      <c r="J46" s="95">
        <f t="shared" si="3"/>
        <v>0.02357715225</v>
      </c>
      <c r="K46" s="95">
        <f t="shared" si="4"/>
        <v>-0.03619876501</v>
      </c>
    </row>
    <row r="47">
      <c r="A47" s="93" t="str">
        <f>IFERROR(__xludf.DUMMYFUNCTION("""COMPUTED_VALUE"""),"BC Thị Trấn Buôn Trấp-Krông A Na-Đắk Lắk")</f>
        <v>BC Thị Trấn Buôn Trấp-Krông A Na-Đắk Lắk</v>
      </c>
      <c r="B47" s="95">
        <f>IFERROR(__xludf.DUMMYFUNCTION("""COMPUTED_VALUE"""),0.05405405405405406)</f>
        <v>0.05405405405</v>
      </c>
      <c r="C47" s="95">
        <f>IFERROR(__xludf.DUMMYFUNCTION("""COMPUTED_VALUE"""),0.03508771929824561)</f>
        <v>0.0350877193</v>
      </c>
      <c r="D47" s="95">
        <f>IFERROR(__xludf.DUMMYFUNCTION("""COMPUTED_VALUE"""),0.015151515151515152)</f>
        <v>0.01515151515</v>
      </c>
      <c r="E47" s="95">
        <f>IFERROR(__xludf.DUMMYFUNCTION("""COMPUTED_VALUE"""),0.038461538461538464)</f>
        <v>0.03846153846</v>
      </c>
      <c r="F47" s="95">
        <f>IFERROR(__xludf.DUMMYFUNCTION("""COMPUTED_VALUE"""),0.03937007874015748)</f>
        <v>0.03937007874</v>
      </c>
      <c r="G47" s="95">
        <f>IFERROR(__xludf.DUMMYFUNCTION("""COMPUTED_VALUE"""),0.045871559633027525)</f>
        <v>0.04587155963</v>
      </c>
      <c r="H47" s="95">
        <f>IFERROR(__xludf.DUMMYFUNCTION("""COMPUTED_VALUE"""),0.07476635514018691)</f>
        <v>0.07476635514</v>
      </c>
      <c r="I47" s="95">
        <f>IFERROR(__xludf.DUMMYFUNCTION("""COMPUTED_VALUE"""),0.045871559633027525)</f>
        <v>0.04587155963</v>
      </c>
      <c r="J47" s="95">
        <f t="shared" si="3"/>
        <v>-0.008182494421</v>
      </c>
      <c r="K47" s="95">
        <f t="shared" si="4"/>
        <v>-0.02889479551</v>
      </c>
    </row>
    <row r="48">
      <c r="A48" s="93" t="str">
        <f>IFERROR(__xludf.DUMMYFUNCTION("""COMPUTED_VALUE"""),"BC KM92 QL14-Xã Ea Drăng-Đắk Lắk")</f>
        <v>BC KM92 QL14-Xã Ea Drăng-Đắk Lắk</v>
      </c>
      <c r="B48" s="95">
        <f>IFERROR(__xludf.DUMMYFUNCTION("""COMPUTED_VALUE"""),0.0)</f>
        <v>0</v>
      </c>
      <c r="C48" s="95">
        <f>IFERROR(__xludf.DUMMYFUNCTION("""COMPUTED_VALUE"""),0.029850746268656716)</f>
        <v>0.02985074627</v>
      </c>
      <c r="D48" s="95">
        <f>IFERROR(__xludf.DUMMYFUNCTION("""COMPUTED_VALUE"""),0.027777777777777776)</f>
        <v>0.02777777778</v>
      </c>
      <c r="E48" s="95">
        <f>IFERROR(__xludf.DUMMYFUNCTION("""COMPUTED_VALUE"""),0.013157894736842105)</f>
        <v>0.01315789474</v>
      </c>
      <c r="F48" s="95">
        <f>IFERROR(__xludf.DUMMYFUNCTION("""COMPUTED_VALUE"""),0.07352941176470588)</f>
        <v>0.07352941176</v>
      </c>
      <c r="G48" s="95">
        <f>IFERROR(__xludf.DUMMYFUNCTION("""COMPUTED_VALUE"""),0.031746031746031744)</f>
        <v>0.03174603175</v>
      </c>
      <c r="H48" s="95">
        <f>IFERROR(__xludf.DUMMYFUNCTION("""COMPUTED_VALUE"""),0.08620689655172414)</f>
        <v>0.08620689655</v>
      </c>
      <c r="I48" s="95">
        <f>IFERROR(__xludf.DUMMYFUNCTION("""COMPUTED_VALUE"""),0.045454545454545456)</f>
        <v>0.04545454545</v>
      </c>
      <c r="J48" s="95">
        <f t="shared" si="3"/>
        <v>0.04545454545</v>
      </c>
      <c r="K48" s="95">
        <f t="shared" si="4"/>
        <v>-0.0407523511</v>
      </c>
    </row>
    <row r="49">
      <c r="A49" s="93" t="str">
        <f>IFERROR(__xludf.DUMMYFUNCTION("""COMPUTED_VALUE"""),"BC 414 Trần Hưng Đạo-Mang Yang-Gia Lai")</f>
        <v>BC 414 Trần Hưng Đạo-Mang Yang-Gia Lai</v>
      </c>
      <c r="B49" s="95">
        <f>IFERROR(__xludf.DUMMYFUNCTION("""COMPUTED_VALUE"""),0.05921052631578947)</f>
        <v>0.05921052632</v>
      </c>
      <c r="C49" s="95">
        <f>IFERROR(__xludf.DUMMYFUNCTION("""COMPUTED_VALUE"""),0.06493506493506493)</f>
        <v>0.06493506494</v>
      </c>
      <c r="D49" s="95">
        <f>IFERROR(__xludf.DUMMYFUNCTION("""COMPUTED_VALUE"""),0.08)</f>
        <v>0.08</v>
      </c>
      <c r="E49" s="95">
        <f>IFERROR(__xludf.DUMMYFUNCTION("""COMPUTED_VALUE"""),0.018867924528301886)</f>
        <v>0.01886792453</v>
      </c>
      <c r="F49" s="95">
        <f>IFERROR(__xludf.DUMMYFUNCTION("""COMPUTED_VALUE"""),0.06870229007633588)</f>
        <v>0.06870229008</v>
      </c>
      <c r="G49" s="95">
        <f>IFERROR(__xludf.DUMMYFUNCTION("""COMPUTED_VALUE"""),0.057692307692307696)</f>
        <v>0.05769230769</v>
      </c>
      <c r="H49" s="95">
        <f>IFERROR(__xludf.DUMMYFUNCTION("""COMPUTED_VALUE"""),0.07894736842105263)</f>
        <v>0.07894736842</v>
      </c>
      <c r="I49" s="95">
        <f>IFERROR(__xludf.DUMMYFUNCTION("""COMPUTED_VALUE"""),0.044444444444444446)</f>
        <v>0.04444444444</v>
      </c>
      <c r="J49" s="95">
        <f t="shared" si="3"/>
        <v>-0.01476608187</v>
      </c>
      <c r="K49" s="95">
        <f t="shared" si="4"/>
        <v>-0.03450292398</v>
      </c>
    </row>
    <row r="50">
      <c r="A50" s="93" t="str">
        <f>IFERROR(__xludf.DUMMYFUNCTION("""COMPUTED_VALUE"""),"BC 71 Quốc Lộ 1A-Xã Tuy An Bắc-Phú Yên")</f>
        <v>BC 71 Quốc Lộ 1A-Xã Tuy An Bắc-Phú Yên</v>
      </c>
      <c r="B50" s="95">
        <f>IFERROR(__xludf.DUMMYFUNCTION("""COMPUTED_VALUE"""),0.03571428571428571)</f>
        <v>0.03571428571</v>
      </c>
      <c r="C50" s="95">
        <f>IFERROR(__xludf.DUMMYFUNCTION("""COMPUTED_VALUE"""),0.03418803418803419)</f>
        <v>0.03418803419</v>
      </c>
      <c r="D50" s="95">
        <f>IFERROR(__xludf.DUMMYFUNCTION("""COMPUTED_VALUE"""),0.017391304347826087)</f>
        <v>0.01739130435</v>
      </c>
      <c r="E50" s="95">
        <f>IFERROR(__xludf.DUMMYFUNCTION("""COMPUTED_VALUE"""),0.0380952380952381)</f>
        <v>0.0380952381</v>
      </c>
      <c r="F50" s="95">
        <f>IFERROR(__xludf.DUMMYFUNCTION("""COMPUTED_VALUE"""),0.03125)</f>
        <v>0.03125</v>
      </c>
      <c r="G50" s="95">
        <f>IFERROR(__xludf.DUMMYFUNCTION("""COMPUTED_VALUE"""),0.044642857142857144)</f>
        <v>0.04464285714</v>
      </c>
      <c r="H50" s="95">
        <f>IFERROR(__xludf.DUMMYFUNCTION("""COMPUTED_VALUE"""),0.04225352112676056)</f>
        <v>0.04225352113</v>
      </c>
      <c r="I50" s="95">
        <f>IFERROR(__xludf.DUMMYFUNCTION("""COMPUTED_VALUE"""),0.04424778761061947)</f>
        <v>0.04424778761</v>
      </c>
      <c r="J50" s="95">
        <f t="shared" si="3"/>
        <v>0.008533501896</v>
      </c>
      <c r="K50" s="95">
        <f t="shared" si="4"/>
        <v>0.001994266484</v>
      </c>
    </row>
    <row r="51">
      <c r="A51" s="93" t="str">
        <f>IFERROR(__xludf.DUMMYFUNCTION("""COMPUTED_VALUE"""),"BC 274 Hùng Vương-Chư Pưh-Gia Lai")</f>
        <v>BC 274 Hùng Vương-Chư Pưh-Gia Lai</v>
      </c>
      <c r="B51" s="95">
        <f>IFERROR(__xludf.DUMMYFUNCTION("""COMPUTED_VALUE"""),0.04081632653061224)</f>
        <v>0.04081632653</v>
      </c>
      <c r="C51" s="95">
        <f>IFERROR(__xludf.DUMMYFUNCTION("""COMPUTED_VALUE"""),0.046511627906976744)</f>
        <v>0.04651162791</v>
      </c>
      <c r="D51" s="95">
        <f>IFERROR(__xludf.DUMMYFUNCTION("""COMPUTED_VALUE"""),0.014705882352941176)</f>
        <v>0.01470588235</v>
      </c>
      <c r="E51" s="95">
        <f>IFERROR(__xludf.DUMMYFUNCTION("""COMPUTED_VALUE"""),0.027777777777777776)</f>
        <v>0.02777777778</v>
      </c>
      <c r="F51" s="95">
        <f>IFERROR(__xludf.DUMMYFUNCTION("""COMPUTED_VALUE"""),0.08433734939759036)</f>
        <v>0.0843373494</v>
      </c>
      <c r="G51" s="95">
        <f>IFERROR(__xludf.DUMMYFUNCTION("""COMPUTED_VALUE"""),0.09411764705882353)</f>
        <v>0.09411764706</v>
      </c>
      <c r="H51" s="95">
        <f>IFERROR(__xludf.DUMMYFUNCTION("""COMPUTED_VALUE"""),0.14)</f>
        <v>0.14</v>
      </c>
      <c r="I51" s="95">
        <f>IFERROR(__xludf.DUMMYFUNCTION("""COMPUTED_VALUE"""),0.0423728813559322)</f>
        <v>0.04237288136</v>
      </c>
      <c r="J51" s="95">
        <f t="shared" si="3"/>
        <v>0.001556554825</v>
      </c>
      <c r="K51" s="95">
        <f t="shared" si="4"/>
        <v>-0.09762711864</v>
      </c>
    </row>
    <row r="52">
      <c r="A52" s="93" t="str">
        <f>IFERROR(__xludf.DUMMYFUNCTION("""COMPUTED_VALUE"""),"BC Phạm Văn Đồng-Pơng Đrang-Krông Búk-Đắk Lắk")</f>
        <v>BC Phạm Văn Đồng-Pơng Đrang-Krông Búk-Đắk Lắk</v>
      </c>
      <c r="B52" s="95">
        <f>IFERROR(__xludf.DUMMYFUNCTION("""COMPUTED_VALUE"""),0.11538461538461539)</f>
        <v>0.1153846154</v>
      </c>
      <c r="C52" s="95">
        <f>IFERROR(__xludf.DUMMYFUNCTION("""COMPUTED_VALUE"""),0.06611570247933884)</f>
        <v>0.06611570248</v>
      </c>
      <c r="D52" s="95">
        <f>IFERROR(__xludf.DUMMYFUNCTION("""COMPUTED_VALUE"""),0.11363636363636363)</f>
        <v>0.1136363636</v>
      </c>
      <c r="E52" s="95">
        <f>IFERROR(__xludf.DUMMYFUNCTION("""COMPUTED_VALUE"""),0.07142857142857142)</f>
        <v>0.07142857143</v>
      </c>
      <c r="F52" s="95">
        <f>IFERROR(__xludf.DUMMYFUNCTION("""COMPUTED_VALUE"""),0.11643835616438356)</f>
        <v>0.1164383562</v>
      </c>
      <c r="G52" s="95">
        <f>IFERROR(__xludf.DUMMYFUNCTION("""COMPUTED_VALUE"""),0.06060606060606061)</f>
        <v>0.06060606061</v>
      </c>
      <c r="H52" s="95">
        <f>IFERROR(__xludf.DUMMYFUNCTION("""COMPUTED_VALUE"""),0.05747126436781609)</f>
        <v>0.05747126437</v>
      </c>
      <c r="I52" s="95">
        <f>IFERROR(__xludf.DUMMYFUNCTION("""COMPUTED_VALUE"""),0.04201680672268908)</f>
        <v>0.04201680672</v>
      </c>
      <c r="J52" s="95">
        <f t="shared" si="3"/>
        <v>-0.07336780866</v>
      </c>
      <c r="K52" s="95">
        <f t="shared" si="4"/>
        <v>-0.01545445765</v>
      </c>
    </row>
    <row r="53">
      <c r="A53" s="93" t="str">
        <f>IFERROR(__xludf.DUMMYFUNCTION("""COMPUTED_VALUE"""),"BC 132 Hoàng Hoa Thám-Buôn Ma Thuột-Đắk Lắk")</f>
        <v>BC 132 Hoàng Hoa Thám-Buôn Ma Thuột-Đắk Lắk</v>
      </c>
      <c r="B53" s="95">
        <f>IFERROR(__xludf.DUMMYFUNCTION("""COMPUTED_VALUE"""),0.05084745762711865)</f>
        <v>0.05084745763</v>
      </c>
      <c r="C53" s="95">
        <f>IFERROR(__xludf.DUMMYFUNCTION("""COMPUTED_VALUE"""),0.02877697841726619)</f>
        <v>0.02877697842</v>
      </c>
      <c r="D53" s="95">
        <f>IFERROR(__xludf.DUMMYFUNCTION("""COMPUTED_VALUE"""),0.036585365853658534)</f>
        <v>0.03658536585</v>
      </c>
      <c r="E53" s="95">
        <f>IFERROR(__xludf.DUMMYFUNCTION("""COMPUTED_VALUE"""),0.046357615894039736)</f>
        <v>0.04635761589</v>
      </c>
      <c r="F53" s="95">
        <f>IFERROR(__xludf.DUMMYFUNCTION("""COMPUTED_VALUE"""),0.041666666666666664)</f>
        <v>0.04166666667</v>
      </c>
      <c r="G53" s="95">
        <f>IFERROR(__xludf.DUMMYFUNCTION("""COMPUTED_VALUE"""),0.041666666666666664)</f>
        <v>0.04166666667</v>
      </c>
      <c r="H53" s="95">
        <f>IFERROR(__xludf.DUMMYFUNCTION("""COMPUTED_VALUE"""),0.06666666666666667)</f>
        <v>0.06666666667</v>
      </c>
      <c r="I53" s="95">
        <f>IFERROR(__xludf.DUMMYFUNCTION("""COMPUTED_VALUE"""),0.04195804195804196)</f>
        <v>0.04195804196</v>
      </c>
      <c r="J53" s="95">
        <f t="shared" si="3"/>
        <v>-0.008889415669</v>
      </c>
      <c r="K53" s="95">
        <f t="shared" si="4"/>
        <v>-0.02470862471</v>
      </c>
    </row>
    <row r="54">
      <c r="A54" s="93" t="str">
        <f>IFERROR(__xludf.DUMMYFUNCTION("""COMPUTED_VALUE"""),"BC 396 Âu Cơ-Bùi Thị Xuân-Quy Nhơn-Bình Định")</f>
        <v>BC 396 Âu Cơ-Bùi Thị Xuân-Quy Nhơn-Bình Định</v>
      </c>
      <c r="B54" s="95">
        <f>IFERROR(__xludf.DUMMYFUNCTION("""COMPUTED_VALUE"""),0.02040816326530612)</f>
        <v>0.02040816327</v>
      </c>
      <c r="C54" s="95">
        <f>IFERROR(__xludf.DUMMYFUNCTION("""COMPUTED_VALUE"""),0.0)</f>
        <v>0</v>
      </c>
      <c r="D54" s="95">
        <f>IFERROR(__xludf.DUMMYFUNCTION("""COMPUTED_VALUE"""),0.054945054945054944)</f>
        <v>0.05494505495</v>
      </c>
      <c r="E54" s="95">
        <f>IFERROR(__xludf.DUMMYFUNCTION("""COMPUTED_VALUE"""),0.010869565217391304)</f>
        <v>0.01086956522</v>
      </c>
      <c r="F54" s="95">
        <f>IFERROR(__xludf.DUMMYFUNCTION("""COMPUTED_VALUE"""),0.0425531914893617)</f>
        <v>0.04255319149</v>
      </c>
      <c r="G54" s="95">
        <f>IFERROR(__xludf.DUMMYFUNCTION("""COMPUTED_VALUE"""),0.05263157894736842)</f>
        <v>0.05263157895</v>
      </c>
      <c r="H54" s="95">
        <f>IFERROR(__xludf.DUMMYFUNCTION("""COMPUTED_VALUE"""),0.07462686567164178)</f>
        <v>0.07462686567</v>
      </c>
      <c r="I54" s="95">
        <f>IFERROR(__xludf.DUMMYFUNCTION("""COMPUTED_VALUE"""),0.040983606557377046)</f>
        <v>0.04098360656</v>
      </c>
      <c r="J54" s="95">
        <f t="shared" si="3"/>
        <v>0.02057544329</v>
      </c>
      <c r="K54" s="95">
        <f t="shared" si="4"/>
        <v>-0.03364325911</v>
      </c>
    </row>
    <row r="55">
      <c r="A55" s="93" t="str">
        <f>IFERROR(__xludf.DUMMYFUNCTION("""COMPUTED_VALUE"""),"BC Vận Hành Thôn Định Trị-Xã Vĩnh Thạnh-Bình Định")</f>
        <v>BC Vận Hành Thôn Định Trị-Xã Vĩnh Thạnh-Bình Định</v>
      </c>
      <c r="B55" s="95">
        <f>IFERROR(__xludf.DUMMYFUNCTION("""COMPUTED_VALUE"""),0.0)</f>
        <v>0</v>
      </c>
      <c r="C55" s="95">
        <f>IFERROR(__xludf.DUMMYFUNCTION("""COMPUTED_VALUE"""),0.02702702702702703)</f>
        <v>0.02702702703</v>
      </c>
      <c r="D55" s="95">
        <f>IFERROR(__xludf.DUMMYFUNCTION("""COMPUTED_VALUE"""),0.06818181818181818)</f>
        <v>0.06818181818</v>
      </c>
      <c r="E55" s="95">
        <f>IFERROR(__xludf.DUMMYFUNCTION("""COMPUTED_VALUE"""),0.0)</f>
        <v>0</v>
      </c>
      <c r="F55" s="95">
        <f>IFERROR(__xludf.DUMMYFUNCTION("""COMPUTED_VALUE"""),0.11475409836065574)</f>
        <v>0.1147540984</v>
      </c>
      <c r="G55" s="95">
        <f>IFERROR(__xludf.DUMMYFUNCTION("""COMPUTED_VALUE"""),0.029411764705882353)</f>
        <v>0.02941176471</v>
      </c>
      <c r="H55" s="95">
        <f>IFERROR(__xludf.DUMMYFUNCTION("""COMPUTED_VALUE"""),0.05263157894736842)</f>
        <v>0.05263157895</v>
      </c>
      <c r="I55" s="95">
        <f>IFERROR(__xludf.DUMMYFUNCTION("""COMPUTED_VALUE"""),0.04)</f>
        <v>0.04</v>
      </c>
      <c r="J55" s="95">
        <f t="shared" si="3"/>
        <v>0.04</v>
      </c>
      <c r="K55" s="95">
        <f t="shared" si="4"/>
        <v>-0.01263157895</v>
      </c>
    </row>
    <row r="56">
      <c r="A56" s="93" t="str">
        <f>IFERROR(__xludf.DUMMYFUNCTION("""COMPUTED_VALUE"""),"BC Km 30 Tân Hòa-Buôn Đôn-Đắk Lắk")</f>
        <v>BC Km 30 Tân Hòa-Buôn Đôn-Đắk Lắk</v>
      </c>
      <c r="B56" s="95">
        <f>IFERROR(__xludf.DUMMYFUNCTION("""COMPUTED_VALUE"""),0.02)</f>
        <v>0.02</v>
      </c>
      <c r="C56" s="95">
        <f>IFERROR(__xludf.DUMMYFUNCTION("""COMPUTED_VALUE"""),0.027522935779816515)</f>
        <v>0.02752293578</v>
      </c>
      <c r="D56" s="95">
        <f>IFERROR(__xludf.DUMMYFUNCTION("""COMPUTED_VALUE"""),0.04854368932038835)</f>
        <v>0.04854368932</v>
      </c>
      <c r="E56" s="95">
        <f>IFERROR(__xludf.DUMMYFUNCTION("""COMPUTED_VALUE"""),0.043010752688172046)</f>
        <v>0.04301075269</v>
      </c>
      <c r="F56" s="95">
        <f>IFERROR(__xludf.DUMMYFUNCTION("""COMPUTED_VALUE"""),0.06329113924050633)</f>
        <v>0.06329113924</v>
      </c>
      <c r="G56" s="95">
        <f>IFERROR(__xludf.DUMMYFUNCTION("""COMPUTED_VALUE"""),0.0297029702970297)</f>
        <v>0.0297029703</v>
      </c>
      <c r="H56" s="95">
        <f>IFERROR(__xludf.DUMMYFUNCTION("""COMPUTED_VALUE"""),0.078125)</f>
        <v>0.078125</v>
      </c>
      <c r="I56" s="95">
        <f>IFERROR(__xludf.DUMMYFUNCTION("""COMPUTED_VALUE"""),0.03636363636363636)</f>
        <v>0.03636363636</v>
      </c>
      <c r="J56" s="95">
        <f t="shared" si="3"/>
        <v>0.01636363636</v>
      </c>
      <c r="K56" s="95">
        <f t="shared" si="4"/>
        <v>-0.04176136364</v>
      </c>
    </row>
    <row r="57">
      <c r="A57" s="93" t="str">
        <f>IFERROR(__xludf.DUMMYFUNCTION("""COMPUTED_VALUE"""),"BC 172 Hùng Vương-Chư Prông-Gia Lai")</f>
        <v>BC 172 Hùng Vương-Chư Prông-Gia Lai</v>
      </c>
      <c r="B57" s="95">
        <f>IFERROR(__xludf.DUMMYFUNCTION("""COMPUTED_VALUE"""),0.04132231404958678)</f>
        <v>0.04132231405</v>
      </c>
      <c r="C57" s="95">
        <f>IFERROR(__xludf.DUMMYFUNCTION("""COMPUTED_VALUE"""),0.08)</f>
        <v>0.08</v>
      </c>
      <c r="D57" s="95">
        <f>IFERROR(__xludf.DUMMYFUNCTION("""COMPUTED_VALUE"""),0.0211864406779661)</f>
        <v>0.02118644068</v>
      </c>
      <c r="E57" s="95">
        <f>IFERROR(__xludf.DUMMYFUNCTION("""COMPUTED_VALUE"""),0.027472527472527472)</f>
        <v>0.02747252747</v>
      </c>
      <c r="F57" s="95">
        <f>IFERROR(__xludf.DUMMYFUNCTION("""COMPUTED_VALUE"""),0.026217228464419477)</f>
        <v>0.02621722846</v>
      </c>
      <c r="G57" s="95">
        <f>IFERROR(__xludf.DUMMYFUNCTION("""COMPUTED_VALUE"""),0.050761421319796954)</f>
        <v>0.05076142132</v>
      </c>
      <c r="H57" s="95">
        <f>IFERROR(__xludf.DUMMYFUNCTION("""COMPUTED_VALUE"""),0.08064516129032258)</f>
        <v>0.08064516129</v>
      </c>
      <c r="I57" s="95">
        <f>IFERROR(__xludf.DUMMYFUNCTION("""COMPUTED_VALUE"""),0.035830618892508145)</f>
        <v>0.03583061889</v>
      </c>
      <c r="J57" s="95">
        <f t="shared" si="3"/>
        <v>-0.005491695157</v>
      </c>
      <c r="K57" s="95">
        <f t="shared" si="4"/>
        <v>-0.0448145424</v>
      </c>
    </row>
    <row r="58">
      <c r="A58" s="93" t="str">
        <f>IFERROR(__xludf.DUMMYFUNCTION("""COMPUTED_VALUE"""),"BC 767 Hùng Vương-Quy Nhơn-Bình Định")</f>
        <v>BC 767 Hùng Vương-Quy Nhơn-Bình Định</v>
      </c>
      <c r="B58" s="95">
        <f>IFERROR(__xludf.DUMMYFUNCTION("""COMPUTED_VALUE"""),0.02727272727272727)</f>
        <v>0.02727272727</v>
      </c>
      <c r="C58" s="95">
        <f>IFERROR(__xludf.DUMMYFUNCTION("""COMPUTED_VALUE"""),0.03968253968253968)</f>
        <v>0.03968253968</v>
      </c>
      <c r="D58" s="95">
        <f>IFERROR(__xludf.DUMMYFUNCTION("""COMPUTED_VALUE"""),0.023076923076923078)</f>
        <v>0.02307692308</v>
      </c>
      <c r="E58" s="95">
        <f>IFERROR(__xludf.DUMMYFUNCTION("""COMPUTED_VALUE"""),0.0)</f>
        <v>0</v>
      </c>
      <c r="F58" s="95">
        <f>IFERROR(__xludf.DUMMYFUNCTION("""COMPUTED_VALUE"""),0.041237113402061855)</f>
        <v>0.0412371134</v>
      </c>
      <c r="G58" s="95">
        <f>IFERROR(__xludf.DUMMYFUNCTION("""COMPUTED_VALUE"""),0.0)</f>
        <v>0</v>
      </c>
      <c r="H58" s="95">
        <f>IFERROR(__xludf.DUMMYFUNCTION("""COMPUTED_VALUE"""),0.013888888888888888)</f>
        <v>0.01388888889</v>
      </c>
      <c r="I58" s="95">
        <f>IFERROR(__xludf.DUMMYFUNCTION("""COMPUTED_VALUE"""),0.03424657534246575)</f>
        <v>0.03424657534</v>
      </c>
      <c r="J58" s="95">
        <f t="shared" si="3"/>
        <v>0.00697384807</v>
      </c>
      <c r="K58" s="95">
        <f t="shared" si="4"/>
        <v>0.02035768645</v>
      </c>
    </row>
    <row r="59">
      <c r="A59" s="93" t="str">
        <f>IFERROR(__xludf.DUMMYFUNCTION("""COMPUTED_VALUE"""),"BC 274 Hùng Vương-Tuy Hòa-Phú Yên")</f>
        <v>BC 274 Hùng Vương-Tuy Hòa-Phú Yên</v>
      </c>
      <c r="B59" s="95">
        <f>IFERROR(__xludf.DUMMYFUNCTION("""COMPUTED_VALUE"""),0.035175879396984924)</f>
        <v>0.0351758794</v>
      </c>
      <c r="C59" s="95">
        <f>IFERROR(__xludf.DUMMYFUNCTION("""COMPUTED_VALUE"""),0.016666666666666666)</f>
        <v>0.01666666667</v>
      </c>
      <c r="D59" s="95">
        <f>IFERROR(__xludf.DUMMYFUNCTION("""COMPUTED_VALUE"""),0.028901734104046242)</f>
        <v>0.0289017341</v>
      </c>
      <c r="E59" s="95">
        <f>IFERROR(__xludf.DUMMYFUNCTION("""COMPUTED_VALUE"""),0.022099447513812154)</f>
        <v>0.02209944751</v>
      </c>
      <c r="F59" s="95">
        <f>IFERROR(__xludf.DUMMYFUNCTION("""COMPUTED_VALUE"""),0.08670520231213873)</f>
        <v>0.08670520231</v>
      </c>
      <c r="G59" s="95">
        <f>IFERROR(__xludf.DUMMYFUNCTION("""COMPUTED_VALUE"""),0.0392156862745098)</f>
        <v>0.03921568627</v>
      </c>
      <c r="H59" s="95">
        <f>IFERROR(__xludf.DUMMYFUNCTION("""COMPUTED_VALUE"""),0.08108108108108109)</f>
        <v>0.08108108108</v>
      </c>
      <c r="I59" s="95">
        <f>IFERROR(__xludf.DUMMYFUNCTION("""COMPUTED_VALUE"""),0.03414634146341464)</f>
        <v>0.03414634146</v>
      </c>
      <c r="J59" s="95">
        <f t="shared" si="3"/>
        <v>-0.001029537934</v>
      </c>
      <c r="K59" s="95">
        <f t="shared" si="4"/>
        <v>-0.04693473962</v>
      </c>
    </row>
    <row r="60">
      <c r="A60" s="93" t="str">
        <f>IFERROR(__xludf.DUMMYFUNCTION("""COMPUTED_VALUE"""),"BC 56 Đường 17 Tháng 3-Chư Sê-Gia Lai")</f>
        <v>BC 56 Đường 17 Tháng 3-Chư Sê-Gia Lai</v>
      </c>
      <c r="B60" s="95">
        <f>IFERROR(__xludf.DUMMYFUNCTION("""COMPUTED_VALUE"""),0.06857142857142857)</f>
        <v>0.06857142857</v>
      </c>
      <c r="C60" s="95">
        <f>IFERROR(__xludf.DUMMYFUNCTION("""COMPUTED_VALUE"""),0.09016393442622951)</f>
        <v>0.09016393443</v>
      </c>
      <c r="D60" s="95">
        <f>IFERROR(__xludf.DUMMYFUNCTION("""COMPUTED_VALUE"""),0.06779661016949153)</f>
        <v>0.06779661017</v>
      </c>
      <c r="E60" s="95">
        <f>IFERROR(__xludf.DUMMYFUNCTION("""COMPUTED_VALUE"""),0.032467532467532464)</f>
        <v>0.03246753247</v>
      </c>
      <c r="F60" s="95">
        <f>IFERROR(__xludf.DUMMYFUNCTION("""COMPUTED_VALUE"""),0.07734806629834254)</f>
        <v>0.0773480663</v>
      </c>
      <c r="G60" s="95">
        <f>IFERROR(__xludf.DUMMYFUNCTION("""COMPUTED_VALUE"""),0.02158273381294964)</f>
        <v>0.02158273381</v>
      </c>
      <c r="H60" s="95">
        <f>IFERROR(__xludf.DUMMYFUNCTION("""COMPUTED_VALUE"""),0.05714285714285714)</f>
        <v>0.05714285714</v>
      </c>
      <c r="I60" s="95">
        <f>IFERROR(__xludf.DUMMYFUNCTION("""COMPUTED_VALUE"""),0.03296703296703297)</f>
        <v>0.03296703297</v>
      </c>
      <c r="J60" s="95">
        <f t="shared" si="3"/>
        <v>-0.0356043956</v>
      </c>
      <c r="K60" s="95">
        <f t="shared" si="4"/>
        <v>-0.02417582418</v>
      </c>
    </row>
    <row r="61">
      <c r="A61" s="93" t="str">
        <f>IFERROR(__xludf.DUMMYFUNCTION("""COMPUTED_VALUE"""),"BC KP4 Hòa Vinh- Đông Hòa- Phú Yên")</f>
        <v>BC KP4 Hòa Vinh- Đông Hòa- Phú Yên</v>
      </c>
      <c r="B61" s="95">
        <f>IFERROR(__xludf.DUMMYFUNCTION("""COMPUTED_VALUE"""),0.041666666666666664)</f>
        <v>0.04166666667</v>
      </c>
      <c r="C61" s="95">
        <f>IFERROR(__xludf.DUMMYFUNCTION("""COMPUTED_VALUE"""),0.015873015873015872)</f>
        <v>0.01587301587</v>
      </c>
      <c r="D61" s="95">
        <f>IFERROR(__xludf.DUMMYFUNCTION("""COMPUTED_VALUE"""),0.026845637583892617)</f>
        <v>0.02684563758</v>
      </c>
      <c r="E61" s="95">
        <f>IFERROR(__xludf.DUMMYFUNCTION("""COMPUTED_VALUE"""),0.018072289156626505)</f>
        <v>0.01807228916</v>
      </c>
      <c r="F61" s="95">
        <f>IFERROR(__xludf.DUMMYFUNCTION("""COMPUTED_VALUE"""),0.040697674418604654)</f>
        <v>0.04069767442</v>
      </c>
      <c r="G61" s="95">
        <f>IFERROR(__xludf.DUMMYFUNCTION("""COMPUTED_VALUE"""),0.05217391304347826)</f>
        <v>0.05217391304</v>
      </c>
      <c r="H61" s="95">
        <f>IFERROR(__xludf.DUMMYFUNCTION("""COMPUTED_VALUE"""),0.09278350515463918)</f>
        <v>0.09278350515</v>
      </c>
      <c r="I61" s="95">
        <f>IFERROR(__xludf.DUMMYFUNCTION("""COMPUTED_VALUE"""),0.03278688524590164)</f>
        <v>0.03278688525</v>
      </c>
      <c r="J61" s="95">
        <f t="shared" si="3"/>
        <v>-0.008879781421</v>
      </c>
      <c r="K61" s="95">
        <f t="shared" si="4"/>
        <v>-0.05999661991</v>
      </c>
    </row>
    <row r="62">
      <c r="A62" s="93" t="str">
        <f>IFERROR(__xludf.DUMMYFUNCTION("""COMPUTED_VALUE"""),"BC 204 Trần Hưng Đạo-Buôn Hồ-Đắk Lắk")</f>
        <v>BC 204 Trần Hưng Đạo-Buôn Hồ-Đắk Lắk</v>
      </c>
      <c r="B62" s="95">
        <f>IFERROR(__xludf.DUMMYFUNCTION("""COMPUTED_VALUE"""),0.03597122302158273)</f>
        <v>0.03597122302</v>
      </c>
      <c r="C62" s="95">
        <f>IFERROR(__xludf.DUMMYFUNCTION("""COMPUTED_VALUE"""),0.044585987261146494)</f>
        <v>0.04458598726</v>
      </c>
      <c r="D62" s="95">
        <f>IFERROR(__xludf.DUMMYFUNCTION("""COMPUTED_VALUE"""),0.038461538461538464)</f>
        <v>0.03846153846</v>
      </c>
      <c r="E62" s="95">
        <f>IFERROR(__xludf.DUMMYFUNCTION("""COMPUTED_VALUE"""),0.013245033112582781)</f>
        <v>0.01324503311</v>
      </c>
      <c r="F62" s="95">
        <f>IFERROR(__xludf.DUMMYFUNCTION("""COMPUTED_VALUE"""),0.039735099337748346)</f>
        <v>0.03973509934</v>
      </c>
      <c r="G62" s="95">
        <f>IFERROR(__xludf.DUMMYFUNCTION("""COMPUTED_VALUE"""),0.05925925925925926)</f>
        <v>0.05925925926</v>
      </c>
      <c r="H62" s="95">
        <f>IFERROR(__xludf.DUMMYFUNCTION("""COMPUTED_VALUE"""),0.08666666666666667)</f>
        <v>0.08666666667</v>
      </c>
      <c r="I62" s="95">
        <f>IFERROR(__xludf.DUMMYFUNCTION("""COMPUTED_VALUE"""),0.029850746268656716)</f>
        <v>0.02985074627</v>
      </c>
      <c r="J62" s="95">
        <f t="shared" si="3"/>
        <v>-0.006120476753</v>
      </c>
      <c r="K62" s="95">
        <f t="shared" si="4"/>
        <v>-0.0568159204</v>
      </c>
    </row>
    <row r="63">
      <c r="A63" s="93" t="str">
        <f>IFERROR(__xludf.DUMMYFUNCTION("""COMPUTED_VALUE"""),"BC 271 Nguyễn Văn Cừ-Tân Lập-Đắk Lắk")</f>
        <v>BC 271 Nguyễn Văn Cừ-Tân Lập-Đắk Lắk</v>
      </c>
      <c r="B63" s="95">
        <f>IFERROR(__xludf.DUMMYFUNCTION("""COMPUTED_VALUE"""),0.026785714285714284)</f>
        <v>0.02678571429</v>
      </c>
      <c r="C63" s="95">
        <f>IFERROR(__xludf.DUMMYFUNCTION("""COMPUTED_VALUE"""),0.0)</f>
        <v>0</v>
      </c>
      <c r="D63" s="95">
        <f>IFERROR(__xludf.DUMMYFUNCTION("""COMPUTED_VALUE"""),0.026490066225165563)</f>
        <v>0.02649006623</v>
      </c>
      <c r="E63" s="95">
        <f>IFERROR(__xludf.DUMMYFUNCTION("""COMPUTED_VALUE"""),0.024390243902439025)</f>
        <v>0.0243902439</v>
      </c>
      <c r="F63" s="95">
        <f>IFERROR(__xludf.DUMMYFUNCTION("""COMPUTED_VALUE"""),0.026845637583892617)</f>
        <v>0.02684563758</v>
      </c>
      <c r="G63" s="95">
        <f>IFERROR(__xludf.DUMMYFUNCTION("""COMPUTED_VALUE"""),0.0410958904109589)</f>
        <v>0.04109589041</v>
      </c>
      <c r="H63" s="95">
        <f>IFERROR(__xludf.DUMMYFUNCTION("""COMPUTED_VALUE"""),0.04477611940298507)</f>
        <v>0.0447761194</v>
      </c>
      <c r="I63" s="95">
        <f>IFERROR(__xludf.DUMMYFUNCTION("""COMPUTED_VALUE"""),0.029411764705882353)</f>
        <v>0.02941176471</v>
      </c>
      <c r="J63" s="95">
        <f t="shared" si="3"/>
        <v>0.00262605042</v>
      </c>
      <c r="K63" s="95">
        <f t="shared" si="4"/>
        <v>-0.0153643547</v>
      </c>
    </row>
    <row r="64">
      <c r="A64" s="93" t="str">
        <f>IFERROR(__xludf.DUMMYFUNCTION("""COMPUTED_VALUE"""),"BC 73 Lê Lợi-Chư Pah-Gia Lai")</f>
        <v>BC 73 Lê Lợi-Chư Pah-Gia Lai</v>
      </c>
      <c r="B64" s="95">
        <f>IFERROR(__xludf.DUMMYFUNCTION("""COMPUTED_VALUE"""),0.043478260869565216)</f>
        <v>0.04347826087</v>
      </c>
      <c r="C64" s="95">
        <f>IFERROR(__xludf.DUMMYFUNCTION("""COMPUTED_VALUE"""),0.054945054945054944)</f>
        <v>0.05494505495</v>
      </c>
      <c r="D64" s="95">
        <f>IFERROR(__xludf.DUMMYFUNCTION("""COMPUTED_VALUE"""),0.046511627906976744)</f>
        <v>0.04651162791</v>
      </c>
      <c r="E64" s="95">
        <f>IFERROR(__xludf.DUMMYFUNCTION("""COMPUTED_VALUE"""),0.0)</f>
        <v>0</v>
      </c>
      <c r="F64" s="95">
        <f>IFERROR(__xludf.DUMMYFUNCTION("""COMPUTED_VALUE"""),0.03296703296703297)</f>
        <v>0.03296703297</v>
      </c>
      <c r="G64" s="95">
        <f>IFERROR(__xludf.DUMMYFUNCTION("""COMPUTED_VALUE"""),0.04807692307692308)</f>
        <v>0.04807692308</v>
      </c>
      <c r="H64" s="95">
        <f>IFERROR(__xludf.DUMMYFUNCTION("""COMPUTED_VALUE"""),0.06153846153846154)</f>
        <v>0.06153846154</v>
      </c>
      <c r="I64" s="95">
        <f>IFERROR(__xludf.DUMMYFUNCTION("""COMPUTED_VALUE"""),0.029411764705882353)</f>
        <v>0.02941176471</v>
      </c>
      <c r="J64" s="95">
        <f t="shared" si="3"/>
        <v>-0.01406649616</v>
      </c>
      <c r="K64" s="95">
        <f t="shared" si="4"/>
        <v>-0.03212669683</v>
      </c>
    </row>
    <row r="65">
      <c r="A65" s="93" t="str">
        <f>IFERROR(__xludf.DUMMYFUNCTION("""COMPUTED_VALUE"""),"BC Đường Tỉnh 643-Xã Tuy An Nam-Phú Yên")</f>
        <v>BC Đường Tỉnh 643-Xã Tuy An Nam-Phú Yên</v>
      </c>
      <c r="B65" s="95">
        <f>IFERROR(__xludf.DUMMYFUNCTION("""COMPUTED_VALUE"""),0.015625)</f>
        <v>0.015625</v>
      </c>
      <c r="C65" s="95">
        <f>IFERROR(__xludf.DUMMYFUNCTION("""COMPUTED_VALUE"""),0.034482758620689655)</f>
        <v>0.03448275862</v>
      </c>
      <c r="D65" s="95">
        <f>IFERROR(__xludf.DUMMYFUNCTION("""COMPUTED_VALUE"""),0.030303030303030304)</f>
        <v>0.0303030303</v>
      </c>
      <c r="E65" s="95">
        <f>IFERROR(__xludf.DUMMYFUNCTION("""COMPUTED_VALUE"""),0.0)</f>
        <v>0</v>
      </c>
      <c r="F65" s="95">
        <f>IFERROR(__xludf.DUMMYFUNCTION("""COMPUTED_VALUE"""),0.06060606060606061)</f>
        <v>0.06060606061</v>
      </c>
      <c r="G65" s="95">
        <f>IFERROR(__xludf.DUMMYFUNCTION("""COMPUTED_VALUE"""),0.028985507246376812)</f>
        <v>0.02898550725</v>
      </c>
      <c r="H65" s="95">
        <f>IFERROR(__xludf.DUMMYFUNCTION("""COMPUTED_VALUE"""),0.043478260869565216)</f>
        <v>0.04347826087</v>
      </c>
      <c r="I65" s="95">
        <f>IFERROR(__xludf.DUMMYFUNCTION("""COMPUTED_VALUE"""),0.02857142857142857)</f>
        <v>0.02857142857</v>
      </c>
      <c r="J65" s="95">
        <f t="shared" si="3"/>
        <v>0.01294642857</v>
      </c>
      <c r="K65" s="95">
        <f t="shared" si="4"/>
        <v>-0.0149068323</v>
      </c>
    </row>
    <row r="66">
      <c r="A66" s="93" t="str">
        <f>IFERROR(__xludf.DUMMYFUNCTION("""COMPUTED_VALUE"""),"BC 153 Hùng Vương-Ia Grai-Gia Lai")</f>
        <v>BC 153 Hùng Vương-Ia Grai-Gia Lai</v>
      </c>
      <c r="B66" s="95">
        <f>IFERROR(__xludf.DUMMYFUNCTION("""COMPUTED_VALUE"""),0.046875)</f>
        <v>0.046875</v>
      </c>
      <c r="C66" s="95">
        <f>IFERROR(__xludf.DUMMYFUNCTION("""COMPUTED_VALUE"""),0.07692307692307693)</f>
        <v>0.07692307692</v>
      </c>
      <c r="D66" s="95">
        <f>IFERROR(__xludf.DUMMYFUNCTION("""COMPUTED_VALUE"""),0.05421686746987952)</f>
        <v>0.05421686747</v>
      </c>
      <c r="E66" s="95">
        <f>IFERROR(__xludf.DUMMYFUNCTION("""COMPUTED_VALUE"""),0.04580152671755725)</f>
        <v>0.04580152672</v>
      </c>
      <c r="F66" s="95">
        <f>IFERROR(__xludf.DUMMYFUNCTION("""COMPUTED_VALUE"""),0.12280701754385964)</f>
        <v>0.1228070175</v>
      </c>
      <c r="G66" s="95">
        <f>IFERROR(__xludf.DUMMYFUNCTION("""COMPUTED_VALUE"""),0.04929577464788732)</f>
        <v>0.04929577465</v>
      </c>
      <c r="H66" s="95">
        <f>IFERROR(__xludf.DUMMYFUNCTION("""COMPUTED_VALUE"""),0.1188118811881188)</f>
        <v>0.1188118812</v>
      </c>
      <c r="I66" s="95">
        <f>IFERROR(__xludf.DUMMYFUNCTION("""COMPUTED_VALUE"""),0.02824858757062147)</f>
        <v>0.02824858757</v>
      </c>
      <c r="J66" s="95">
        <f t="shared" si="3"/>
        <v>-0.01862641243</v>
      </c>
      <c r="K66" s="95">
        <f t="shared" si="4"/>
        <v>-0.09056329362</v>
      </c>
    </row>
    <row r="67">
      <c r="A67" s="93" t="str">
        <f>IFERROR(__xludf.DUMMYFUNCTION("""COMPUTED_VALUE"""),"BC Khu Vực Kim Châu-An Nhơn-Bình Định")</f>
        <v>BC Khu Vực Kim Châu-An Nhơn-Bình Định</v>
      </c>
      <c r="B67" s="95">
        <f>IFERROR(__xludf.DUMMYFUNCTION("""COMPUTED_VALUE"""),0.038461538461538464)</f>
        <v>0.03846153846</v>
      </c>
      <c r="C67" s="95">
        <f>IFERROR(__xludf.DUMMYFUNCTION("""COMPUTED_VALUE"""),0.03942652329749104)</f>
        <v>0.0394265233</v>
      </c>
      <c r="D67" s="95">
        <f>IFERROR(__xludf.DUMMYFUNCTION("""COMPUTED_VALUE"""),0.02857142857142857)</f>
        <v>0.02857142857</v>
      </c>
      <c r="E67" s="95">
        <f>IFERROR(__xludf.DUMMYFUNCTION("""COMPUTED_VALUE"""),0.045627376425855515)</f>
        <v>0.04562737643</v>
      </c>
      <c r="F67" s="95">
        <f>IFERROR(__xludf.DUMMYFUNCTION("""COMPUTED_VALUE"""),0.05244755244755245)</f>
        <v>0.05244755245</v>
      </c>
      <c r="G67" s="95">
        <f>IFERROR(__xludf.DUMMYFUNCTION("""COMPUTED_VALUE"""),0.027649769585253458)</f>
        <v>0.02764976959</v>
      </c>
      <c r="H67" s="95">
        <f>IFERROR(__xludf.DUMMYFUNCTION("""COMPUTED_VALUE"""),0.04371584699453552)</f>
        <v>0.04371584699</v>
      </c>
      <c r="I67" s="95">
        <f>IFERROR(__xludf.DUMMYFUNCTION("""COMPUTED_VALUE"""),0.027700831024930747)</f>
        <v>0.02770083102</v>
      </c>
      <c r="J67" s="95">
        <f t="shared" si="3"/>
        <v>-0.01076070744</v>
      </c>
      <c r="K67" s="95">
        <f t="shared" si="4"/>
        <v>-0.01601501597</v>
      </c>
    </row>
    <row r="68">
      <c r="A68" s="93" t="str">
        <f>IFERROR(__xludf.DUMMYFUNCTION("""COMPUTED_VALUE"""),"BC 269 Tây Sơn-Quy Nhơn-Bình Định")</f>
        <v>BC 269 Tây Sơn-Quy Nhơn-Bình Định</v>
      </c>
      <c r="B68" s="95">
        <f>IFERROR(__xludf.DUMMYFUNCTION("""COMPUTED_VALUE"""),0.02727272727272727)</f>
        <v>0.02727272727</v>
      </c>
      <c r="C68" s="95">
        <f>IFERROR(__xludf.DUMMYFUNCTION("""COMPUTED_VALUE"""),0.015151515151515152)</f>
        <v>0.01515151515</v>
      </c>
      <c r="D68" s="95">
        <f>IFERROR(__xludf.DUMMYFUNCTION("""COMPUTED_VALUE"""),0.03389830508474576)</f>
        <v>0.03389830508</v>
      </c>
      <c r="E68" s="95">
        <f>IFERROR(__xludf.DUMMYFUNCTION("""COMPUTED_VALUE"""),0.009569377990430622)</f>
        <v>0.00956937799</v>
      </c>
      <c r="F68" s="95">
        <f>IFERROR(__xludf.DUMMYFUNCTION("""COMPUTED_VALUE"""),0.019801980198019802)</f>
        <v>0.0198019802</v>
      </c>
      <c r="G68" s="95">
        <f>IFERROR(__xludf.DUMMYFUNCTION("""COMPUTED_VALUE"""),0.06060606060606061)</f>
        <v>0.06060606061</v>
      </c>
      <c r="H68" s="95">
        <f>IFERROR(__xludf.DUMMYFUNCTION("""COMPUTED_VALUE"""),0.022900763358778626)</f>
        <v>0.02290076336</v>
      </c>
      <c r="I68" s="95">
        <f>IFERROR(__xludf.DUMMYFUNCTION("""COMPUTED_VALUE"""),0.026923076923076925)</f>
        <v>0.02692307692</v>
      </c>
      <c r="J68" s="95">
        <f t="shared" si="3"/>
        <v>-0.0003496503497</v>
      </c>
      <c r="K68" s="95">
        <f t="shared" si="4"/>
        <v>0.004022313564</v>
      </c>
    </row>
    <row r="69">
      <c r="A69" s="93" t="str">
        <f>IFERROR(__xludf.DUMMYFUNCTION("""COMPUTED_VALUE"""),"BC 01 An Bình-Ea KNốp-Ea Kar-Đắk Lắk")</f>
        <v>BC 01 An Bình-Ea KNốp-Ea Kar-Đắk Lắk</v>
      </c>
      <c r="B69" s="95">
        <f>IFERROR(__xludf.DUMMYFUNCTION("""COMPUTED_VALUE"""),0.11864406779661017)</f>
        <v>0.1186440678</v>
      </c>
      <c r="C69" s="95">
        <f>IFERROR(__xludf.DUMMYFUNCTION("""COMPUTED_VALUE"""),0.21951219512195122)</f>
        <v>0.2195121951</v>
      </c>
      <c r="D69" s="95">
        <f>IFERROR(__xludf.DUMMYFUNCTION("""COMPUTED_VALUE"""),0.057971014492753624)</f>
        <v>0.05797101449</v>
      </c>
      <c r="E69" s="95">
        <f>IFERROR(__xludf.DUMMYFUNCTION("""COMPUTED_VALUE"""),0.056338028169014086)</f>
        <v>0.05633802817</v>
      </c>
      <c r="F69" s="95">
        <f>IFERROR(__xludf.DUMMYFUNCTION("""COMPUTED_VALUE"""),0.05555555555555555)</f>
        <v>0.05555555556</v>
      </c>
      <c r="G69" s="95">
        <f>IFERROR(__xludf.DUMMYFUNCTION("""COMPUTED_VALUE"""),0.0759493670886076)</f>
        <v>0.07594936709</v>
      </c>
      <c r="H69" s="95">
        <f>IFERROR(__xludf.DUMMYFUNCTION("""COMPUTED_VALUE"""),0.0547945205479452)</f>
        <v>0.05479452055</v>
      </c>
      <c r="I69" s="95">
        <f>IFERROR(__xludf.DUMMYFUNCTION("""COMPUTED_VALUE"""),0.02666666666666667)</f>
        <v>0.02666666667</v>
      </c>
      <c r="J69" s="95">
        <f t="shared" si="3"/>
        <v>-0.09197740113</v>
      </c>
      <c r="K69" s="95">
        <f t="shared" si="4"/>
        <v>-0.02812785388</v>
      </c>
    </row>
    <row r="70">
      <c r="A70" s="93" t="str">
        <f>IFERROR(__xludf.DUMMYFUNCTION("""COMPUTED_VALUE"""),"BC 125 Lý Chính Thắng-Buôn Ma Thuột-Đắk Lắk")</f>
        <v>BC 125 Lý Chính Thắng-Buôn Ma Thuột-Đắk Lắk</v>
      </c>
      <c r="B70" s="95">
        <f>IFERROR(__xludf.DUMMYFUNCTION("""COMPUTED_VALUE"""),0.04895104895104895)</f>
        <v>0.04895104895</v>
      </c>
      <c r="C70" s="95">
        <f>IFERROR(__xludf.DUMMYFUNCTION("""COMPUTED_VALUE"""),0.032520325203252036)</f>
        <v>0.0325203252</v>
      </c>
      <c r="D70" s="95">
        <f>IFERROR(__xludf.DUMMYFUNCTION("""COMPUTED_VALUE"""),0.023622047244094488)</f>
        <v>0.02362204724</v>
      </c>
      <c r="E70" s="95">
        <f>IFERROR(__xludf.DUMMYFUNCTION("""COMPUTED_VALUE"""),0.025423728813559324)</f>
        <v>0.02542372881</v>
      </c>
      <c r="F70" s="95">
        <f>IFERROR(__xludf.DUMMYFUNCTION("""COMPUTED_VALUE"""),0.0625)</f>
        <v>0.0625</v>
      </c>
      <c r="G70" s="95">
        <f>IFERROR(__xludf.DUMMYFUNCTION("""COMPUTED_VALUE"""),0.0273972602739726)</f>
        <v>0.02739726027</v>
      </c>
      <c r="H70" s="95">
        <f>IFERROR(__xludf.DUMMYFUNCTION("""COMPUTED_VALUE"""),0.06481481481481481)</f>
        <v>0.06481481481</v>
      </c>
      <c r="I70" s="95">
        <f>IFERROR(__xludf.DUMMYFUNCTION("""COMPUTED_VALUE"""),0.02631578947368421)</f>
        <v>0.02631578947</v>
      </c>
      <c r="J70" s="95">
        <f t="shared" si="3"/>
        <v>-0.02263525948</v>
      </c>
      <c r="K70" s="95">
        <f t="shared" si="4"/>
        <v>-0.03849902534</v>
      </c>
    </row>
    <row r="71">
      <c r="A71" s="93" t="str">
        <f>IFERROR(__xludf.DUMMYFUNCTION("""COMPUTED_VALUE"""),"BC Hoài Nhơn-Bình Định")</f>
        <v>BC Hoài Nhơn-Bình Định</v>
      </c>
      <c r="B71" s="95">
        <f>IFERROR(__xludf.DUMMYFUNCTION("""COMPUTED_VALUE"""),0.03571428571428571)</f>
        <v>0.03571428571</v>
      </c>
      <c r="C71" s="95">
        <f>IFERROR(__xludf.DUMMYFUNCTION("""COMPUTED_VALUE"""),0.015267175572519083)</f>
        <v>0.01526717557</v>
      </c>
      <c r="D71" s="95">
        <f>IFERROR(__xludf.DUMMYFUNCTION("""COMPUTED_VALUE"""),0.007692307692307693)</f>
        <v>0.007692307692</v>
      </c>
      <c r="E71" s="95">
        <f>IFERROR(__xludf.DUMMYFUNCTION("""COMPUTED_VALUE"""),0.01818181818181818)</f>
        <v>0.01818181818</v>
      </c>
      <c r="F71" s="95">
        <f>IFERROR(__xludf.DUMMYFUNCTION("""COMPUTED_VALUE"""),0.02877697841726619)</f>
        <v>0.02877697842</v>
      </c>
      <c r="G71" s="95">
        <f>IFERROR(__xludf.DUMMYFUNCTION("""COMPUTED_VALUE"""),0.016129032258064516)</f>
        <v>0.01612903226</v>
      </c>
      <c r="H71" s="95">
        <f>IFERROR(__xludf.DUMMYFUNCTION("""COMPUTED_VALUE"""),0.02531645569620253)</f>
        <v>0.0253164557</v>
      </c>
      <c r="I71" s="95">
        <f>IFERROR(__xludf.DUMMYFUNCTION("""COMPUTED_VALUE"""),0.025806451612903226)</f>
        <v>0.02580645161</v>
      </c>
      <c r="J71" s="95">
        <f t="shared" si="3"/>
        <v>-0.009907834101</v>
      </c>
      <c r="K71" s="95">
        <f t="shared" si="4"/>
        <v>0.0004899959167</v>
      </c>
    </row>
    <row r="72">
      <c r="A72" s="93" t="str">
        <f>IFERROR(__xludf.DUMMYFUNCTION("""COMPUTED_VALUE"""),"BC Thị Trấn Phú Thứ-Tây Hoà-Phú Yên")</f>
        <v>BC Thị Trấn Phú Thứ-Tây Hoà-Phú Yên</v>
      </c>
      <c r="B72" s="95">
        <f>IFERROR(__xludf.DUMMYFUNCTION("""COMPUTED_VALUE"""),0.02127659574468085)</f>
        <v>0.02127659574</v>
      </c>
      <c r="C72" s="95">
        <f>IFERROR(__xludf.DUMMYFUNCTION("""COMPUTED_VALUE"""),0.007692307692307693)</f>
        <v>0.007692307692</v>
      </c>
      <c r="D72" s="95">
        <f>IFERROR(__xludf.DUMMYFUNCTION("""COMPUTED_VALUE"""),0.03937007874015748)</f>
        <v>0.03937007874</v>
      </c>
      <c r="E72" s="95">
        <f>IFERROR(__xludf.DUMMYFUNCTION("""COMPUTED_VALUE"""),0.013888888888888888)</f>
        <v>0.01388888889</v>
      </c>
      <c r="F72" s="95">
        <f>IFERROR(__xludf.DUMMYFUNCTION("""COMPUTED_VALUE"""),0.015748031496062992)</f>
        <v>0.0157480315</v>
      </c>
      <c r="G72" s="95">
        <f>IFERROR(__xludf.DUMMYFUNCTION("""COMPUTED_VALUE"""),0.06666666666666667)</f>
        <v>0.06666666667</v>
      </c>
      <c r="H72" s="95">
        <f>IFERROR(__xludf.DUMMYFUNCTION("""COMPUTED_VALUE"""),0.07692307692307693)</f>
        <v>0.07692307692</v>
      </c>
      <c r="I72" s="95">
        <f>IFERROR(__xludf.DUMMYFUNCTION("""COMPUTED_VALUE"""),0.023809523809523808)</f>
        <v>0.02380952381</v>
      </c>
      <c r="J72" s="95">
        <f t="shared" si="3"/>
        <v>0.002532928065</v>
      </c>
      <c r="K72" s="95">
        <f t="shared" si="4"/>
        <v>-0.05311355311</v>
      </c>
    </row>
    <row r="73">
      <c r="A73" s="93" t="str">
        <f>IFERROR(__xludf.DUMMYFUNCTION("""COMPUTED_VALUE"""),"BC Đường 3 Tháng 2-Xã Phù Cát-Bình Định")</f>
        <v>BC Đường 3 Tháng 2-Xã Phù Cát-Bình Định</v>
      </c>
      <c r="B73" s="95">
        <f>IFERROR(__xludf.DUMMYFUNCTION("""COMPUTED_VALUE"""),0.05555555555555555)</f>
        <v>0.05555555556</v>
      </c>
      <c r="C73" s="95">
        <f>IFERROR(__xludf.DUMMYFUNCTION("""COMPUTED_VALUE"""),0.011111111111111112)</f>
        <v>0.01111111111</v>
      </c>
      <c r="D73" s="95">
        <f>IFERROR(__xludf.DUMMYFUNCTION("""COMPUTED_VALUE"""),0.024691358024691357)</f>
        <v>0.02469135802</v>
      </c>
      <c r="E73" s="95">
        <f>IFERROR(__xludf.DUMMYFUNCTION("""COMPUTED_VALUE"""),0.014705882352941176)</f>
        <v>0.01470588235</v>
      </c>
      <c r="F73" s="95">
        <f>IFERROR(__xludf.DUMMYFUNCTION("""COMPUTED_VALUE"""),0.043795620437956206)</f>
        <v>0.04379562044</v>
      </c>
      <c r="G73" s="95">
        <f>IFERROR(__xludf.DUMMYFUNCTION("""COMPUTED_VALUE"""),0.044585987261146494)</f>
        <v>0.04458598726</v>
      </c>
      <c r="H73" s="95">
        <f>IFERROR(__xludf.DUMMYFUNCTION("""COMPUTED_VALUE"""),0.06306306306306306)</f>
        <v>0.06306306306</v>
      </c>
      <c r="I73" s="95">
        <f>IFERROR(__xludf.DUMMYFUNCTION("""COMPUTED_VALUE"""),0.023391812865497075)</f>
        <v>0.02339181287</v>
      </c>
      <c r="J73" s="95">
        <f t="shared" si="3"/>
        <v>-0.03216374269</v>
      </c>
      <c r="K73" s="95">
        <f t="shared" si="4"/>
        <v>-0.0396712502</v>
      </c>
    </row>
    <row r="74">
      <c r="A74" s="93" t="str">
        <f>IFERROR(__xludf.DUMMYFUNCTION("""COMPUTED_VALUE"""),"BC 99 Nguyễn Khuyến-Buôn Ma Thuột-Đắk Lắk")</f>
        <v>BC 99 Nguyễn Khuyến-Buôn Ma Thuột-Đắk Lắk</v>
      </c>
      <c r="B74" s="95">
        <f>IFERROR(__xludf.DUMMYFUNCTION("""COMPUTED_VALUE"""),0.047619047619047616)</f>
        <v>0.04761904762</v>
      </c>
      <c r="C74" s="95">
        <f>IFERROR(__xludf.DUMMYFUNCTION("""COMPUTED_VALUE"""),0.05759162303664921)</f>
        <v>0.05759162304</v>
      </c>
      <c r="D74" s="95">
        <f>IFERROR(__xludf.DUMMYFUNCTION("""COMPUTED_VALUE"""),0.05228758169934641)</f>
        <v>0.0522875817</v>
      </c>
      <c r="E74" s="95">
        <f>IFERROR(__xludf.DUMMYFUNCTION("""COMPUTED_VALUE"""),0.048)</f>
        <v>0.048</v>
      </c>
      <c r="F74" s="95">
        <f>IFERROR(__xludf.DUMMYFUNCTION("""COMPUTED_VALUE"""),0.020833333333333332)</f>
        <v>0.02083333333</v>
      </c>
      <c r="G74" s="95">
        <f>IFERROR(__xludf.DUMMYFUNCTION("""COMPUTED_VALUE"""),0.06493506493506493)</f>
        <v>0.06493506494</v>
      </c>
      <c r="H74" s="95">
        <f>IFERROR(__xludf.DUMMYFUNCTION("""COMPUTED_VALUE"""),0.08264462809917356)</f>
        <v>0.0826446281</v>
      </c>
      <c r="I74" s="95">
        <f>IFERROR(__xludf.DUMMYFUNCTION("""COMPUTED_VALUE"""),0.01935483870967742)</f>
        <v>0.01935483871</v>
      </c>
      <c r="J74" s="95">
        <f t="shared" si="3"/>
        <v>-0.02826420891</v>
      </c>
      <c r="K74" s="95">
        <f t="shared" si="4"/>
        <v>-0.06328978939</v>
      </c>
    </row>
    <row r="75">
      <c r="A75" s="93" t="str">
        <f>IFERROR(__xludf.DUMMYFUNCTION("""COMPUTED_VALUE"""),"BC Thôn Chánh Hóa-Xã Cát Tiến-Bình Định")</f>
        <v>BC Thôn Chánh Hóa-Xã Cát Tiến-Bình Định</v>
      </c>
      <c r="B75" s="95">
        <f>IFERROR(__xludf.DUMMYFUNCTION("""COMPUTED_VALUE"""),0.012658227848101266)</f>
        <v>0.01265822785</v>
      </c>
      <c r="C75" s="95">
        <f>IFERROR(__xludf.DUMMYFUNCTION("""COMPUTED_VALUE"""),0.0)</f>
        <v>0</v>
      </c>
      <c r="D75" s="95">
        <f>IFERROR(__xludf.DUMMYFUNCTION("""COMPUTED_VALUE"""),0.025)</f>
        <v>0.025</v>
      </c>
      <c r="E75" s="95">
        <f>IFERROR(__xludf.DUMMYFUNCTION("""COMPUTED_VALUE"""),0.0)</f>
        <v>0</v>
      </c>
      <c r="F75" s="95">
        <f>IFERROR(__xludf.DUMMYFUNCTION("""COMPUTED_VALUE"""),0.013888888888888888)</f>
        <v>0.01388888889</v>
      </c>
      <c r="G75" s="95">
        <f>IFERROR(__xludf.DUMMYFUNCTION("""COMPUTED_VALUE"""),0.04225352112676056)</f>
        <v>0.04225352113</v>
      </c>
      <c r="H75" s="95">
        <f>IFERROR(__xludf.DUMMYFUNCTION("""COMPUTED_VALUE"""),0.1111111111111111)</f>
        <v>0.1111111111</v>
      </c>
      <c r="I75" s="95">
        <f>IFERROR(__xludf.DUMMYFUNCTION("""COMPUTED_VALUE"""),0.01904761904761905)</f>
        <v>0.01904761905</v>
      </c>
      <c r="J75" s="95">
        <f t="shared" si="3"/>
        <v>0.0063893912</v>
      </c>
      <c r="K75" s="95">
        <f t="shared" si="4"/>
        <v>-0.09206349206</v>
      </c>
    </row>
    <row r="76">
      <c r="A76" s="93" t="str">
        <f>IFERROR(__xludf.DUMMYFUNCTION("""COMPUTED_VALUE"""),"BC 159 Tân Quảng-EaTóh-Krông Năng-Đắk Lắk")</f>
        <v>BC 159 Tân Quảng-EaTóh-Krông Năng-Đắk Lắk</v>
      </c>
      <c r="B76" s="95">
        <f>IFERROR(__xludf.DUMMYFUNCTION("""COMPUTED_VALUE"""),0.0)</f>
        <v>0</v>
      </c>
      <c r="C76" s="95">
        <f>IFERROR(__xludf.DUMMYFUNCTION("""COMPUTED_VALUE"""),0.1)</f>
        <v>0.1</v>
      </c>
      <c r="D76" s="95">
        <f>IFERROR(__xludf.DUMMYFUNCTION("""COMPUTED_VALUE"""),0.13043478260869565)</f>
        <v>0.1304347826</v>
      </c>
      <c r="E76" s="95">
        <f>IFERROR(__xludf.DUMMYFUNCTION("""COMPUTED_VALUE"""),0.0)</f>
        <v>0</v>
      </c>
      <c r="F76" s="95">
        <f>IFERROR(__xludf.DUMMYFUNCTION("""COMPUTED_VALUE"""),0.014705882352941176)</f>
        <v>0.01470588235</v>
      </c>
      <c r="G76" s="95">
        <f>IFERROR(__xludf.DUMMYFUNCTION("""COMPUTED_VALUE"""),0.04938271604938271)</f>
        <v>0.04938271605</v>
      </c>
      <c r="H76" s="95">
        <f>IFERROR(__xludf.DUMMYFUNCTION("""COMPUTED_VALUE"""),0.05084745762711865)</f>
        <v>0.05084745763</v>
      </c>
      <c r="I76" s="95">
        <f>IFERROR(__xludf.DUMMYFUNCTION("""COMPUTED_VALUE"""),0.018518518518518517)</f>
        <v>0.01851851852</v>
      </c>
      <c r="J76" s="95">
        <f t="shared" si="3"/>
        <v>0.01851851852</v>
      </c>
      <c r="K76" s="95">
        <f t="shared" si="4"/>
        <v>-0.03232893911</v>
      </c>
    </row>
    <row r="77">
      <c r="A77" s="93" t="str">
        <f>IFERROR(__xludf.DUMMYFUNCTION("""COMPUTED_VALUE"""),"BC DT644-Sông Cầu-Phú Yên")</f>
        <v>BC DT644-Sông Cầu-Phú Yên</v>
      </c>
      <c r="B77" s="95">
        <f>IFERROR(__xludf.DUMMYFUNCTION("""COMPUTED_VALUE"""),0.03680981595092025)</f>
        <v>0.03680981595</v>
      </c>
      <c r="C77" s="95">
        <f>IFERROR(__xludf.DUMMYFUNCTION("""COMPUTED_VALUE"""),0.025380710659898477)</f>
        <v>0.02538071066</v>
      </c>
      <c r="D77" s="95">
        <f>IFERROR(__xludf.DUMMYFUNCTION("""COMPUTED_VALUE"""),0.03821656050955414)</f>
        <v>0.03821656051</v>
      </c>
      <c r="E77" s="95">
        <f>IFERROR(__xludf.DUMMYFUNCTION("""COMPUTED_VALUE"""),0.029069767441860465)</f>
        <v>0.02906976744</v>
      </c>
      <c r="F77" s="95">
        <f>IFERROR(__xludf.DUMMYFUNCTION("""COMPUTED_VALUE"""),0.04891304347826087)</f>
        <v>0.04891304348</v>
      </c>
      <c r="G77" s="95">
        <f>IFERROR(__xludf.DUMMYFUNCTION("""COMPUTED_VALUE"""),0.018518518518518517)</f>
        <v>0.01851851852</v>
      </c>
      <c r="H77" s="95">
        <f>IFERROR(__xludf.DUMMYFUNCTION("""COMPUTED_VALUE"""),0.017241379310344827)</f>
        <v>0.01724137931</v>
      </c>
      <c r="I77" s="95">
        <f>IFERROR(__xludf.DUMMYFUNCTION("""COMPUTED_VALUE"""),0.018018018018018018)</f>
        <v>0.01801801802</v>
      </c>
      <c r="J77" s="95">
        <f t="shared" si="3"/>
        <v>-0.01879179793</v>
      </c>
      <c r="K77" s="95">
        <f t="shared" si="4"/>
        <v>0.0007766387077</v>
      </c>
    </row>
    <row r="78">
      <c r="A78" s="93" t="str">
        <f>IFERROR(__xludf.DUMMYFUNCTION("""COMPUTED_VALUE"""),"BC KP3 TT Hai Riềng-Sông Hinh-Phú Yên")</f>
        <v>BC KP3 TT Hai Riềng-Sông Hinh-Phú Yên</v>
      </c>
      <c r="B78" s="95">
        <f>IFERROR(__xludf.DUMMYFUNCTION("""COMPUTED_VALUE"""),0.02702702702702703)</f>
        <v>0.02702702703</v>
      </c>
      <c r="C78" s="95">
        <f>IFERROR(__xludf.DUMMYFUNCTION("""COMPUTED_VALUE"""),0.04891304347826087)</f>
        <v>0.04891304348</v>
      </c>
      <c r="D78" s="95">
        <f>IFERROR(__xludf.DUMMYFUNCTION("""COMPUTED_VALUE"""),0.02702702702702703)</f>
        <v>0.02702702703</v>
      </c>
      <c r="E78" s="95">
        <f>IFERROR(__xludf.DUMMYFUNCTION("""COMPUTED_VALUE"""),0.010101010101010102)</f>
        <v>0.0101010101</v>
      </c>
      <c r="F78" s="95">
        <f>IFERROR(__xludf.DUMMYFUNCTION("""COMPUTED_VALUE"""),0.0427807486631016)</f>
        <v>0.04278074866</v>
      </c>
      <c r="G78" s="95">
        <f>IFERROR(__xludf.DUMMYFUNCTION("""COMPUTED_VALUE"""),0.0547945205479452)</f>
        <v>0.05479452055</v>
      </c>
      <c r="H78" s="95">
        <f>IFERROR(__xludf.DUMMYFUNCTION("""COMPUTED_VALUE"""),0.034482758620689655)</f>
        <v>0.03448275862</v>
      </c>
      <c r="I78" s="95">
        <f>IFERROR(__xludf.DUMMYFUNCTION("""COMPUTED_VALUE"""),0.017142857142857144)</f>
        <v>0.01714285714</v>
      </c>
      <c r="J78" s="95">
        <f t="shared" si="3"/>
        <v>-0.009884169884</v>
      </c>
      <c r="K78" s="95">
        <f t="shared" si="4"/>
        <v>-0.01733990148</v>
      </c>
    </row>
    <row r="79">
      <c r="A79" s="93" t="str">
        <f>IFERROR(__xludf.DUMMYFUNCTION("""COMPUTED_VALUE"""),"BC 565 Trần Phú-Tuy Phước-Bình Định")</f>
        <v>BC 565 Trần Phú-Tuy Phước-Bình Định</v>
      </c>
      <c r="B79" s="95">
        <f>IFERROR(__xludf.DUMMYFUNCTION("""COMPUTED_VALUE"""),0.04405286343612335)</f>
        <v>0.04405286344</v>
      </c>
      <c r="C79" s="95">
        <f>IFERROR(__xludf.DUMMYFUNCTION("""COMPUTED_VALUE"""),0.036458333333333336)</f>
        <v>0.03645833333</v>
      </c>
      <c r="D79" s="95">
        <f>IFERROR(__xludf.DUMMYFUNCTION("""COMPUTED_VALUE"""),0.013392857142857142)</f>
        <v>0.01339285714</v>
      </c>
      <c r="E79" s="95">
        <f>IFERROR(__xludf.DUMMYFUNCTION("""COMPUTED_VALUE"""),0.03333333333333333)</f>
        <v>0.03333333333</v>
      </c>
      <c r="F79" s="95">
        <f>IFERROR(__xludf.DUMMYFUNCTION("""COMPUTED_VALUE"""),0.01834862385321101)</f>
        <v>0.01834862385</v>
      </c>
      <c r="G79" s="95">
        <f>IFERROR(__xludf.DUMMYFUNCTION("""COMPUTED_VALUE"""),0.023809523809523808)</f>
        <v>0.02380952381</v>
      </c>
      <c r="H79" s="95">
        <f>IFERROR(__xludf.DUMMYFUNCTION("""COMPUTED_VALUE"""),0.050359712230215826)</f>
        <v>0.05035971223</v>
      </c>
      <c r="I79" s="95">
        <f>IFERROR(__xludf.DUMMYFUNCTION("""COMPUTED_VALUE"""),0.015209125475285171)</f>
        <v>0.01520912548</v>
      </c>
      <c r="J79" s="95">
        <f t="shared" si="3"/>
        <v>-0.02884373796</v>
      </c>
      <c r="K79" s="95">
        <f t="shared" si="4"/>
        <v>-0.03515058675</v>
      </c>
    </row>
    <row r="80">
      <c r="A80" s="93" t="str">
        <f>IFERROR(__xludf.DUMMYFUNCTION("""COMPUTED_VALUE"""),"BC 569 Trường Chinh-Pleiku-Gia Lai")</f>
        <v>BC 569 Trường Chinh-Pleiku-Gia Lai</v>
      </c>
      <c r="B80" s="95">
        <f>IFERROR(__xludf.DUMMYFUNCTION("""COMPUTED_VALUE"""),0.015228426395939087)</f>
        <v>0.0152284264</v>
      </c>
      <c r="C80" s="95">
        <f>IFERROR(__xludf.DUMMYFUNCTION("""COMPUTED_VALUE"""),0.024242424242424242)</f>
        <v>0.02424242424</v>
      </c>
      <c r="D80" s="95">
        <f>IFERROR(__xludf.DUMMYFUNCTION("""COMPUTED_VALUE"""),0.07096774193548387)</f>
        <v>0.07096774194</v>
      </c>
      <c r="E80" s="95">
        <f>IFERROR(__xludf.DUMMYFUNCTION("""COMPUTED_VALUE"""),0.015463917525773196)</f>
        <v>0.01546391753</v>
      </c>
      <c r="F80" s="95">
        <f>IFERROR(__xludf.DUMMYFUNCTION("""COMPUTED_VALUE"""),0.03048780487804878)</f>
        <v>0.03048780488</v>
      </c>
      <c r="G80" s="95">
        <f>IFERROR(__xludf.DUMMYFUNCTION("""COMPUTED_VALUE"""),0.060240963855421686)</f>
        <v>0.06024096386</v>
      </c>
      <c r="H80" s="95">
        <f>IFERROR(__xludf.DUMMYFUNCTION("""COMPUTED_VALUE"""),0.07291666666666667)</f>
        <v>0.07291666667</v>
      </c>
      <c r="I80" s="95">
        <f>IFERROR(__xludf.DUMMYFUNCTION("""COMPUTED_VALUE"""),0.01507537688442211)</f>
        <v>0.01507537688</v>
      </c>
      <c r="J80" s="95">
        <f t="shared" si="3"/>
        <v>-0.0001530495115</v>
      </c>
      <c r="K80" s="95">
        <f t="shared" si="4"/>
        <v>-0.05784128978</v>
      </c>
    </row>
    <row r="81">
      <c r="A81" s="93" t="str">
        <f>IFERROR(__xludf.DUMMYFUNCTION("""COMPUTED_VALUE"""),"BC 838 Quang Trung-Phường Hoài Nhơn Tây-Bình Định")</f>
        <v>BC 838 Quang Trung-Phường Hoài Nhơn Tây-Bình Định</v>
      </c>
      <c r="B81" s="95">
        <f>IFERROR(__xludf.DUMMYFUNCTION("""COMPUTED_VALUE"""),0.025477707006369428)</f>
        <v>0.02547770701</v>
      </c>
      <c r="C81" s="95">
        <f>IFERROR(__xludf.DUMMYFUNCTION("""COMPUTED_VALUE"""),0.013071895424836602)</f>
        <v>0.01307189542</v>
      </c>
      <c r="D81" s="95">
        <f>IFERROR(__xludf.DUMMYFUNCTION("""COMPUTED_VALUE"""),0.029940119760479042)</f>
        <v>0.02994011976</v>
      </c>
      <c r="E81" s="95">
        <f>IFERROR(__xludf.DUMMYFUNCTION("""COMPUTED_VALUE"""),0.03676470588235294)</f>
        <v>0.03676470588</v>
      </c>
      <c r="F81" s="95">
        <f>IFERROR(__xludf.DUMMYFUNCTION("""COMPUTED_VALUE"""),0.0)</f>
        <v>0</v>
      </c>
      <c r="G81" s="95">
        <f>IFERROR(__xludf.DUMMYFUNCTION("""COMPUTED_VALUE"""),0.043859649122807015)</f>
        <v>0.04385964912</v>
      </c>
      <c r="H81" s="95">
        <f>IFERROR(__xludf.DUMMYFUNCTION("""COMPUTED_VALUE"""),0.03225806451612903)</f>
        <v>0.03225806452</v>
      </c>
      <c r="I81" s="95">
        <f>IFERROR(__xludf.DUMMYFUNCTION("""COMPUTED_VALUE"""),0.012422360248447204)</f>
        <v>0.01242236025</v>
      </c>
      <c r="J81" s="95">
        <f t="shared" si="3"/>
        <v>-0.01305534676</v>
      </c>
      <c r="K81" s="95">
        <f t="shared" si="4"/>
        <v>-0.01983570427</v>
      </c>
    </row>
    <row r="82">
      <c r="A82" s="93" t="str">
        <f>IFERROR(__xludf.DUMMYFUNCTION("""COMPUTED_VALUE"""),"BC Ea Phê-Krông Pắk-Đắk Lắk")</f>
        <v>BC Ea Phê-Krông Pắk-Đắk Lắk</v>
      </c>
      <c r="B82" s="95">
        <f>IFERROR(__xludf.DUMMYFUNCTION("""COMPUTED_VALUE"""),0.01282051282051282)</f>
        <v>0.01282051282</v>
      </c>
      <c r="C82" s="95">
        <f>IFERROR(__xludf.DUMMYFUNCTION("""COMPUTED_VALUE"""),0.06521739130434782)</f>
        <v>0.0652173913</v>
      </c>
      <c r="D82" s="95">
        <f>IFERROR(__xludf.DUMMYFUNCTION("""COMPUTED_VALUE"""),0.09333333333333334)</f>
        <v>0.09333333333</v>
      </c>
      <c r="E82" s="95">
        <f>IFERROR(__xludf.DUMMYFUNCTION("""COMPUTED_VALUE"""),0.05813953488372093)</f>
        <v>0.05813953488</v>
      </c>
      <c r="F82" s="95">
        <f>IFERROR(__xludf.DUMMYFUNCTION("""COMPUTED_VALUE"""),0.09574468085106383)</f>
        <v>0.09574468085</v>
      </c>
      <c r="G82" s="95">
        <f>IFERROR(__xludf.DUMMYFUNCTION("""COMPUTED_VALUE"""),0.056338028169014086)</f>
        <v>0.05633802817</v>
      </c>
      <c r="H82" s="95">
        <f>IFERROR(__xludf.DUMMYFUNCTION("""COMPUTED_VALUE"""),0.13402061855670103)</f>
        <v>0.1340206186</v>
      </c>
      <c r="I82" s="95">
        <f>IFERROR(__xludf.DUMMYFUNCTION("""COMPUTED_VALUE"""),0.011111111111111112)</f>
        <v>0.01111111111</v>
      </c>
      <c r="J82" s="95">
        <f t="shared" si="3"/>
        <v>-0.001709401709</v>
      </c>
      <c r="K82" s="95">
        <f t="shared" si="4"/>
        <v>-0.1229095074</v>
      </c>
    </row>
    <row r="83">
      <c r="A83" s="93" t="str">
        <f>IFERROR(__xludf.DUMMYFUNCTION("""COMPUTED_VALUE"""),"BC 44 Quang Trung-Tây Sơn-Bình Định")</f>
        <v>BC 44 Quang Trung-Tây Sơn-Bình Định</v>
      </c>
      <c r="B83" s="95">
        <f>IFERROR(__xludf.DUMMYFUNCTION("""COMPUTED_VALUE"""),0.05142857142857143)</f>
        <v>0.05142857143</v>
      </c>
      <c r="C83" s="95">
        <f>IFERROR(__xludf.DUMMYFUNCTION("""COMPUTED_VALUE"""),0.029239766081871343)</f>
        <v>0.02923976608</v>
      </c>
      <c r="D83" s="95">
        <f>IFERROR(__xludf.DUMMYFUNCTION("""COMPUTED_VALUE"""),0.025157232704402517)</f>
        <v>0.0251572327</v>
      </c>
      <c r="E83" s="95">
        <f>IFERROR(__xludf.DUMMYFUNCTION("""COMPUTED_VALUE"""),0.026143790849673203)</f>
        <v>0.02614379085</v>
      </c>
      <c r="F83" s="95">
        <f>IFERROR(__xludf.DUMMYFUNCTION("""COMPUTED_VALUE"""),0.027586206896551724)</f>
        <v>0.0275862069</v>
      </c>
      <c r="G83" s="95">
        <f>IFERROR(__xludf.DUMMYFUNCTION("""COMPUTED_VALUE"""),0.027972027972027972)</f>
        <v>0.02797202797</v>
      </c>
      <c r="H83" s="95">
        <f>IFERROR(__xludf.DUMMYFUNCTION("""COMPUTED_VALUE"""),0.03571428571428571)</f>
        <v>0.03571428571</v>
      </c>
      <c r="I83" s="95">
        <f>IFERROR(__xludf.DUMMYFUNCTION("""COMPUTED_VALUE"""),0.010256410256410256)</f>
        <v>0.01025641026</v>
      </c>
      <c r="J83" s="95">
        <f t="shared" si="3"/>
        <v>-0.04117216117</v>
      </c>
      <c r="K83" s="95">
        <f t="shared" si="4"/>
        <v>-0.02545787546</v>
      </c>
    </row>
    <row r="84">
      <c r="A84" s="93" t="str">
        <f>IFERROR(__xludf.DUMMYFUNCTION("""COMPUTED_VALUE"""),"BC 27 Nguyễn Tất Thành-Tuy Hòa-Phú Yên")</f>
        <v>BC 27 Nguyễn Tất Thành-Tuy Hòa-Phú Yên</v>
      </c>
      <c r="B84" s="95">
        <f>IFERROR(__xludf.DUMMYFUNCTION("""COMPUTED_VALUE"""),0.019801980198019802)</f>
        <v>0.0198019802</v>
      </c>
      <c r="C84" s="95">
        <f>IFERROR(__xludf.DUMMYFUNCTION("""COMPUTED_VALUE"""),0.038461538461538464)</f>
        <v>0.03846153846</v>
      </c>
      <c r="D84" s="95">
        <f>IFERROR(__xludf.DUMMYFUNCTION("""COMPUTED_VALUE"""),0.0)</f>
        <v>0</v>
      </c>
      <c r="E84" s="95">
        <f>IFERROR(__xludf.DUMMYFUNCTION("""COMPUTED_VALUE"""),0.010869565217391304)</f>
        <v>0.01086956522</v>
      </c>
      <c r="F84" s="95">
        <f>IFERROR(__xludf.DUMMYFUNCTION("""COMPUTED_VALUE"""),0.05172413793103448)</f>
        <v>0.05172413793</v>
      </c>
      <c r="G84" s="95">
        <f>IFERROR(__xludf.DUMMYFUNCTION("""COMPUTED_VALUE"""),0.05128205128205128)</f>
        <v>0.05128205128</v>
      </c>
      <c r="H84" s="95">
        <f>IFERROR(__xludf.DUMMYFUNCTION("""COMPUTED_VALUE"""),0.0)</f>
        <v>0</v>
      </c>
      <c r="I84" s="95">
        <f>IFERROR(__xludf.DUMMYFUNCTION("""COMPUTED_VALUE"""),0.009345794392523364)</f>
        <v>0.009345794393</v>
      </c>
      <c r="J84" s="95">
        <f t="shared" si="3"/>
        <v>-0.01045618581</v>
      </c>
      <c r="K84" s="95">
        <f t="shared" si="4"/>
        <v>0.009345794393</v>
      </c>
    </row>
    <row r="85">
      <c r="A85" s="93" t="str">
        <f>IFERROR(__xludf.DUMMYFUNCTION("""COMPUTED_VALUE"""),"BC 127B Lê Văn Tám-Thị Trấn Kbang-Huyện Kbang-Gia Lai")</f>
        <v>BC 127B Lê Văn Tám-Thị Trấn Kbang-Huyện Kbang-Gia Lai</v>
      </c>
      <c r="B85" s="95">
        <f>IFERROR(__xludf.DUMMYFUNCTION("""COMPUTED_VALUE"""),0.04395604395604396)</f>
        <v>0.04395604396</v>
      </c>
      <c r="C85" s="95">
        <f>IFERROR(__xludf.DUMMYFUNCTION("""COMPUTED_VALUE"""),0.09375)</f>
        <v>0.09375</v>
      </c>
      <c r="D85" s="95">
        <f>IFERROR(__xludf.DUMMYFUNCTION("""COMPUTED_VALUE"""),0.01834862385321101)</f>
        <v>0.01834862385</v>
      </c>
      <c r="E85" s="95">
        <f>IFERROR(__xludf.DUMMYFUNCTION("""COMPUTED_VALUE"""),0.033707865168539325)</f>
        <v>0.03370786517</v>
      </c>
      <c r="F85" s="95">
        <f>IFERROR(__xludf.DUMMYFUNCTION("""COMPUTED_VALUE"""),0.04132231404958678)</f>
        <v>0.04132231405</v>
      </c>
      <c r="G85" s="95">
        <f>IFERROR(__xludf.DUMMYFUNCTION("""COMPUTED_VALUE"""),0.04716981132075472)</f>
        <v>0.04716981132</v>
      </c>
      <c r="H85" s="95">
        <f>IFERROR(__xludf.DUMMYFUNCTION("""COMPUTED_VALUE"""),0.07272727272727272)</f>
        <v>0.07272727273</v>
      </c>
      <c r="I85" s="95">
        <f>IFERROR(__xludf.DUMMYFUNCTION("""COMPUTED_VALUE"""),0.008849557522123894)</f>
        <v>0.008849557522</v>
      </c>
      <c r="J85" s="95">
        <f t="shared" si="3"/>
        <v>-0.03510648643</v>
      </c>
      <c r="K85" s="95">
        <f t="shared" si="4"/>
        <v>-0.06387771521</v>
      </c>
    </row>
    <row r="86">
      <c r="A86" s="93" t="str">
        <f>IFERROR(__xludf.DUMMYFUNCTION("""COMPUTED_VALUE"""),"BC 138 Trần Phú- Đồng Xuân- Phú Yên")</f>
        <v>BC 138 Trần Phú- Đồng Xuân- Phú Yên</v>
      </c>
      <c r="B86" s="95">
        <f>IFERROR(__xludf.DUMMYFUNCTION("""COMPUTED_VALUE"""),0.06944444444444445)</f>
        <v>0.06944444444</v>
      </c>
      <c r="C86" s="95">
        <f>IFERROR(__xludf.DUMMYFUNCTION("""COMPUTED_VALUE"""),0.024691358024691357)</f>
        <v>0.02469135802</v>
      </c>
      <c r="D86" s="95">
        <f>IFERROR(__xludf.DUMMYFUNCTION("""COMPUTED_VALUE"""),0.04054054054054054)</f>
        <v>0.04054054054</v>
      </c>
      <c r="E86" s="95">
        <f>IFERROR(__xludf.DUMMYFUNCTION("""COMPUTED_VALUE"""),0.02702702702702703)</f>
        <v>0.02702702703</v>
      </c>
      <c r="F86" s="95">
        <f>IFERROR(__xludf.DUMMYFUNCTION("""COMPUTED_VALUE"""),0.06329113924050633)</f>
        <v>0.06329113924</v>
      </c>
      <c r="G86" s="95">
        <f>IFERROR(__xludf.DUMMYFUNCTION("""COMPUTED_VALUE"""),0.03571428571428571)</f>
        <v>0.03571428571</v>
      </c>
      <c r="H86" s="95">
        <f>IFERROR(__xludf.DUMMYFUNCTION("""COMPUTED_VALUE"""),0.06818181818181818)</f>
        <v>0.06818181818</v>
      </c>
      <c r="I86" s="95">
        <f>IFERROR(__xludf.DUMMYFUNCTION("""COMPUTED_VALUE"""),0.008849557522123894)</f>
        <v>0.008849557522</v>
      </c>
      <c r="J86" s="95">
        <f t="shared" si="3"/>
        <v>-0.06059488692</v>
      </c>
      <c r="K86" s="95">
        <f t="shared" si="4"/>
        <v>-0.05933226066</v>
      </c>
    </row>
    <row r="87">
      <c r="A87" s="127" t="str">
        <f>IFERROR(__xludf.DUMMYFUNCTION("""COMPUTED_VALUE"""),"BC Số 35 Phạm Văn Đồng-Tăng Bạt Hổ-Hoài Ân-Bình Định")</f>
        <v>BC Số 35 Phạm Văn Đồng-Tăng Bạt Hổ-Hoài Ân-Bình Định</v>
      </c>
      <c r="B87" s="95">
        <f>IFERROR(__xludf.DUMMYFUNCTION("""COMPUTED_VALUE"""),0.03488372093023256)</f>
        <v>0.03488372093</v>
      </c>
      <c r="C87" s="95">
        <f>IFERROR(__xludf.DUMMYFUNCTION("""COMPUTED_VALUE"""),0.05434782608695652)</f>
        <v>0.05434782609</v>
      </c>
      <c r="D87" s="95">
        <f>IFERROR(__xludf.DUMMYFUNCTION("""COMPUTED_VALUE"""),0.030303030303030304)</f>
        <v>0.0303030303</v>
      </c>
      <c r="E87" s="95">
        <f>IFERROR(__xludf.DUMMYFUNCTION("""COMPUTED_VALUE"""),0.045454545454545456)</f>
        <v>0.04545454545</v>
      </c>
      <c r="F87" s="95">
        <f>IFERROR(__xludf.DUMMYFUNCTION("""COMPUTED_VALUE"""),0.044444444444444446)</f>
        <v>0.04444444444</v>
      </c>
      <c r="G87" s="95">
        <f>IFERROR(__xludf.DUMMYFUNCTION("""COMPUTED_VALUE"""),0.05434782608695652)</f>
        <v>0.05434782609</v>
      </c>
      <c r="H87" s="95">
        <f>IFERROR(__xludf.DUMMYFUNCTION("""COMPUTED_VALUE"""),0.04838709677419355)</f>
        <v>0.04838709677</v>
      </c>
      <c r="I87" s="95">
        <f>IFERROR(__xludf.DUMMYFUNCTION("""COMPUTED_VALUE"""),0.00819672131147541)</f>
        <v>0.008196721311</v>
      </c>
      <c r="J87" s="95">
        <f t="shared" si="3"/>
        <v>-0.02668699962</v>
      </c>
      <c r="K87" s="95">
        <f t="shared" si="4"/>
        <v>-0.04019037546</v>
      </c>
    </row>
    <row r="88">
      <c r="A88" s="127" t="str">
        <f>IFERROR(__xludf.DUMMYFUNCTION("""COMPUTED_VALUE"""),"BC 263 Đống Đa-Quy Nhơn-Bình Định")</f>
        <v>BC 263 Đống Đa-Quy Nhơn-Bình Định</v>
      </c>
      <c r="B88" s="95">
        <f>IFERROR(__xludf.DUMMYFUNCTION("""COMPUTED_VALUE"""),0.038869257950530034)</f>
        <v>0.03886925795</v>
      </c>
      <c r="C88" s="95">
        <f>IFERROR(__xludf.DUMMYFUNCTION("""COMPUTED_VALUE"""),0.04201680672268908)</f>
        <v>0.04201680672</v>
      </c>
      <c r="D88" s="95">
        <f>IFERROR(__xludf.DUMMYFUNCTION("""COMPUTED_VALUE"""),0.04245283018867924)</f>
        <v>0.04245283019</v>
      </c>
      <c r="E88" s="95">
        <f>IFERROR(__xludf.DUMMYFUNCTION("""COMPUTED_VALUE"""),0.020512820512820513)</f>
        <v>0.02051282051</v>
      </c>
      <c r="F88" s="95">
        <f>IFERROR(__xludf.DUMMYFUNCTION("""COMPUTED_VALUE"""),0.0391304347826087)</f>
        <v>0.03913043478</v>
      </c>
      <c r="G88" s="95">
        <f>IFERROR(__xludf.DUMMYFUNCTION("""COMPUTED_VALUE"""),0.06310679611650485)</f>
        <v>0.06310679612</v>
      </c>
      <c r="H88" s="95">
        <f>IFERROR(__xludf.DUMMYFUNCTION("""COMPUTED_VALUE"""),0.08148148148148149)</f>
        <v>0.08148148148</v>
      </c>
      <c r="I88" s="95">
        <f>IFERROR(__xludf.DUMMYFUNCTION("""COMPUTED_VALUE"""),0.007194244604316547)</f>
        <v>0.007194244604</v>
      </c>
      <c r="J88" s="95">
        <f t="shared" si="3"/>
        <v>-0.03167501335</v>
      </c>
      <c r="K88" s="95">
        <f t="shared" si="4"/>
        <v>-0.07428723688</v>
      </c>
    </row>
    <row r="89">
      <c r="A89" s="127" t="str">
        <f>IFERROR(__xludf.DUMMYFUNCTION("""COMPUTED_VALUE"""),"Điểm xử lý hàng Thôn Xuân Phong Nam-An Lão-Bình Định")</f>
        <v>Điểm xử lý hàng Thôn Xuân Phong Nam-An Lão-Bình Định</v>
      </c>
      <c r="B89" s="129">
        <f>IFERROR(__xludf.DUMMYFUNCTION("""COMPUTED_VALUE"""),0.02857142857142857)</f>
        <v>0.02857142857</v>
      </c>
      <c r="C89" s="129">
        <f>IFERROR(__xludf.DUMMYFUNCTION("""COMPUTED_VALUE"""),0.022727272727272728)</f>
        <v>0.02272727273</v>
      </c>
      <c r="D89" s="129">
        <f>IFERROR(__xludf.DUMMYFUNCTION("""COMPUTED_VALUE"""),0.0)</f>
        <v>0</v>
      </c>
      <c r="E89" s="129">
        <f>IFERROR(__xludf.DUMMYFUNCTION("""COMPUTED_VALUE"""),0.02040816326530612)</f>
        <v>0.02040816327</v>
      </c>
      <c r="F89" s="129">
        <f>IFERROR(__xludf.DUMMYFUNCTION("""COMPUTED_VALUE"""),0.0)</f>
        <v>0</v>
      </c>
      <c r="G89" s="129">
        <f>IFERROR(__xludf.DUMMYFUNCTION("""COMPUTED_VALUE"""),0.075)</f>
        <v>0.075</v>
      </c>
      <c r="H89" s="129">
        <f>IFERROR(__xludf.DUMMYFUNCTION("""COMPUTED_VALUE"""),0.08)</f>
        <v>0.08</v>
      </c>
      <c r="I89" s="129">
        <f>IFERROR(__xludf.DUMMYFUNCTION("""COMPUTED_VALUE"""),0.0)</f>
        <v>0</v>
      </c>
      <c r="J89" s="95">
        <f t="shared" si="3"/>
        <v>-0.02857142857</v>
      </c>
      <c r="K89" s="95">
        <f t="shared" si="4"/>
        <v>-0.08</v>
      </c>
    </row>
    <row r="90">
      <c r="A90" s="127" t="str">
        <f>IFERROR(__xludf.DUMMYFUNCTION("""COMPUTED_VALUE"""),"BC 225 Phạm Văn Đồng-Buôn Ma Thuột-Đắk Lắk")</f>
        <v>BC 225 Phạm Văn Đồng-Buôn Ma Thuột-Đắk Lắk</v>
      </c>
      <c r="B90" s="129">
        <f>IFERROR(__xludf.DUMMYFUNCTION("""COMPUTED_VALUE"""),1.0)</f>
        <v>1</v>
      </c>
      <c r="C90" s="129">
        <f>IFERROR(__xludf.DUMMYFUNCTION("""COMPUTED_VALUE"""),1.0)</f>
        <v>1</v>
      </c>
      <c r="D90" s="129">
        <f>IFERROR(__xludf.DUMMYFUNCTION("""COMPUTED_VALUE"""),1.0)</f>
        <v>1</v>
      </c>
      <c r="E90" s="128"/>
      <c r="F90" s="129">
        <f>IFERROR(__xludf.DUMMYFUNCTION("""COMPUTED_VALUE"""),1.0)</f>
        <v>1</v>
      </c>
      <c r="G90" s="128"/>
      <c r="H90" s="128"/>
      <c r="I90" s="128"/>
      <c r="J90" s="95">
        <f t="shared" si="3"/>
        <v>-1</v>
      </c>
      <c r="K90" s="94">
        <f t="shared" si="4"/>
        <v>0</v>
      </c>
    </row>
    <row r="91">
      <c r="A91" s="48"/>
      <c r="B91" s="48"/>
      <c r="C91" s="48"/>
      <c r="D91" s="48"/>
      <c r="E91" s="48"/>
      <c r="F91" s="48"/>
      <c r="G91" s="48"/>
      <c r="H91" s="48"/>
      <c r="I91" s="48"/>
    </row>
    <row r="92">
      <c r="A92" s="48"/>
      <c r="B92" s="48"/>
      <c r="C92" s="48"/>
      <c r="D92" s="48"/>
      <c r="E92" s="48"/>
      <c r="F92" s="48"/>
      <c r="G92" s="48"/>
      <c r="H92" s="48"/>
      <c r="I92" s="48"/>
    </row>
    <row r="93">
      <c r="A93" s="48"/>
      <c r="B93" s="48"/>
      <c r="C93" s="48"/>
      <c r="D93" s="48"/>
      <c r="E93" s="48"/>
      <c r="F93" s="48"/>
      <c r="G93" s="48"/>
      <c r="H93" s="48"/>
      <c r="I93" s="48"/>
    </row>
  </sheetData>
  <mergeCells count="4">
    <mergeCell ref="B1:H1"/>
    <mergeCell ref="J1:K1"/>
    <mergeCell ref="B23:H23"/>
    <mergeCell ref="J23:K23"/>
  </mergeCells>
  <conditionalFormatting sqref="J25:J90">
    <cfRule type="cellIs" dxfId="3" priority="1" operator="greaterThan">
      <formula>"0%"</formula>
    </cfRule>
  </conditionalFormatting>
  <conditionalFormatting sqref="K25:K90">
    <cfRule type="cellIs" dxfId="2" priority="2" operator="greaterThan">
      <formula>"0%"</formula>
    </cfRule>
  </conditionalFormatting>
  <conditionalFormatting sqref="J3:J17">
    <cfRule type="cellIs" dxfId="3" priority="3" operator="greaterThan">
      <formula>"0%"</formula>
    </cfRule>
  </conditionalFormatting>
  <conditionalFormatting sqref="K3:K17">
    <cfRule type="cellIs" dxfId="3" priority="4" operator="greaterThan">
      <formula>"0%"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75"/>
  <cols>
    <col customWidth="1" min="1" max="1" width="7.13"/>
    <col customWidth="1" min="2" max="2" width="11.5"/>
    <col customWidth="1" min="3" max="3" width="42.5"/>
    <col customWidth="1" min="5" max="5" width="11.0"/>
    <col customWidth="1" min="6" max="6" width="11.13"/>
    <col customWidth="1" min="7" max="7" width="11.5"/>
    <col customWidth="1" min="8" max="8" width="11.38"/>
    <col customWidth="1" min="9" max="9" width="10.5"/>
    <col customWidth="1" min="10" max="10" width="11.25"/>
    <col customWidth="1" min="11" max="11" width="10.75"/>
    <col customWidth="1" min="12" max="12" width="11.13"/>
    <col customWidth="1" min="13" max="13" width="15.38"/>
    <col customWidth="1" min="14" max="14" width="23.13"/>
    <col customWidth="1" min="15" max="15" width="13.38"/>
  </cols>
  <sheetData>
    <row r="1">
      <c r="A1" s="274" t="s">
        <v>44</v>
      </c>
      <c r="D1" s="275"/>
      <c r="M1" s="276">
        <f>COUNTA(C4:C997)</f>
        <v>0</v>
      </c>
      <c r="N1" s="275"/>
      <c r="O1" s="275"/>
      <c r="P1" s="275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>
      <c r="A2" s="277"/>
      <c r="B2" s="277"/>
      <c r="C2" s="277"/>
      <c r="D2" s="277"/>
      <c r="E2" s="277"/>
      <c r="F2" s="277"/>
      <c r="G2" s="278">
        <f>IFERROR(__xludf.DUMMYFUNCTION("IMPORTRANGE(""https://docs.google.com/spreadsheets/d/1Fint4c8RWHcfziIgMl-SRQ3DmPR7xmE2fwvCDcphU1Y/edit?gid=1949423866#gid=1949423866"",""Tổng quan BC cảnh báo!G4"")"),46162.0)</f>
        <v>46162</v>
      </c>
      <c r="H2" s="140"/>
      <c r="I2" s="279">
        <f>G2-1</f>
        <v>46161</v>
      </c>
      <c r="J2" s="140"/>
      <c r="K2" s="280">
        <f>I2-1</f>
        <v>46160</v>
      </c>
      <c r="L2" s="140"/>
      <c r="M2" s="277"/>
      <c r="N2" s="277"/>
      <c r="O2" s="281"/>
      <c r="P2" s="282" t="s">
        <v>45</v>
      </c>
      <c r="Q2" s="140"/>
      <c r="R2" s="283" t="s">
        <v>46</v>
      </c>
      <c r="S2" s="283" t="s">
        <v>47</v>
      </c>
      <c r="T2" s="283"/>
      <c r="U2" s="283"/>
      <c r="V2" s="284">
        <v>46099.0</v>
      </c>
      <c r="W2" s="283"/>
      <c r="X2" s="283"/>
      <c r="Y2" s="283"/>
      <c r="Z2" s="283"/>
      <c r="AA2" s="283"/>
      <c r="AB2" s="283"/>
      <c r="AC2" s="285"/>
      <c r="AD2" s="285"/>
      <c r="AE2" s="285"/>
      <c r="AF2" s="285"/>
      <c r="AG2" s="285"/>
      <c r="AH2" s="285"/>
      <c r="AI2" s="285"/>
      <c r="AJ2" s="285"/>
      <c r="AK2" s="285"/>
    </row>
    <row r="3">
      <c r="A3" s="277" t="str">
        <f>IFERROR(__xludf.DUMMYFUNCTION("QUERY(IMPORTRANGE(""https://docs.google.com/spreadsheets/d/1Fint4c8RWHcfziIgMl-SRQ3DmPR7xmE2fwvCDcphU1Y/edit?gid=1949423866#gid=1949423866"",""Tổng quan BC cảnh báo!A5:AB""),""select * Where Col1='TNG'"")"),"Vùng")</f>
        <v>Vùng</v>
      </c>
      <c r="B3" s="277" t="str">
        <f>IFERROR(__xludf.DUMMYFUNCTION("""COMPUTED_VALUE"""),"Tỉnh/Quận")</f>
        <v>Tỉnh/Quận</v>
      </c>
      <c r="C3" s="277" t="str">
        <f>IFERROR(__xludf.DUMMYFUNCTION("""COMPUTED_VALUE"""),"BC (Danh sách BC cảnh báo sẽ cập nhật lúc 8g30 mỗi ngày)")</f>
        <v>BC (Danh sách BC cảnh báo sẽ cập nhật lúc 8g30 mỗi ngày)</v>
      </c>
      <c r="D3" s="277" t="str">
        <f>IFERROR(__xludf.DUMMYFUNCTION("""COMPUTED_VALUE"""),"% GTC 7 ngày gần nhất")</f>
        <v>% GTC 7 ngày gần nhất</v>
      </c>
      <c r="E3" s="277" t="str">
        <f>IFERROR(__xludf.DUMMYFUNCTION("""COMPUTED_VALUE"""),"% GTC lịch sử tốt nhất (tính từ 08/2025)")</f>
        <v>% GTC lịch sử tốt nhất (tính từ 08/2025)</v>
      </c>
      <c r="F3" s="277" t="str">
        <f>IFERROR(__xludf.DUMMYFUNCTION("""COMPUTED_VALUE"""),"% GTC cần đạt")</f>
        <v>% GTC cần đạt</v>
      </c>
      <c r="G3" s="286" t="str">
        <f>IFERROR(__xludf.DUMMYFUNCTION("""COMPUTED_VALUE"""),"% GTC Ngày N-1")</f>
        <v>% GTC Ngày N-1</v>
      </c>
      <c r="H3" s="286" t="str">
        <f>IFERROR(__xludf.DUMMYFUNCTION("""COMPUTED_VALUE"""),"Vol GTC Ngày N-1")</f>
        <v>Vol GTC Ngày N-1</v>
      </c>
      <c r="I3" s="287" t="str">
        <f>IFERROR(__xludf.DUMMYFUNCTION("""COMPUTED_VALUE"""),"% GTC Ngày N-2")</f>
        <v>% GTC Ngày N-2</v>
      </c>
      <c r="J3" s="287" t="str">
        <f>IFERROR(__xludf.DUMMYFUNCTION("""COMPUTED_VALUE"""),"Vol GTC Ngày N-2")</f>
        <v>Vol GTC Ngày N-2</v>
      </c>
      <c r="K3" s="288" t="str">
        <f>IFERROR(__xludf.DUMMYFUNCTION("""COMPUTED_VALUE"""),"% GTC Ngày N-3")</f>
        <v>% GTC Ngày N-3</v>
      </c>
      <c r="L3" s="288" t="str">
        <f>IFERROR(__xludf.DUMMYFUNCTION("""COMPUTED_VALUE"""),"Vol GTC Ngày N-3")</f>
        <v>Vol GTC Ngày N-3</v>
      </c>
      <c r="M3" s="277" t="str">
        <f>IFERROR(__xludf.DUMMYFUNCTION("""COMPUTED_VALUE"""),"Tỷ trọng volume cần giao / toàn quốc của ngày N-1")</f>
        <v>Tỷ trọng volume cần giao / toàn quốc của ngày N-1</v>
      </c>
      <c r="N3" s="277" t="str">
        <f>IFERROR(__xludf.DUMMYFUNCTION("""COMPUTED_VALUE"""),"Hàng đang ở BC nhưng chưa gán giao trước 11g ngày hôm nay 
(Cập nhật lúc 11h mỗi ngày)")</f>
        <v>Hàng đang ở BC nhưng chưa gán giao trước 11g ngày hôm nay 
(Cập nhật lúc 11h mỗi ngày)</v>
      </c>
      <c r="O3" s="281" t="str">
        <f>IFERROR(__xludf.DUMMYFUNCTION("""COMPUTED_VALUE"""),"Nhóm hàng đã về BC giao nhưng chưa gán giao")</f>
        <v>Nhóm hàng đã về BC giao nhưng chưa gán giao</v>
      </c>
      <c r="P3" s="281" t="str">
        <f>IFERROR(__xludf.DUMMYFUNCTION("""COMPUTED_VALUE"""),"Đơn tồn Backlog giao")</f>
        <v>Đơn tồn Backlog giao</v>
      </c>
      <c r="Q3" s="283" t="str">
        <f>IFERROR(__xludf.DUMMYFUNCTION("""COMPUTED_VALUE"""),"Số ngày Tb 1 đơn hàng tồn")</f>
        <v>Số ngày Tb 1 đơn hàng tồn</v>
      </c>
      <c r="R3" s="283" t="str">
        <f>IFERROR(__xludf.DUMMYFUNCTION("""COMPUTED_VALUE"""),"% Hối giao 7 ngày gần nhất")</f>
        <v>% Hối giao 7 ngày gần nhất</v>
      </c>
      <c r="S3" s="283" t="str">
        <f>IFERROR(__xludf.DUMMYFUNCTION("""COMPUTED_VALUE"""),"Tỷ lệ Hối giao tốt nhất lịch sử")</f>
        <v>Tỷ lệ Hối giao tốt nhất lịch sử</v>
      </c>
      <c r="T3" s="283" t="str">
        <f>IFERROR(__xludf.DUMMYFUNCTION("""COMPUTED_VALUE"""),"Tỷ trọng Hối giao / cả nước")</f>
        <v>Tỷ trọng Hối giao / cả nước</v>
      </c>
      <c r="U3" s="283" t="str">
        <f>IFERROR(__xludf.DUMMYFUNCTION("""COMPUTED_VALUE"""),"Vol GTC / ngày của 7 ngày gần nhất")</f>
        <v>Vol GTC / ngày của 7 ngày gần nhất</v>
      </c>
      <c r="V3" s="283" t="str">
        <f>IFERROR(__xludf.DUMMYFUNCTION("""COMPUTED_VALUE"""),"TỔNG HÀNG CẦN GIAO")</f>
        <v>TỔNG HÀNG CẦN GIAO</v>
      </c>
      <c r="W3" s="283" t="str">
        <f>IFERROR(__xludf.DUMMYFUNCTION("""COMPUTED_VALUE"""),"Volume Hàng Tồn")</f>
        <v>Volume Hàng Tồn</v>
      </c>
      <c r="X3" s="283" t="str">
        <f>IFERROR(__xludf.DUMMYFUNCTION("""COMPUTED_VALUE"""),"Volume Hàng Mới")</f>
        <v>Volume Hàng Mới</v>
      </c>
      <c r="Y3" s="283" t="str">
        <f>IFERROR(__xludf.DUMMYFUNCTION("""COMPUTED_VALUE"""),"Số ngày dự kiến clear hàng")</f>
        <v>Số ngày dự kiến clear hàng</v>
      </c>
      <c r="Z3" s="283" t="str">
        <f>IFERROR(__xludf.DUMMYFUNCTION("""COMPUTED_VALUE"""),"Cấp độ")</f>
        <v>Cấp độ</v>
      </c>
      <c r="AA3" s="283" t="str">
        <f>IFERROR(__xludf.DUMMYFUNCTION("""COMPUTED_VALUE"""),"Filter")</f>
        <v>Filter</v>
      </c>
      <c r="AB3" s="283" t="str">
        <f>IFERROR(__xludf.DUMMYFUNCTION("""COMPUTED_VALUE"""),"Số ngày xuất hiện trong DS cảnh báo tính từ 1/8")</f>
        <v>Số ngày xuất hiện trong DS cảnh báo tính từ 1/8</v>
      </c>
      <c r="AC3" s="285"/>
      <c r="AD3" s="285"/>
      <c r="AE3" s="285"/>
      <c r="AF3" s="285"/>
      <c r="AG3" s="285"/>
      <c r="AH3" s="285"/>
      <c r="AI3" s="285"/>
      <c r="AJ3" s="285"/>
      <c r="AK3" s="285"/>
    </row>
    <row r="4">
      <c r="A4" s="289"/>
      <c r="B4" s="289"/>
      <c r="C4" s="290"/>
      <c r="D4" s="291"/>
      <c r="E4" s="291"/>
      <c r="F4" s="291"/>
      <c r="G4" s="291"/>
      <c r="H4" s="292"/>
      <c r="I4" s="291"/>
      <c r="J4" s="292"/>
      <c r="K4" s="291"/>
      <c r="L4" s="292"/>
      <c r="M4" s="291"/>
      <c r="N4" s="292"/>
      <c r="O4" s="293"/>
      <c r="P4" s="293"/>
      <c r="Q4" s="294"/>
      <c r="R4" s="295"/>
      <c r="S4" s="296"/>
      <c r="T4" s="296"/>
      <c r="U4" s="293"/>
      <c r="V4" s="293"/>
      <c r="W4" s="293"/>
      <c r="X4" s="293"/>
      <c r="Y4" s="294"/>
      <c r="Z4" s="293"/>
      <c r="AA4" s="293"/>
      <c r="AB4" s="293"/>
      <c r="AC4" s="297"/>
      <c r="AD4" s="297"/>
      <c r="AE4" s="297"/>
      <c r="AF4" s="297"/>
      <c r="AG4" s="297"/>
      <c r="AH4" s="297"/>
      <c r="AI4" s="297"/>
      <c r="AJ4" s="297"/>
      <c r="AK4" s="297"/>
    </row>
    <row r="5">
      <c r="A5" s="289"/>
      <c r="B5" s="289"/>
      <c r="C5" s="290"/>
      <c r="D5" s="291"/>
      <c r="E5" s="291"/>
      <c r="F5" s="291"/>
      <c r="G5" s="291"/>
      <c r="H5" s="292"/>
      <c r="I5" s="291"/>
      <c r="J5" s="292"/>
      <c r="K5" s="291"/>
      <c r="L5" s="292"/>
      <c r="M5" s="291"/>
      <c r="N5" s="292"/>
      <c r="O5" s="293"/>
      <c r="P5" s="293"/>
      <c r="Q5" s="294"/>
      <c r="R5" s="296"/>
      <c r="S5" s="296"/>
      <c r="T5" s="296"/>
      <c r="U5" s="293"/>
      <c r="V5" s="293"/>
      <c r="W5" s="293"/>
      <c r="X5" s="293"/>
      <c r="Y5" s="294"/>
      <c r="Z5" s="293"/>
      <c r="AA5" s="293"/>
      <c r="AB5" s="293"/>
      <c r="AC5" s="297"/>
      <c r="AD5" s="297"/>
      <c r="AE5" s="297"/>
      <c r="AF5" s="297"/>
      <c r="AG5" s="297"/>
      <c r="AH5" s="297"/>
      <c r="AI5" s="297"/>
      <c r="AJ5" s="297"/>
      <c r="AK5" s="297"/>
    </row>
    <row r="6">
      <c r="A6" s="289"/>
      <c r="B6" s="289"/>
      <c r="C6" s="290"/>
      <c r="D6" s="291"/>
      <c r="E6" s="291"/>
      <c r="F6" s="291"/>
      <c r="G6" s="291"/>
      <c r="H6" s="292"/>
      <c r="I6" s="291"/>
      <c r="J6" s="292"/>
      <c r="K6" s="291"/>
      <c r="L6" s="292"/>
      <c r="M6" s="291"/>
      <c r="N6" s="292"/>
      <c r="O6" s="293"/>
      <c r="P6" s="293"/>
      <c r="Q6" s="294"/>
      <c r="R6" s="295"/>
      <c r="S6" s="296"/>
      <c r="T6" s="296"/>
      <c r="U6" s="293"/>
      <c r="V6" s="293"/>
      <c r="W6" s="293"/>
      <c r="X6" s="293"/>
      <c r="Y6" s="294"/>
      <c r="Z6" s="293"/>
      <c r="AA6" s="293"/>
      <c r="AB6" s="293"/>
      <c r="AC6" s="297"/>
      <c r="AD6" s="297"/>
      <c r="AE6" s="297"/>
      <c r="AF6" s="297"/>
      <c r="AG6" s="297"/>
      <c r="AH6" s="297"/>
      <c r="AI6" s="297"/>
      <c r="AJ6" s="297"/>
      <c r="AK6" s="297"/>
    </row>
    <row r="7">
      <c r="A7" s="289"/>
      <c r="B7" s="289"/>
      <c r="C7" s="290"/>
      <c r="D7" s="291"/>
      <c r="E7" s="291"/>
      <c r="F7" s="291"/>
      <c r="G7" s="291"/>
      <c r="H7" s="292"/>
      <c r="I7" s="291"/>
      <c r="J7" s="292"/>
      <c r="K7" s="291"/>
      <c r="L7" s="292"/>
      <c r="M7" s="291"/>
      <c r="N7" s="292"/>
      <c r="O7" s="293"/>
      <c r="P7" s="293"/>
      <c r="Q7" s="294"/>
      <c r="R7" s="295"/>
      <c r="S7" s="296"/>
      <c r="T7" s="296"/>
      <c r="U7" s="293"/>
      <c r="V7" s="293"/>
      <c r="W7" s="293"/>
      <c r="X7" s="293"/>
      <c r="Y7" s="294"/>
      <c r="Z7" s="293"/>
      <c r="AA7" s="293"/>
      <c r="AB7" s="293"/>
      <c r="AC7" s="297"/>
      <c r="AD7" s="297"/>
      <c r="AE7" s="297"/>
      <c r="AF7" s="297"/>
      <c r="AG7" s="297"/>
      <c r="AH7" s="297"/>
      <c r="AI7" s="297"/>
      <c r="AJ7" s="297"/>
      <c r="AK7" s="297"/>
    </row>
    <row r="8">
      <c r="A8" s="298"/>
      <c r="B8" s="298"/>
      <c r="C8" s="299"/>
      <c r="D8" s="295"/>
      <c r="E8" s="295"/>
      <c r="F8" s="295"/>
      <c r="G8" s="295"/>
      <c r="H8" s="293"/>
      <c r="I8" s="295"/>
      <c r="J8" s="293"/>
      <c r="K8" s="295"/>
      <c r="L8" s="293"/>
      <c r="M8" s="295"/>
      <c r="N8" s="293"/>
      <c r="O8" s="293"/>
      <c r="P8" s="293"/>
      <c r="Q8" s="294"/>
      <c r="R8" s="295"/>
      <c r="S8" s="296"/>
      <c r="T8" s="296"/>
      <c r="U8" s="293"/>
      <c r="V8" s="293"/>
      <c r="W8" s="293"/>
      <c r="X8" s="293"/>
      <c r="Y8" s="294"/>
      <c r="Z8" s="293"/>
      <c r="AA8" s="293"/>
      <c r="AB8" s="293"/>
      <c r="AC8" s="297"/>
      <c r="AD8" s="297"/>
      <c r="AE8" s="297"/>
      <c r="AF8" s="297"/>
      <c r="AG8" s="297"/>
      <c r="AH8" s="297"/>
      <c r="AI8" s="297"/>
      <c r="AJ8" s="297"/>
      <c r="AK8" s="297"/>
    </row>
    <row r="9">
      <c r="A9" s="300"/>
      <c r="B9" s="300"/>
      <c r="C9" s="301"/>
      <c r="D9" s="300"/>
      <c r="E9" s="300"/>
      <c r="F9" s="300"/>
      <c r="G9" s="300"/>
      <c r="H9" s="302"/>
      <c r="I9" s="300"/>
      <c r="J9" s="302"/>
      <c r="K9" s="300"/>
      <c r="L9" s="302"/>
      <c r="M9" s="300"/>
      <c r="N9" s="302"/>
      <c r="O9" s="302"/>
      <c r="P9" s="302"/>
      <c r="Q9" s="303"/>
      <c r="R9" s="296"/>
      <c r="S9" s="296"/>
      <c r="T9" s="296"/>
      <c r="U9" s="302"/>
      <c r="V9" s="302"/>
      <c r="W9" s="302"/>
      <c r="X9" s="302"/>
      <c r="Y9" s="304"/>
      <c r="Z9" s="302"/>
      <c r="AA9" s="302"/>
      <c r="AB9" s="302"/>
      <c r="AC9" s="305"/>
      <c r="AD9" s="305"/>
      <c r="AE9" s="305"/>
      <c r="AF9" s="305"/>
      <c r="AG9" s="305"/>
      <c r="AH9" s="305"/>
      <c r="AI9" s="305"/>
      <c r="AJ9" s="305"/>
      <c r="AK9" s="305"/>
    </row>
    <row r="10">
      <c r="A10" s="300"/>
      <c r="B10" s="300"/>
      <c r="C10" s="301"/>
      <c r="D10" s="300"/>
      <c r="E10" s="300"/>
      <c r="F10" s="300"/>
      <c r="G10" s="300"/>
      <c r="H10" s="302"/>
      <c r="I10" s="300"/>
      <c r="J10" s="302"/>
      <c r="K10" s="300"/>
      <c r="L10" s="302"/>
      <c r="M10" s="300"/>
      <c r="N10" s="302"/>
      <c r="O10" s="302"/>
      <c r="P10" s="302"/>
      <c r="Q10" s="303"/>
      <c r="R10" s="300"/>
      <c r="S10" s="296"/>
      <c r="T10" s="296"/>
      <c r="U10" s="302"/>
      <c r="V10" s="302"/>
      <c r="W10" s="302"/>
      <c r="X10" s="302"/>
      <c r="Y10" s="304"/>
      <c r="Z10" s="302"/>
      <c r="AA10" s="302"/>
      <c r="AB10" s="302"/>
      <c r="AC10" s="305"/>
      <c r="AD10" s="305"/>
      <c r="AE10" s="305"/>
      <c r="AF10" s="305"/>
      <c r="AG10" s="305"/>
      <c r="AH10" s="305"/>
      <c r="AI10" s="305"/>
      <c r="AJ10" s="305"/>
      <c r="AK10" s="305"/>
    </row>
    <row r="11">
      <c r="A11" s="300"/>
      <c r="B11" s="300"/>
      <c r="D11" s="300"/>
      <c r="E11" s="300"/>
      <c r="F11" s="300"/>
      <c r="G11" s="300"/>
      <c r="H11" s="302"/>
      <c r="I11" s="300"/>
      <c r="J11" s="302"/>
      <c r="K11" s="300"/>
      <c r="L11" s="302"/>
      <c r="M11" s="300"/>
      <c r="N11" s="302"/>
      <c r="O11" s="302"/>
      <c r="P11" s="302"/>
      <c r="Q11" s="303"/>
      <c r="R11" s="300"/>
      <c r="S11" s="296"/>
      <c r="T11" s="296"/>
      <c r="U11" s="302"/>
      <c r="V11" s="302"/>
      <c r="W11" s="302"/>
      <c r="X11" s="302"/>
      <c r="Y11" s="304"/>
      <c r="Z11" s="302"/>
      <c r="AA11" s="302"/>
      <c r="AB11" s="302"/>
      <c r="AC11" s="305"/>
      <c r="AD11" s="305"/>
      <c r="AE11" s="305"/>
      <c r="AF11" s="305"/>
      <c r="AG11" s="305"/>
      <c r="AH11" s="305"/>
      <c r="AI11" s="305"/>
      <c r="AJ11" s="305"/>
      <c r="AK11" s="305"/>
    </row>
    <row r="12">
      <c r="A12" s="300"/>
      <c r="B12" s="300"/>
      <c r="C12" s="301"/>
      <c r="D12" s="300"/>
      <c r="E12" s="300"/>
      <c r="F12" s="300"/>
      <c r="G12" s="300"/>
      <c r="H12" s="302"/>
      <c r="I12" s="300"/>
      <c r="J12" s="302"/>
      <c r="K12" s="300"/>
      <c r="L12" s="302"/>
      <c r="M12" s="300"/>
      <c r="N12" s="302"/>
      <c r="O12" s="302"/>
      <c r="P12" s="302"/>
      <c r="Q12" s="304"/>
      <c r="R12" s="296"/>
      <c r="S12" s="296"/>
      <c r="T12" s="296"/>
      <c r="U12" s="302"/>
      <c r="V12" s="302"/>
      <c r="W12" s="302"/>
      <c r="X12" s="302"/>
      <c r="Y12" s="304"/>
      <c r="Z12" s="302"/>
      <c r="AA12" s="302"/>
      <c r="AB12" s="302"/>
      <c r="AC12" s="305"/>
      <c r="AD12" s="305"/>
      <c r="AE12" s="305"/>
      <c r="AF12" s="305"/>
      <c r="AG12" s="305"/>
      <c r="AH12" s="305"/>
      <c r="AI12" s="305"/>
      <c r="AJ12" s="305"/>
      <c r="AK12" s="305"/>
    </row>
    <row r="13">
      <c r="A13" s="300"/>
      <c r="B13" s="300"/>
      <c r="C13" s="301"/>
      <c r="D13" s="300"/>
      <c r="E13" s="300"/>
      <c r="F13" s="300"/>
      <c r="G13" s="300"/>
      <c r="H13" s="302"/>
      <c r="I13" s="300"/>
      <c r="J13" s="302"/>
      <c r="K13" s="300"/>
      <c r="L13" s="302"/>
      <c r="M13" s="300"/>
      <c r="N13" s="302"/>
      <c r="O13" s="302"/>
      <c r="P13" s="302"/>
      <c r="Q13" s="303"/>
      <c r="R13" s="300"/>
      <c r="S13" s="296"/>
      <c r="T13" s="296"/>
      <c r="U13" s="302"/>
      <c r="V13" s="302"/>
      <c r="W13" s="302"/>
      <c r="X13" s="302"/>
      <c r="Y13" s="304"/>
      <c r="Z13" s="302"/>
      <c r="AA13" s="302"/>
      <c r="AB13" s="302"/>
      <c r="AC13" s="305"/>
      <c r="AD13" s="305"/>
      <c r="AE13" s="305"/>
      <c r="AF13" s="305"/>
      <c r="AG13" s="305"/>
      <c r="AH13" s="305"/>
      <c r="AI13" s="305"/>
      <c r="AJ13" s="305"/>
      <c r="AK13" s="305"/>
    </row>
    <row r="14">
      <c r="A14" s="300"/>
      <c r="B14" s="300"/>
      <c r="C14" s="301"/>
      <c r="D14" s="300"/>
      <c r="E14" s="300"/>
      <c r="F14" s="300"/>
      <c r="G14" s="300"/>
      <c r="H14" s="302"/>
      <c r="I14" s="300"/>
      <c r="J14" s="302"/>
      <c r="K14" s="300"/>
      <c r="L14" s="302"/>
      <c r="M14" s="300"/>
      <c r="N14" s="302"/>
      <c r="O14" s="302"/>
      <c r="P14" s="302"/>
      <c r="Q14" s="303"/>
      <c r="R14" s="300"/>
      <c r="S14" s="296"/>
      <c r="T14" s="296"/>
      <c r="U14" s="302"/>
      <c r="V14" s="302"/>
      <c r="W14" s="302"/>
      <c r="X14" s="302"/>
      <c r="Y14" s="304"/>
      <c r="Z14" s="302"/>
      <c r="AA14" s="302"/>
      <c r="AB14" s="302"/>
      <c r="AC14" s="305"/>
      <c r="AD14" s="305"/>
      <c r="AE14" s="305"/>
      <c r="AF14" s="305"/>
      <c r="AG14" s="305"/>
      <c r="AH14" s="305"/>
      <c r="AI14" s="305"/>
      <c r="AJ14" s="305"/>
      <c r="AK14" s="305"/>
    </row>
    <row r="15">
      <c r="A15" s="306"/>
      <c r="B15" s="306"/>
      <c r="C15" s="307"/>
      <c r="D15" s="306"/>
      <c r="E15" s="306"/>
      <c r="F15" s="306"/>
      <c r="G15" s="306"/>
      <c r="H15" s="306"/>
      <c r="I15" s="306"/>
      <c r="J15" s="306"/>
      <c r="K15" s="306"/>
      <c r="L15" s="306"/>
      <c r="M15" s="306"/>
      <c r="N15" s="306"/>
      <c r="O15" s="306"/>
      <c r="P15" s="306"/>
      <c r="Q15" s="306"/>
      <c r="R15" s="306"/>
      <c r="S15" s="197"/>
      <c r="T15" s="197"/>
      <c r="U15" s="306"/>
      <c r="V15" s="306"/>
      <c r="W15" s="306"/>
      <c r="X15" s="306"/>
      <c r="Y15" s="308"/>
      <c r="Z15" s="306"/>
      <c r="AA15" s="306"/>
      <c r="AB15" s="306"/>
      <c r="AC15" s="306"/>
      <c r="AD15" s="306"/>
      <c r="AE15" s="306"/>
      <c r="AF15" s="306"/>
      <c r="AG15" s="306"/>
      <c r="AH15" s="306"/>
      <c r="AI15" s="306"/>
      <c r="AJ15" s="306"/>
      <c r="AK15" s="306"/>
    </row>
    <row r="16">
      <c r="A16" s="197"/>
      <c r="B16" s="197"/>
      <c r="C16" s="50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</row>
    <row r="17">
      <c r="A17" s="197"/>
      <c r="B17" s="197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</row>
    <row r="18">
      <c r="A18" s="197"/>
      <c r="B18" s="197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</row>
    <row r="19">
      <c r="A19" s="197"/>
      <c r="B19" s="197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</row>
    <row r="20">
      <c r="A20" s="197"/>
      <c r="B20" s="197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</row>
    <row r="21">
      <c r="A21" s="197"/>
      <c r="B21" s="197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</row>
    <row r="22">
      <c r="A22" s="197"/>
      <c r="B22" s="197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</row>
    <row r="23">
      <c r="A23" s="197"/>
      <c r="B23" s="197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</row>
    <row r="24">
      <c r="A24" s="197"/>
      <c r="B24" s="197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</row>
    <row r="25">
      <c r="A25" s="130"/>
      <c r="B25" s="130"/>
    </row>
    <row r="26">
      <c r="A26" s="130"/>
      <c r="B26" s="130"/>
    </row>
    <row r="27">
      <c r="A27" s="130"/>
      <c r="B27" s="130"/>
    </row>
    <row r="28">
      <c r="A28" s="130"/>
      <c r="B28" s="130"/>
    </row>
    <row r="29">
      <c r="A29" s="130"/>
      <c r="B29" s="130"/>
    </row>
    <row r="30">
      <c r="A30" s="130"/>
      <c r="B30" s="130"/>
    </row>
    <row r="31">
      <c r="A31" s="130"/>
      <c r="B31" s="130"/>
    </row>
    <row r="32">
      <c r="A32" s="130"/>
      <c r="B32" s="130"/>
    </row>
    <row r="33">
      <c r="A33" s="130"/>
      <c r="B33" s="130"/>
    </row>
    <row r="34">
      <c r="A34" s="130"/>
      <c r="B34" s="130"/>
    </row>
    <row r="35">
      <c r="A35" s="130"/>
      <c r="B35" s="130"/>
    </row>
    <row r="36">
      <c r="A36" s="130"/>
      <c r="B36" s="130"/>
    </row>
    <row r="37">
      <c r="A37" s="130"/>
      <c r="B37" s="130"/>
    </row>
    <row r="38">
      <c r="A38" s="130"/>
      <c r="B38" s="130"/>
    </row>
    <row r="39">
      <c r="A39" s="130"/>
      <c r="B39" s="130"/>
    </row>
    <row r="40">
      <c r="A40" s="130"/>
      <c r="B40" s="130"/>
    </row>
    <row r="41">
      <c r="A41" s="130"/>
      <c r="B41" s="130"/>
    </row>
    <row r="42">
      <c r="A42" s="130"/>
      <c r="B42" s="130"/>
    </row>
    <row r="43">
      <c r="A43" s="130"/>
      <c r="B43" s="130"/>
    </row>
    <row r="44">
      <c r="A44" s="130"/>
      <c r="B44" s="130"/>
    </row>
    <row r="45">
      <c r="A45" s="130"/>
      <c r="B45" s="130"/>
    </row>
    <row r="46">
      <c r="A46" s="130"/>
      <c r="B46" s="130"/>
    </row>
    <row r="47">
      <c r="A47" s="130"/>
      <c r="B47" s="130"/>
    </row>
    <row r="48">
      <c r="A48" s="130"/>
      <c r="B48" s="130"/>
    </row>
    <row r="49">
      <c r="A49" s="130"/>
      <c r="B49" s="130"/>
    </row>
    <row r="50">
      <c r="A50" s="130"/>
      <c r="B50" s="130"/>
    </row>
    <row r="51">
      <c r="A51" s="130"/>
      <c r="B51" s="130"/>
    </row>
    <row r="52">
      <c r="A52" s="130"/>
      <c r="B52" s="130"/>
    </row>
    <row r="53">
      <c r="A53" s="130"/>
      <c r="B53" s="130"/>
    </row>
    <row r="54">
      <c r="A54" s="130"/>
      <c r="B54" s="130"/>
    </row>
    <row r="55">
      <c r="A55" s="130"/>
      <c r="B55" s="130"/>
    </row>
    <row r="56">
      <c r="A56" s="130"/>
      <c r="B56" s="130"/>
    </row>
    <row r="57">
      <c r="A57" s="130"/>
      <c r="B57" s="130"/>
    </row>
    <row r="58">
      <c r="A58" s="130"/>
      <c r="B58" s="130"/>
    </row>
    <row r="59">
      <c r="A59" s="130"/>
      <c r="B59" s="130"/>
    </row>
    <row r="60">
      <c r="A60" s="130"/>
      <c r="B60" s="130"/>
    </row>
    <row r="61">
      <c r="A61" s="130"/>
      <c r="B61" s="130"/>
    </row>
    <row r="62">
      <c r="A62" s="130"/>
      <c r="B62" s="130"/>
    </row>
    <row r="63">
      <c r="A63" s="130"/>
      <c r="B63" s="130"/>
    </row>
    <row r="64">
      <c r="A64" s="130"/>
      <c r="B64" s="130"/>
    </row>
    <row r="65">
      <c r="A65" s="130"/>
      <c r="B65" s="130"/>
    </row>
    <row r="66">
      <c r="A66" s="130"/>
      <c r="B66" s="130"/>
    </row>
    <row r="67">
      <c r="A67" s="130"/>
      <c r="B67" s="130"/>
    </row>
    <row r="68">
      <c r="A68" s="130"/>
      <c r="B68" s="130"/>
    </row>
    <row r="69">
      <c r="A69" s="130"/>
      <c r="B69" s="130"/>
    </row>
    <row r="70">
      <c r="A70" s="130"/>
      <c r="B70" s="130"/>
    </row>
    <row r="71">
      <c r="A71" s="130"/>
      <c r="B71" s="130"/>
    </row>
    <row r="72">
      <c r="A72" s="130"/>
      <c r="B72" s="130"/>
    </row>
    <row r="73">
      <c r="A73" s="130"/>
      <c r="B73" s="130"/>
    </row>
    <row r="74">
      <c r="A74" s="130"/>
      <c r="B74" s="130"/>
    </row>
    <row r="75">
      <c r="A75" s="130"/>
      <c r="B75" s="130"/>
    </row>
    <row r="76">
      <c r="A76" s="130"/>
      <c r="B76" s="130"/>
    </row>
    <row r="77">
      <c r="A77" s="130"/>
      <c r="B77" s="130"/>
    </row>
    <row r="78">
      <c r="A78" s="130"/>
      <c r="B78" s="130"/>
    </row>
    <row r="79">
      <c r="A79" s="130"/>
      <c r="B79" s="130"/>
    </row>
    <row r="80">
      <c r="A80" s="130"/>
      <c r="B80" s="130"/>
    </row>
    <row r="81">
      <c r="A81" s="130"/>
      <c r="B81" s="130"/>
    </row>
    <row r="82">
      <c r="A82" s="130"/>
      <c r="B82" s="130"/>
    </row>
    <row r="83">
      <c r="A83" s="130"/>
      <c r="B83" s="130"/>
    </row>
    <row r="84">
      <c r="A84" s="130"/>
      <c r="B84" s="130"/>
    </row>
    <row r="85">
      <c r="A85" s="130"/>
      <c r="B85" s="130"/>
    </row>
    <row r="86">
      <c r="A86" s="130"/>
      <c r="B86" s="130"/>
    </row>
    <row r="87">
      <c r="A87" s="130"/>
      <c r="B87" s="130"/>
    </row>
    <row r="88">
      <c r="A88" s="130"/>
      <c r="B88" s="130"/>
    </row>
    <row r="89">
      <c r="A89" s="130"/>
      <c r="B89" s="130"/>
    </row>
    <row r="90">
      <c r="A90" s="130"/>
      <c r="B90" s="130"/>
    </row>
    <row r="91">
      <c r="A91" s="130"/>
      <c r="B91" s="130"/>
    </row>
    <row r="92">
      <c r="A92" s="130"/>
      <c r="B92" s="130"/>
    </row>
    <row r="93">
      <c r="A93" s="130"/>
      <c r="B93" s="130"/>
    </row>
    <row r="94">
      <c r="A94" s="130"/>
      <c r="B94" s="130"/>
    </row>
    <row r="95">
      <c r="A95" s="130"/>
      <c r="B95" s="130"/>
    </row>
    <row r="96">
      <c r="A96" s="130"/>
      <c r="B96" s="130"/>
    </row>
    <row r="97">
      <c r="A97" s="130"/>
      <c r="B97" s="130"/>
    </row>
    <row r="98">
      <c r="A98" s="130"/>
      <c r="B98" s="130"/>
    </row>
    <row r="99">
      <c r="A99" s="130"/>
      <c r="B99" s="130"/>
    </row>
    <row r="100">
      <c r="A100" s="130"/>
      <c r="B100" s="130"/>
    </row>
    <row r="101">
      <c r="A101" s="130"/>
      <c r="B101" s="130"/>
    </row>
    <row r="102">
      <c r="A102" s="130"/>
      <c r="B102" s="130"/>
    </row>
    <row r="103">
      <c r="A103" s="130"/>
      <c r="B103" s="130"/>
    </row>
    <row r="104">
      <c r="A104" s="130"/>
      <c r="B104" s="130"/>
    </row>
    <row r="105">
      <c r="A105" s="130"/>
      <c r="B105" s="130"/>
    </row>
    <row r="106">
      <c r="A106" s="130"/>
      <c r="B106" s="130"/>
    </row>
    <row r="107">
      <c r="A107" s="130"/>
      <c r="B107" s="130"/>
    </row>
    <row r="108">
      <c r="A108" s="130"/>
      <c r="B108" s="130"/>
    </row>
    <row r="109">
      <c r="A109" s="130"/>
      <c r="B109" s="130"/>
    </row>
    <row r="110">
      <c r="A110" s="130"/>
      <c r="B110" s="130"/>
    </row>
    <row r="111">
      <c r="A111" s="130"/>
      <c r="B111" s="130"/>
    </row>
    <row r="112">
      <c r="A112" s="130"/>
      <c r="B112" s="130"/>
    </row>
    <row r="113">
      <c r="A113" s="130"/>
      <c r="B113" s="130"/>
    </row>
    <row r="114">
      <c r="A114" s="130"/>
      <c r="B114" s="130"/>
    </row>
    <row r="115">
      <c r="A115" s="130"/>
      <c r="B115" s="130"/>
    </row>
    <row r="116">
      <c r="A116" s="130"/>
      <c r="B116" s="130"/>
    </row>
    <row r="117">
      <c r="A117" s="130"/>
      <c r="B117" s="130"/>
    </row>
    <row r="118">
      <c r="A118" s="130"/>
      <c r="B118" s="130"/>
    </row>
    <row r="119">
      <c r="A119" s="130"/>
      <c r="B119" s="130"/>
    </row>
    <row r="120">
      <c r="A120" s="130"/>
      <c r="B120" s="130"/>
    </row>
    <row r="121">
      <c r="A121" s="130"/>
      <c r="B121" s="130"/>
    </row>
    <row r="122">
      <c r="A122" s="130"/>
      <c r="B122" s="130"/>
    </row>
    <row r="123">
      <c r="A123" s="130"/>
      <c r="B123" s="130"/>
    </row>
    <row r="124">
      <c r="A124" s="130"/>
      <c r="B124" s="130"/>
    </row>
    <row r="125">
      <c r="A125" s="130"/>
      <c r="B125" s="130"/>
    </row>
    <row r="126">
      <c r="A126" s="130"/>
      <c r="B126" s="130"/>
    </row>
    <row r="127">
      <c r="A127" s="130"/>
      <c r="B127" s="130"/>
    </row>
    <row r="128">
      <c r="A128" s="130"/>
      <c r="B128" s="130"/>
    </row>
    <row r="129">
      <c r="A129" s="130"/>
      <c r="B129" s="130"/>
    </row>
    <row r="130">
      <c r="A130" s="130"/>
      <c r="B130" s="130"/>
    </row>
    <row r="131">
      <c r="A131" s="130"/>
      <c r="B131" s="130"/>
    </row>
    <row r="132">
      <c r="A132" s="130"/>
      <c r="B132" s="130"/>
    </row>
    <row r="133">
      <c r="A133" s="130"/>
      <c r="B133" s="130"/>
    </row>
    <row r="134">
      <c r="A134" s="130"/>
      <c r="B134" s="130"/>
    </row>
    <row r="135">
      <c r="A135" s="130"/>
      <c r="B135" s="130"/>
    </row>
    <row r="136">
      <c r="A136" s="130"/>
      <c r="B136" s="130"/>
    </row>
    <row r="137">
      <c r="A137" s="130"/>
      <c r="B137" s="130"/>
    </row>
    <row r="138">
      <c r="A138" s="130"/>
      <c r="B138" s="130"/>
    </row>
    <row r="139">
      <c r="A139" s="130"/>
      <c r="B139" s="130"/>
    </row>
    <row r="140">
      <c r="A140" s="130"/>
      <c r="B140" s="130"/>
    </row>
    <row r="141">
      <c r="A141" s="130"/>
      <c r="B141" s="130"/>
    </row>
    <row r="142">
      <c r="A142" s="130"/>
      <c r="B142" s="130"/>
    </row>
    <row r="143">
      <c r="A143" s="130"/>
      <c r="B143" s="130"/>
    </row>
    <row r="144">
      <c r="A144" s="130"/>
      <c r="B144" s="130"/>
    </row>
    <row r="145">
      <c r="A145" s="130"/>
      <c r="B145" s="130"/>
    </row>
    <row r="146">
      <c r="A146" s="130"/>
      <c r="B146" s="130"/>
    </row>
    <row r="147">
      <c r="A147" s="130"/>
      <c r="B147" s="130"/>
    </row>
    <row r="148">
      <c r="A148" s="130"/>
      <c r="B148" s="130"/>
    </row>
    <row r="149">
      <c r="A149" s="130"/>
      <c r="B149" s="130"/>
    </row>
    <row r="150">
      <c r="A150" s="130"/>
      <c r="B150" s="130"/>
    </row>
    <row r="151">
      <c r="A151" s="130"/>
      <c r="B151" s="130"/>
    </row>
    <row r="152">
      <c r="A152" s="130"/>
      <c r="B152" s="130"/>
    </row>
    <row r="153">
      <c r="A153" s="130"/>
      <c r="B153" s="130"/>
    </row>
    <row r="154">
      <c r="A154" s="130"/>
      <c r="B154" s="130"/>
    </row>
    <row r="155">
      <c r="A155" s="130"/>
      <c r="B155" s="130"/>
    </row>
    <row r="156">
      <c r="A156" s="130"/>
      <c r="B156" s="130"/>
    </row>
    <row r="157">
      <c r="A157" s="130"/>
      <c r="B157" s="130"/>
    </row>
    <row r="158">
      <c r="A158" s="130"/>
      <c r="B158" s="130"/>
    </row>
    <row r="159">
      <c r="A159" s="130"/>
      <c r="B159" s="130"/>
    </row>
    <row r="160">
      <c r="A160" s="130"/>
      <c r="B160" s="130"/>
    </row>
    <row r="161">
      <c r="A161" s="130"/>
      <c r="B161" s="130"/>
    </row>
    <row r="162">
      <c r="A162" s="130"/>
      <c r="B162" s="130"/>
    </row>
    <row r="163">
      <c r="A163" s="130"/>
      <c r="B163" s="130"/>
    </row>
    <row r="164">
      <c r="A164" s="130"/>
      <c r="B164" s="130"/>
    </row>
    <row r="165">
      <c r="A165" s="130"/>
      <c r="B165" s="130"/>
    </row>
    <row r="166">
      <c r="A166" s="130"/>
      <c r="B166" s="130"/>
    </row>
    <row r="167">
      <c r="A167" s="130"/>
      <c r="B167" s="130"/>
    </row>
    <row r="168">
      <c r="A168" s="130"/>
      <c r="B168" s="130"/>
    </row>
    <row r="169">
      <c r="A169" s="130"/>
      <c r="B169" s="130"/>
    </row>
    <row r="170">
      <c r="A170" s="130"/>
      <c r="B170" s="130"/>
    </row>
    <row r="171">
      <c r="A171" s="130"/>
      <c r="B171" s="130"/>
    </row>
    <row r="172">
      <c r="A172" s="130"/>
      <c r="B172" s="130"/>
    </row>
    <row r="173">
      <c r="A173" s="130"/>
      <c r="B173" s="130"/>
    </row>
    <row r="174">
      <c r="A174" s="130"/>
      <c r="B174" s="130"/>
    </row>
    <row r="175">
      <c r="A175" s="130"/>
      <c r="B175" s="130"/>
    </row>
    <row r="176">
      <c r="A176" s="130"/>
      <c r="B176" s="130"/>
    </row>
    <row r="177">
      <c r="A177" s="130"/>
      <c r="B177" s="130"/>
    </row>
    <row r="178">
      <c r="A178" s="130"/>
      <c r="B178" s="130"/>
    </row>
    <row r="179">
      <c r="A179" s="130"/>
      <c r="B179" s="130"/>
    </row>
    <row r="180">
      <c r="A180" s="130"/>
      <c r="B180" s="130"/>
    </row>
    <row r="181">
      <c r="A181" s="130"/>
      <c r="B181" s="130"/>
    </row>
    <row r="182">
      <c r="A182" s="130"/>
      <c r="B182" s="130"/>
    </row>
    <row r="183">
      <c r="A183" s="130"/>
      <c r="B183" s="130"/>
    </row>
    <row r="184">
      <c r="A184" s="130"/>
      <c r="B184" s="130"/>
    </row>
    <row r="185">
      <c r="A185" s="130"/>
      <c r="B185" s="130"/>
    </row>
    <row r="186">
      <c r="A186" s="130"/>
      <c r="B186" s="130"/>
    </row>
    <row r="187">
      <c r="A187" s="130"/>
      <c r="B187" s="130"/>
    </row>
    <row r="188">
      <c r="A188" s="130"/>
      <c r="B188" s="130"/>
    </row>
    <row r="189">
      <c r="A189" s="130"/>
      <c r="B189" s="130"/>
    </row>
    <row r="190">
      <c r="A190" s="130"/>
      <c r="B190" s="130"/>
    </row>
    <row r="191">
      <c r="A191" s="130"/>
      <c r="B191" s="130"/>
    </row>
    <row r="192">
      <c r="A192" s="130"/>
      <c r="B192" s="130"/>
    </row>
    <row r="193">
      <c r="A193" s="130"/>
      <c r="B193" s="130"/>
    </row>
    <row r="194">
      <c r="A194" s="130"/>
      <c r="B194" s="130"/>
    </row>
    <row r="195">
      <c r="A195" s="130"/>
      <c r="B195" s="130"/>
    </row>
    <row r="196">
      <c r="A196" s="130"/>
      <c r="B196" s="130"/>
    </row>
    <row r="197">
      <c r="A197" s="130"/>
      <c r="B197" s="130"/>
    </row>
    <row r="198">
      <c r="A198" s="130"/>
      <c r="B198" s="130"/>
    </row>
    <row r="199">
      <c r="A199" s="130"/>
      <c r="B199" s="130"/>
    </row>
    <row r="200">
      <c r="A200" s="130"/>
      <c r="B200" s="130"/>
    </row>
    <row r="201">
      <c r="A201" s="130"/>
      <c r="B201" s="130"/>
    </row>
    <row r="202">
      <c r="A202" s="130"/>
      <c r="B202" s="130"/>
    </row>
    <row r="203">
      <c r="A203" s="130"/>
      <c r="B203" s="130"/>
    </row>
    <row r="204">
      <c r="A204" s="130"/>
      <c r="B204" s="130"/>
    </row>
    <row r="205">
      <c r="A205" s="130"/>
      <c r="B205" s="130"/>
    </row>
    <row r="206">
      <c r="A206" s="130"/>
      <c r="B206" s="130"/>
    </row>
    <row r="207">
      <c r="A207" s="130"/>
      <c r="B207" s="130"/>
    </row>
    <row r="208">
      <c r="A208" s="130"/>
      <c r="B208" s="130"/>
    </row>
    <row r="209">
      <c r="A209" s="130"/>
      <c r="B209" s="130"/>
    </row>
    <row r="210">
      <c r="A210" s="130"/>
      <c r="B210" s="130"/>
    </row>
    <row r="211">
      <c r="A211" s="130"/>
      <c r="B211" s="130"/>
    </row>
    <row r="212">
      <c r="A212" s="130"/>
      <c r="B212" s="130"/>
    </row>
    <row r="213">
      <c r="A213" s="130"/>
      <c r="B213" s="130"/>
    </row>
    <row r="214">
      <c r="A214" s="130"/>
      <c r="B214" s="130"/>
    </row>
    <row r="215">
      <c r="A215" s="130"/>
      <c r="B215" s="130"/>
    </row>
    <row r="216">
      <c r="A216" s="130"/>
      <c r="B216" s="130"/>
    </row>
    <row r="217">
      <c r="A217" s="130"/>
      <c r="B217" s="130"/>
    </row>
    <row r="218">
      <c r="A218" s="130"/>
      <c r="B218" s="130"/>
    </row>
    <row r="219">
      <c r="A219" s="130"/>
      <c r="B219" s="130"/>
    </row>
    <row r="220">
      <c r="A220" s="130"/>
      <c r="B220" s="130"/>
    </row>
    <row r="221">
      <c r="A221" s="130"/>
      <c r="B221" s="130"/>
    </row>
    <row r="222">
      <c r="A222" s="130"/>
      <c r="B222" s="130"/>
    </row>
    <row r="223">
      <c r="A223" s="130"/>
      <c r="B223" s="130"/>
    </row>
    <row r="224">
      <c r="A224" s="130"/>
      <c r="B224" s="130"/>
    </row>
    <row r="225">
      <c r="A225" s="130"/>
      <c r="B225" s="130"/>
    </row>
    <row r="226">
      <c r="A226" s="130"/>
      <c r="B226" s="130"/>
    </row>
    <row r="227">
      <c r="A227" s="130"/>
      <c r="B227" s="130"/>
    </row>
    <row r="228">
      <c r="A228" s="130"/>
      <c r="B228" s="130"/>
    </row>
    <row r="229">
      <c r="A229" s="130"/>
      <c r="B229" s="130"/>
    </row>
    <row r="230">
      <c r="A230" s="130"/>
      <c r="B230" s="130"/>
    </row>
    <row r="231">
      <c r="A231" s="130"/>
      <c r="B231" s="130"/>
    </row>
    <row r="232">
      <c r="A232" s="130"/>
      <c r="B232" s="130"/>
    </row>
    <row r="233">
      <c r="A233" s="130"/>
      <c r="B233" s="130"/>
    </row>
    <row r="234">
      <c r="A234" s="130"/>
      <c r="B234" s="130"/>
    </row>
    <row r="235">
      <c r="A235" s="130"/>
      <c r="B235" s="130"/>
    </row>
    <row r="236">
      <c r="A236" s="130"/>
      <c r="B236" s="130"/>
    </row>
    <row r="237">
      <c r="A237" s="130"/>
      <c r="B237" s="130"/>
    </row>
    <row r="238">
      <c r="A238" s="130"/>
      <c r="B238" s="130"/>
    </row>
    <row r="239">
      <c r="A239" s="130"/>
      <c r="B239" s="130"/>
    </row>
    <row r="240">
      <c r="A240" s="130"/>
      <c r="B240" s="130"/>
    </row>
    <row r="241">
      <c r="A241" s="130"/>
      <c r="B241" s="130"/>
    </row>
    <row r="242">
      <c r="A242" s="130"/>
      <c r="B242" s="130"/>
    </row>
    <row r="243">
      <c r="A243" s="130"/>
      <c r="B243" s="130"/>
    </row>
    <row r="244">
      <c r="A244" s="130"/>
      <c r="B244" s="130"/>
    </row>
    <row r="245">
      <c r="A245" s="130"/>
      <c r="B245" s="130"/>
    </row>
    <row r="246">
      <c r="A246" s="130"/>
      <c r="B246" s="130"/>
    </row>
    <row r="247">
      <c r="A247" s="130"/>
      <c r="B247" s="130"/>
    </row>
    <row r="248">
      <c r="A248" s="130"/>
      <c r="B248" s="130"/>
    </row>
    <row r="249">
      <c r="A249" s="130"/>
      <c r="B249" s="130"/>
    </row>
    <row r="250">
      <c r="A250" s="130"/>
      <c r="B250" s="130"/>
    </row>
    <row r="251">
      <c r="A251" s="130"/>
      <c r="B251" s="130"/>
    </row>
    <row r="252">
      <c r="A252" s="130"/>
      <c r="B252" s="130"/>
    </row>
    <row r="253">
      <c r="A253" s="130"/>
      <c r="B253" s="130"/>
    </row>
    <row r="254">
      <c r="A254" s="130"/>
      <c r="B254" s="130"/>
    </row>
    <row r="255">
      <c r="A255" s="130"/>
      <c r="B255" s="130"/>
    </row>
    <row r="256">
      <c r="A256" s="130"/>
      <c r="B256" s="130"/>
    </row>
    <row r="257">
      <c r="A257" s="130"/>
      <c r="B257" s="130"/>
    </row>
    <row r="258">
      <c r="A258" s="130"/>
      <c r="B258" s="130"/>
    </row>
    <row r="259">
      <c r="A259" s="130"/>
      <c r="B259" s="130"/>
    </row>
    <row r="260">
      <c r="A260" s="130"/>
      <c r="B260" s="130"/>
    </row>
    <row r="261">
      <c r="A261" s="130"/>
      <c r="B261" s="130"/>
    </row>
    <row r="262">
      <c r="A262" s="130"/>
      <c r="B262" s="130"/>
    </row>
    <row r="263">
      <c r="A263" s="130"/>
      <c r="B263" s="130"/>
    </row>
    <row r="264">
      <c r="A264" s="130"/>
      <c r="B264" s="130"/>
    </row>
    <row r="265">
      <c r="A265" s="130"/>
      <c r="B265" s="130"/>
    </row>
    <row r="266">
      <c r="A266" s="130"/>
      <c r="B266" s="130"/>
    </row>
    <row r="267">
      <c r="A267" s="130"/>
      <c r="B267" s="130"/>
    </row>
    <row r="268">
      <c r="A268" s="130"/>
      <c r="B268" s="130"/>
    </row>
    <row r="269">
      <c r="A269" s="130"/>
      <c r="B269" s="130"/>
    </row>
    <row r="270">
      <c r="A270" s="130"/>
      <c r="B270" s="130"/>
    </row>
    <row r="271">
      <c r="A271" s="130"/>
      <c r="B271" s="130"/>
    </row>
    <row r="272">
      <c r="A272" s="130"/>
      <c r="B272" s="130"/>
    </row>
    <row r="273">
      <c r="A273" s="130"/>
      <c r="B273" s="130"/>
    </row>
    <row r="274">
      <c r="A274" s="130"/>
      <c r="B274" s="130"/>
    </row>
    <row r="275">
      <c r="A275" s="130"/>
      <c r="B275" s="130"/>
    </row>
    <row r="276">
      <c r="A276" s="130"/>
      <c r="B276" s="130"/>
    </row>
    <row r="277">
      <c r="A277" s="130"/>
      <c r="B277" s="130"/>
    </row>
    <row r="278">
      <c r="A278" s="130"/>
      <c r="B278" s="130"/>
    </row>
    <row r="279">
      <c r="A279" s="130"/>
      <c r="B279" s="130"/>
    </row>
    <row r="280">
      <c r="A280" s="130"/>
      <c r="B280" s="130"/>
    </row>
    <row r="281">
      <c r="A281" s="130"/>
      <c r="B281" s="130"/>
    </row>
    <row r="282">
      <c r="A282" s="130"/>
      <c r="B282" s="130"/>
    </row>
    <row r="283">
      <c r="A283" s="130"/>
      <c r="B283" s="130"/>
    </row>
    <row r="284">
      <c r="A284" s="130"/>
      <c r="B284" s="130"/>
    </row>
    <row r="285">
      <c r="A285" s="130"/>
      <c r="B285" s="130"/>
    </row>
    <row r="286">
      <c r="A286" s="130"/>
      <c r="B286" s="130"/>
    </row>
    <row r="287">
      <c r="A287" s="130"/>
      <c r="B287" s="130"/>
    </row>
    <row r="288">
      <c r="A288" s="130"/>
      <c r="B288" s="130"/>
    </row>
    <row r="289">
      <c r="A289" s="130"/>
      <c r="B289" s="130"/>
    </row>
    <row r="290">
      <c r="A290" s="130"/>
      <c r="B290" s="130"/>
    </row>
    <row r="291">
      <c r="A291" s="130"/>
      <c r="B291" s="130"/>
    </row>
    <row r="292">
      <c r="A292" s="130"/>
      <c r="B292" s="130"/>
    </row>
    <row r="293">
      <c r="A293" s="130"/>
      <c r="B293" s="130"/>
    </row>
    <row r="294">
      <c r="A294" s="130"/>
      <c r="B294" s="130"/>
    </row>
    <row r="295">
      <c r="A295" s="130"/>
      <c r="B295" s="130"/>
    </row>
    <row r="296">
      <c r="A296" s="130"/>
      <c r="B296" s="130"/>
    </row>
    <row r="297">
      <c r="A297" s="130"/>
      <c r="B297" s="130"/>
    </row>
    <row r="298">
      <c r="A298" s="130"/>
      <c r="B298" s="130"/>
    </row>
    <row r="299">
      <c r="A299" s="130"/>
      <c r="B299" s="130"/>
    </row>
    <row r="300">
      <c r="A300" s="130"/>
      <c r="B300" s="130"/>
    </row>
    <row r="301">
      <c r="A301" s="130"/>
      <c r="B301" s="130"/>
    </row>
    <row r="302">
      <c r="A302" s="130"/>
      <c r="B302" s="130"/>
    </row>
    <row r="303">
      <c r="A303" s="130"/>
      <c r="B303" s="130"/>
    </row>
    <row r="304">
      <c r="A304" s="130"/>
      <c r="B304" s="130"/>
    </row>
    <row r="305">
      <c r="A305" s="130"/>
      <c r="B305" s="130"/>
    </row>
    <row r="306">
      <c r="A306" s="130"/>
      <c r="B306" s="130"/>
    </row>
    <row r="307">
      <c r="A307" s="130"/>
      <c r="B307" s="130"/>
    </row>
    <row r="308">
      <c r="A308" s="130"/>
      <c r="B308" s="130"/>
    </row>
    <row r="309">
      <c r="A309" s="130"/>
      <c r="B309" s="130"/>
    </row>
    <row r="310">
      <c r="A310" s="130"/>
      <c r="B310" s="130"/>
    </row>
    <row r="311">
      <c r="A311" s="130"/>
      <c r="B311" s="130"/>
    </row>
    <row r="312">
      <c r="A312" s="130"/>
      <c r="B312" s="130"/>
    </row>
    <row r="313">
      <c r="A313" s="130"/>
      <c r="B313" s="130"/>
    </row>
    <row r="314">
      <c r="A314" s="130"/>
      <c r="B314" s="130"/>
    </row>
    <row r="315">
      <c r="A315" s="130"/>
      <c r="B315" s="130"/>
    </row>
    <row r="316">
      <c r="A316" s="130"/>
      <c r="B316" s="130"/>
    </row>
    <row r="317">
      <c r="A317" s="130"/>
      <c r="B317" s="130"/>
    </row>
    <row r="318">
      <c r="A318" s="130"/>
      <c r="B318" s="130"/>
    </row>
    <row r="319">
      <c r="A319" s="130"/>
      <c r="B319" s="130"/>
    </row>
    <row r="320">
      <c r="A320" s="130"/>
      <c r="B320" s="130"/>
    </row>
    <row r="321">
      <c r="A321" s="130"/>
      <c r="B321" s="130"/>
    </row>
    <row r="322">
      <c r="A322" s="130"/>
      <c r="B322" s="130"/>
    </row>
    <row r="323">
      <c r="A323" s="130"/>
      <c r="B323" s="130"/>
    </row>
    <row r="324">
      <c r="A324" s="130"/>
      <c r="B324" s="130"/>
    </row>
    <row r="325">
      <c r="A325" s="130"/>
      <c r="B325" s="130"/>
    </row>
    <row r="326">
      <c r="A326" s="130"/>
      <c r="B326" s="130"/>
    </row>
    <row r="327">
      <c r="A327" s="130"/>
      <c r="B327" s="130"/>
    </row>
    <row r="328">
      <c r="A328" s="130"/>
      <c r="B328" s="130"/>
    </row>
    <row r="329">
      <c r="A329" s="130"/>
      <c r="B329" s="130"/>
    </row>
    <row r="330">
      <c r="A330" s="130"/>
      <c r="B330" s="130"/>
    </row>
    <row r="331">
      <c r="A331" s="130"/>
      <c r="B331" s="130"/>
    </row>
    <row r="332">
      <c r="A332" s="130"/>
      <c r="B332" s="130"/>
    </row>
    <row r="333">
      <c r="A333" s="130"/>
      <c r="B333" s="130"/>
    </row>
    <row r="334">
      <c r="A334" s="130"/>
      <c r="B334" s="130"/>
    </row>
    <row r="335">
      <c r="A335" s="130"/>
      <c r="B335" s="130"/>
    </row>
    <row r="336">
      <c r="A336" s="130"/>
      <c r="B336" s="130"/>
    </row>
    <row r="337">
      <c r="A337" s="130"/>
      <c r="B337" s="130"/>
    </row>
    <row r="338">
      <c r="A338" s="130"/>
      <c r="B338" s="130"/>
    </row>
    <row r="339">
      <c r="A339" s="130"/>
      <c r="B339" s="130"/>
    </row>
    <row r="340">
      <c r="A340" s="130"/>
      <c r="B340" s="130"/>
    </row>
    <row r="341">
      <c r="A341" s="130"/>
      <c r="B341" s="130"/>
    </row>
    <row r="342">
      <c r="A342" s="130"/>
      <c r="B342" s="130"/>
    </row>
    <row r="343">
      <c r="A343" s="130"/>
      <c r="B343" s="130"/>
    </row>
    <row r="344">
      <c r="A344" s="130"/>
      <c r="B344" s="130"/>
    </row>
    <row r="345">
      <c r="A345" s="130"/>
      <c r="B345" s="130"/>
    </row>
    <row r="346">
      <c r="A346" s="130"/>
      <c r="B346" s="130"/>
    </row>
    <row r="347">
      <c r="A347" s="130"/>
      <c r="B347" s="130"/>
    </row>
    <row r="348">
      <c r="A348" s="130"/>
      <c r="B348" s="130"/>
    </row>
    <row r="349">
      <c r="A349" s="130"/>
      <c r="B349" s="130"/>
    </row>
    <row r="350">
      <c r="A350" s="130"/>
      <c r="B350" s="130"/>
    </row>
    <row r="351">
      <c r="A351" s="130"/>
      <c r="B351" s="130"/>
    </row>
    <row r="352">
      <c r="A352" s="130"/>
      <c r="B352" s="130"/>
    </row>
    <row r="353">
      <c r="A353" s="130"/>
      <c r="B353" s="130"/>
    </row>
    <row r="354">
      <c r="A354" s="130"/>
      <c r="B354" s="130"/>
    </row>
    <row r="355">
      <c r="A355" s="130"/>
      <c r="B355" s="130"/>
    </row>
    <row r="356">
      <c r="A356" s="130"/>
      <c r="B356" s="130"/>
    </row>
    <row r="357">
      <c r="A357" s="130"/>
      <c r="B357" s="130"/>
    </row>
    <row r="358">
      <c r="A358" s="130"/>
      <c r="B358" s="130"/>
    </row>
    <row r="359">
      <c r="A359" s="130"/>
      <c r="B359" s="130"/>
    </row>
    <row r="360">
      <c r="A360" s="130"/>
      <c r="B360" s="130"/>
    </row>
    <row r="361">
      <c r="A361" s="130"/>
      <c r="B361" s="130"/>
    </row>
    <row r="362">
      <c r="A362" s="130"/>
      <c r="B362" s="130"/>
    </row>
    <row r="363">
      <c r="A363" s="130"/>
      <c r="B363" s="130"/>
    </row>
    <row r="364">
      <c r="A364" s="130"/>
      <c r="B364" s="130"/>
    </row>
    <row r="365">
      <c r="A365" s="130"/>
      <c r="B365" s="130"/>
    </row>
    <row r="366">
      <c r="A366" s="130"/>
      <c r="B366" s="130"/>
    </row>
    <row r="367">
      <c r="A367" s="130"/>
      <c r="B367" s="130"/>
    </row>
    <row r="368">
      <c r="A368" s="130"/>
      <c r="B368" s="130"/>
    </row>
    <row r="369">
      <c r="A369" s="130"/>
      <c r="B369" s="130"/>
    </row>
    <row r="370">
      <c r="A370" s="130"/>
      <c r="B370" s="130"/>
    </row>
    <row r="371">
      <c r="A371" s="130"/>
      <c r="B371" s="130"/>
    </row>
    <row r="372">
      <c r="A372" s="130"/>
      <c r="B372" s="130"/>
    </row>
    <row r="373">
      <c r="A373" s="130"/>
      <c r="B373" s="130"/>
    </row>
    <row r="374">
      <c r="A374" s="130"/>
      <c r="B374" s="130"/>
    </row>
    <row r="375">
      <c r="A375" s="130"/>
      <c r="B375" s="130"/>
    </row>
    <row r="376">
      <c r="A376" s="130"/>
      <c r="B376" s="130"/>
    </row>
    <row r="377">
      <c r="A377" s="130"/>
      <c r="B377" s="130"/>
    </row>
    <row r="378">
      <c r="A378" s="130"/>
      <c r="B378" s="130"/>
    </row>
    <row r="379">
      <c r="A379" s="130"/>
      <c r="B379" s="130"/>
    </row>
    <row r="380">
      <c r="A380" s="130"/>
      <c r="B380" s="130"/>
    </row>
    <row r="381">
      <c r="A381" s="130"/>
      <c r="B381" s="130"/>
    </row>
    <row r="382">
      <c r="A382" s="130"/>
      <c r="B382" s="130"/>
    </row>
    <row r="383">
      <c r="A383" s="130"/>
      <c r="B383" s="130"/>
    </row>
    <row r="384">
      <c r="A384" s="130"/>
      <c r="B384" s="130"/>
    </row>
    <row r="385">
      <c r="A385" s="130"/>
      <c r="B385" s="130"/>
    </row>
    <row r="386">
      <c r="A386" s="130"/>
      <c r="B386" s="130"/>
    </row>
    <row r="387">
      <c r="A387" s="130"/>
      <c r="B387" s="130"/>
    </row>
    <row r="388">
      <c r="A388" s="130"/>
      <c r="B388" s="130"/>
    </row>
    <row r="389">
      <c r="A389" s="130"/>
      <c r="B389" s="130"/>
    </row>
    <row r="390">
      <c r="A390" s="130"/>
      <c r="B390" s="130"/>
    </row>
    <row r="391">
      <c r="A391" s="130"/>
      <c r="B391" s="130"/>
    </row>
    <row r="392">
      <c r="A392" s="130"/>
      <c r="B392" s="130"/>
    </row>
    <row r="393">
      <c r="A393" s="130"/>
      <c r="B393" s="130"/>
    </row>
    <row r="394">
      <c r="A394" s="130"/>
      <c r="B394" s="130"/>
    </row>
    <row r="395">
      <c r="A395" s="130"/>
      <c r="B395" s="130"/>
    </row>
    <row r="396">
      <c r="A396" s="130"/>
      <c r="B396" s="130"/>
    </row>
    <row r="397">
      <c r="A397" s="130"/>
      <c r="B397" s="130"/>
    </row>
    <row r="398">
      <c r="A398" s="130"/>
      <c r="B398" s="130"/>
    </row>
    <row r="399">
      <c r="A399" s="130"/>
      <c r="B399" s="130"/>
    </row>
    <row r="400">
      <c r="A400" s="130"/>
      <c r="B400" s="130"/>
    </row>
    <row r="401">
      <c r="A401" s="130"/>
      <c r="B401" s="130"/>
    </row>
    <row r="402">
      <c r="A402" s="130"/>
      <c r="B402" s="130"/>
    </row>
    <row r="403">
      <c r="A403" s="130"/>
      <c r="B403" s="130"/>
    </row>
    <row r="404">
      <c r="A404" s="130"/>
      <c r="B404" s="130"/>
    </row>
    <row r="405">
      <c r="A405" s="130"/>
      <c r="B405" s="130"/>
    </row>
    <row r="406">
      <c r="A406" s="130"/>
      <c r="B406" s="130"/>
    </row>
    <row r="407">
      <c r="A407" s="130"/>
      <c r="B407" s="130"/>
    </row>
    <row r="408">
      <c r="A408" s="130"/>
      <c r="B408" s="130"/>
    </row>
    <row r="409">
      <c r="A409" s="130"/>
      <c r="B409" s="130"/>
    </row>
    <row r="410">
      <c r="A410" s="130"/>
      <c r="B410" s="130"/>
    </row>
    <row r="411">
      <c r="A411" s="130"/>
      <c r="B411" s="130"/>
    </row>
    <row r="412">
      <c r="A412" s="130"/>
      <c r="B412" s="130"/>
    </row>
    <row r="413">
      <c r="A413" s="130"/>
      <c r="B413" s="130"/>
    </row>
    <row r="414">
      <c r="A414" s="130"/>
      <c r="B414" s="130"/>
    </row>
    <row r="415">
      <c r="A415" s="130"/>
      <c r="B415" s="130"/>
    </row>
    <row r="416">
      <c r="A416" s="130"/>
      <c r="B416" s="130"/>
    </row>
    <row r="417">
      <c r="A417" s="130"/>
      <c r="B417" s="130"/>
    </row>
    <row r="418">
      <c r="A418" s="130"/>
      <c r="B418" s="130"/>
    </row>
    <row r="419">
      <c r="A419" s="130"/>
      <c r="B419" s="130"/>
    </row>
    <row r="420">
      <c r="A420" s="130"/>
      <c r="B420" s="130"/>
    </row>
    <row r="421">
      <c r="A421" s="130"/>
      <c r="B421" s="130"/>
    </row>
    <row r="422">
      <c r="A422" s="130"/>
      <c r="B422" s="130"/>
    </row>
    <row r="423">
      <c r="A423" s="130"/>
      <c r="B423" s="130"/>
    </row>
    <row r="424">
      <c r="A424" s="130"/>
      <c r="B424" s="130"/>
    </row>
    <row r="425">
      <c r="A425" s="130"/>
      <c r="B425" s="130"/>
    </row>
    <row r="426">
      <c r="A426" s="130"/>
      <c r="B426" s="130"/>
    </row>
    <row r="427">
      <c r="A427" s="130"/>
      <c r="B427" s="130"/>
    </row>
    <row r="428">
      <c r="A428" s="130"/>
      <c r="B428" s="130"/>
    </row>
    <row r="429">
      <c r="A429" s="130"/>
      <c r="B429" s="130"/>
    </row>
    <row r="430">
      <c r="A430" s="130"/>
      <c r="B430" s="130"/>
    </row>
    <row r="431">
      <c r="A431" s="130"/>
      <c r="B431" s="130"/>
    </row>
    <row r="432">
      <c r="A432" s="130"/>
      <c r="B432" s="130"/>
    </row>
    <row r="433">
      <c r="A433" s="130"/>
      <c r="B433" s="130"/>
    </row>
    <row r="434">
      <c r="A434" s="130"/>
      <c r="B434" s="130"/>
    </row>
    <row r="435">
      <c r="A435" s="130"/>
      <c r="B435" s="130"/>
    </row>
    <row r="436">
      <c r="A436" s="130"/>
      <c r="B436" s="130"/>
    </row>
    <row r="437">
      <c r="A437" s="130"/>
      <c r="B437" s="130"/>
    </row>
    <row r="438">
      <c r="A438" s="130"/>
      <c r="B438" s="130"/>
    </row>
    <row r="439">
      <c r="A439" s="130"/>
      <c r="B439" s="130"/>
    </row>
    <row r="440">
      <c r="A440" s="130"/>
      <c r="B440" s="130"/>
    </row>
    <row r="441">
      <c r="A441" s="130"/>
      <c r="B441" s="130"/>
    </row>
    <row r="442">
      <c r="A442" s="130"/>
      <c r="B442" s="130"/>
    </row>
    <row r="443">
      <c r="A443" s="130"/>
      <c r="B443" s="130"/>
    </row>
    <row r="444">
      <c r="A444" s="130"/>
      <c r="B444" s="130"/>
    </row>
    <row r="445">
      <c r="A445" s="130"/>
      <c r="B445" s="130"/>
    </row>
    <row r="446">
      <c r="A446" s="130"/>
      <c r="B446" s="130"/>
    </row>
    <row r="447">
      <c r="A447" s="130"/>
      <c r="B447" s="130"/>
    </row>
    <row r="448">
      <c r="A448" s="130"/>
      <c r="B448" s="130"/>
    </row>
    <row r="449">
      <c r="A449" s="130"/>
      <c r="B449" s="130"/>
    </row>
    <row r="450">
      <c r="A450" s="130"/>
      <c r="B450" s="130"/>
    </row>
    <row r="451">
      <c r="A451" s="130"/>
      <c r="B451" s="130"/>
    </row>
    <row r="452">
      <c r="A452" s="130"/>
      <c r="B452" s="130"/>
    </row>
    <row r="453">
      <c r="A453" s="130"/>
      <c r="B453" s="130"/>
    </row>
    <row r="454">
      <c r="A454" s="130"/>
      <c r="B454" s="130"/>
    </row>
    <row r="455">
      <c r="A455" s="130"/>
      <c r="B455" s="130"/>
    </row>
    <row r="456">
      <c r="A456" s="130"/>
      <c r="B456" s="130"/>
    </row>
    <row r="457">
      <c r="A457" s="130"/>
      <c r="B457" s="130"/>
    </row>
    <row r="458">
      <c r="A458" s="130"/>
      <c r="B458" s="130"/>
    </row>
    <row r="459">
      <c r="A459" s="130"/>
      <c r="B459" s="130"/>
    </row>
    <row r="460">
      <c r="A460" s="130"/>
      <c r="B460" s="130"/>
    </row>
    <row r="461">
      <c r="A461" s="130"/>
      <c r="B461" s="130"/>
    </row>
    <row r="462">
      <c r="A462" s="130"/>
      <c r="B462" s="130"/>
    </row>
    <row r="463">
      <c r="A463" s="130"/>
      <c r="B463" s="130"/>
    </row>
    <row r="464">
      <c r="A464" s="130"/>
      <c r="B464" s="130"/>
    </row>
    <row r="465">
      <c r="A465" s="130"/>
      <c r="B465" s="130"/>
    </row>
    <row r="466">
      <c r="A466" s="130"/>
      <c r="B466" s="130"/>
    </row>
    <row r="467">
      <c r="A467" s="130"/>
      <c r="B467" s="130"/>
    </row>
    <row r="468">
      <c r="A468" s="130"/>
      <c r="B468" s="130"/>
    </row>
    <row r="469">
      <c r="A469" s="130"/>
      <c r="B469" s="130"/>
    </row>
    <row r="470">
      <c r="A470" s="130"/>
      <c r="B470" s="130"/>
    </row>
    <row r="471">
      <c r="A471" s="130"/>
      <c r="B471" s="130"/>
    </row>
    <row r="472">
      <c r="A472" s="130"/>
      <c r="B472" s="130"/>
    </row>
    <row r="473">
      <c r="A473" s="130"/>
      <c r="B473" s="130"/>
    </row>
    <row r="474">
      <c r="A474" s="130"/>
      <c r="B474" s="130"/>
    </row>
    <row r="475">
      <c r="A475" s="130"/>
      <c r="B475" s="130"/>
    </row>
    <row r="476">
      <c r="A476" s="130"/>
      <c r="B476" s="130"/>
    </row>
    <row r="477">
      <c r="A477" s="130"/>
      <c r="B477" s="130"/>
    </row>
    <row r="478">
      <c r="A478" s="130"/>
      <c r="B478" s="130"/>
    </row>
    <row r="479">
      <c r="A479" s="130"/>
      <c r="B479" s="130"/>
    </row>
    <row r="480">
      <c r="A480" s="130"/>
      <c r="B480" s="130"/>
    </row>
    <row r="481">
      <c r="A481" s="130"/>
      <c r="B481" s="130"/>
    </row>
    <row r="482">
      <c r="A482" s="130"/>
      <c r="B482" s="130"/>
    </row>
    <row r="483">
      <c r="A483" s="130"/>
      <c r="B483" s="130"/>
    </row>
    <row r="484">
      <c r="A484" s="130"/>
      <c r="B484" s="130"/>
    </row>
    <row r="485">
      <c r="A485" s="130"/>
      <c r="B485" s="130"/>
    </row>
    <row r="486">
      <c r="A486" s="130"/>
      <c r="B486" s="130"/>
    </row>
    <row r="487">
      <c r="A487" s="130"/>
      <c r="B487" s="130"/>
    </row>
    <row r="488">
      <c r="A488" s="130"/>
      <c r="B488" s="130"/>
    </row>
    <row r="489">
      <c r="A489" s="130"/>
      <c r="B489" s="130"/>
    </row>
    <row r="490">
      <c r="A490" s="130"/>
      <c r="B490" s="130"/>
    </row>
    <row r="491">
      <c r="A491" s="130"/>
      <c r="B491" s="130"/>
    </row>
    <row r="492">
      <c r="A492" s="130"/>
      <c r="B492" s="130"/>
    </row>
    <row r="493">
      <c r="A493" s="130"/>
      <c r="B493" s="130"/>
    </row>
    <row r="494">
      <c r="A494" s="130"/>
      <c r="B494" s="130"/>
    </row>
    <row r="495">
      <c r="A495" s="130"/>
      <c r="B495" s="130"/>
    </row>
    <row r="496">
      <c r="A496" s="130"/>
      <c r="B496" s="130"/>
    </row>
    <row r="497">
      <c r="A497" s="130"/>
      <c r="B497" s="130"/>
    </row>
    <row r="498">
      <c r="A498" s="130"/>
      <c r="B498" s="130"/>
    </row>
    <row r="499">
      <c r="A499" s="130"/>
      <c r="B499" s="130"/>
    </row>
    <row r="500">
      <c r="A500" s="130"/>
      <c r="B500" s="130"/>
    </row>
    <row r="501">
      <c r="A501" s="130"/>
      <c r="B501" s="130"/>
    </row>
    <row r="502">
      <c r="A502" s="130"/>
      <c r="B502" s="130"/>
    </row>
    <row r="503">
      <c r="A503" s="130"/>
      <c r="B503" s="130"/>
    </row>
    <row r="504">
      <c r="A504" s="130"/>
      <c r="B504" s="130"/>
    </row>
    <row r="505">
      <c r="A505" s="130"/>
      <c r="B505" s="130"/>
    </row>
    <row r="506">
      <c r="A506" s="130"/>
      <c r="B506" s="130"/>
    </row>
    <row r="507">
      <c r="A507" s="130"/>
      <c r="B507" s="130"/>
    </row>
    <row r="508">
      <c r="A508" s="130"/>
      <c r="B508" s="130"/>
    </row>
    <row r="509">
      <c r="A509" s="130"/>
      <c r="B509" s="130"/>
    </row>
    <row r="510">
      <c r="A510" s="130"/>
      <c r="B510" s="130"/>
    </row>
    <row r="511">
      <c r="A511" s="130"/>
      <c r="B511" s="130"/>
    </row>
    <row r="512">
      <c r="A512" s="130"/>
      <c r="B512" s="130"/>
    </row>
    <row r="513">
      <c r="A513" s="130"/>
      <c r="B513" s="130"/>
    </row>
    <row r="514">
      <c r="A514" s="130"/>
      <c r="B514" s="130"/>
    </row>
    <row r="515">
      <c r="A515" s="130"/>
      <c r="B515" s="130"/>
    </row>
    <row r="516">
      <c r="A516" s="130"/>
      <c r="B516" s="130"/>
    </row>
    <row r="517">
      <c r="A517" s="130"/>
      <c r="B517" s="130"/>
    </row>
    <row r="518">
      <c r="A518" s="130"/>
      <c r="B518" s="130"/>
    </row>
    <row r="519">
      <c r="A519" s="130"/>
      <c r="B519" s="130"/>
    </row>
    <row r="520">
      <c r="A520" s="130"/>
      <c r="B520" s="130"/>
    </row>
    <row r="521">
      <c r="A521" s="130"/>
      <c r="B521" s="130"/>
    </row>
    <row r="522">
      <c r="A522" s="130"/>
      <c r="B522" s="130"/>
    </row>
    <row r="523">
      <c r="A523" s="130"/>
      <c r="B523" s="130"/>
    </row>
    <row r="524">
      <c r="A524" s="130"/>
      <c r="B524" s="130"/>
    </row>
    <row r="525">
      <c r="A525" s="130"/>
      <c r="B525" s="130"/>
    </row>
    <row r="526">
      <c r="A526" s="130"/>
      <c r="B526" s="130"/>
    </row>
    <row r="527">
      <c r="A527" s="130"/>
      <c r="B527" s="130"/>
    </row>
    <row r="528">
      <c r="A528" s="130"/>
      <c r="B528" s="130"/>
    </row>
    <row r="529">
      <c r="A529" s="130"/>
      <c r="B529" s="130"/>
    </row>
    <row r="530">
      <c r="A530" s="130"/>
      <c r="B530" s="130"/>
    </row>
    <row r="531">
      <c r="A531" s="130"/>
      <c r="B531" s="130"/>
    </row>
    <row r="532">
      <c r="A532" s="130"/>
      <c r="B532" s="130"/>
    </row>
    <row r="533">
      <c r="A533" s="130"/>
      <c r="B533" s="130"/>
    </row>
    <row r="534">
      <c r="A534" s="130"/>
      <c r="B534" s="130"/>
    </row>
    <row r="535">
      <c r="A535" s="130"/>
      <c r="B535" s="130"/>
    </row>
    <row r="536">
      <c r="A536" s="130"/>
      <c r="B536" s="130"/>
    </row>
    <row r="537">
      <c r="A537" s="130"/>
      <c r="B537" s="130"/>
    </row>
    <row r="538">
      <c r="A538" s="130"/>
      <c r="B538" s="130"/>
    </row>
    <row r="539">
      <c r="A539" s="130"/>
      <c r="B539" s="130"/>
    </row>
    <row r="540">
      <c r="A540" s="130"/>
      <c r="B540" s="130"/>
    </row>
    <row r="541">
      <c r="A541" s="130"/>
      <c r="B541" s="130"/>
    </row>
    <row r="542">
      <c r="A542" s="130"/>
      <c r="B542" s="130"/>
    </row>
    <row r="543">
      <c r="A543" s="130"/>
      <c r="B543" s="130"/>
    </row>
    <row r="544">
      <c r="A544" s="130"/>
      <c r="B544" s="130"/>
    </row>
    <row r="545">
      <c r="A545" s="130"/>
      <c r="B545" s="130"/>
    </row>
    <row r="546">
      <c r="A546" s="130"/>
      <c r="B546" s="130"/>
    </row>
    <row r="547">
      <c r="A547" s="130"/>
      <c r="B547" s="130"/>
    </row>
    <row r="548">
      <c r="A548" s="130"/>
      <c r="B548" s="130"/>
    </row>
    <row r="549">
      <c r="A549" s="130"/>
      <c r="B549" s="130"/>
    </row>
    <row r="550">
      <c r="A550" s="130"/>
      <c r="B550" s="130"/>
    </row>
    <row r="551">
      <c r="A551" s="130"/>
      <c r="B551" s="130"/>
    </row>
    <row r="552">
      <c r="A552" s="130"/>
      <c r="B552" s="130"/>
    </row>
    <row r="553">
      <c r="A553" s="130"/>
      <c r="B553" s="130"/>
    </row>
    <row r="554">
      <c r="A554" s="130"/>
      <c r="B554" s="130"/>
    </row>
    <row r="555">
      <c r="A555" s="130"/>
      <c r="B555" s="130"/>
    </row>
    <row r="556">
      <c r="A556" s="130"/>
      <c r="B556" s="130"/>
    </row>
    <row r="557">
      <c r="A557" s="130"/>
      <c r="B557" s="130"/>
    </row>
    <row r="558">
      <c r="A558" s="130"/>
      <c r="B558" s="130"/>
    </row>
    <row r="559">
      <c r="A559" s="130"/>
      <c r="B559" s="130"/>
    </row>
    <row r="560">
      <c r="A560" s="130"/>
      <c r="B560" s="130"/>
    </row>
    <row r="561">
      <c r="A561" s="130"/>
      <c r="B561" s="130"/>
    </row>
    <row r="562">
      <c r="A562" s="130"/>
      <c r="B562" s="130"/>
    </row>
    <row r="563">
      <c r="A563" s="130"/>
      <c r="B563" s="130"/>
    </row>
    <row r="564">
      <c r="A564" s="130"/>
      <c r="B564" s="130"/>
    </row>
    <row r="565">
      <c r="A565" s="130"/>
      <c r="B565" s="130"/>
    </row>
    <row r="566">
      <c r="A566" s="130"/>
      <c r="B566" s="130"/>
    </row>
    <row r="567">
      <c r="A567" s="130"/>
      <c r="B567" s="130"/>
    </row>
    <row r="568">
      <c r="A568" s="130"/>
      <c r="B568" s="130"/>
    </row>
    <row r="569">
      <c r="A569" s="130"/>
      <c r="B569" s="130"/>
    </row>
    <row r="570">
      <c r="A570" s="130"/>
      <c r="B570" s="130"/>
    </row>
    <row r="571">
      <c r="A571" s="130"/>
      <c r="B571" s="130"/>
    </row>
    <row r="572">
      <c r="A572" s="130"/>
      <c r="B572" s="130"/>
    </row>
    <row r="573">
      <c r="A573" s="130"/>
      <c r="B573" s="130"/>
    </row>
    <row r="574">
      <c r="A574" s="130"/>
      <c r="B574" s="130"/>
    </row>
    <row r="575">
      <c r="A575" s="130"/>
      <c r="B575" s="130"/>
    </row>
    <row r="576">
      <c r="A576" s="130"/>
      <c r="B576" s="130"/>
    </row>
    <row r="577">
      <c r="A577" s="130"/>
      <c r="B577" s="130"/>
    </row>
    <row r="578">
      <c r="A578" s="130"/>
      <c r="B578" s="130"/>
    </row>
    <row r="579">
      <c r="A579" s="130"/>
      <c r="B579" s="130"/>
    </row>
    <row r="580">
      <c r="A580" s="130"/>
      <c r="B580" s="130"/>
    </row>
    <row r="581">
      <c r="A581" s="130"/>
      <c r="B581" s="130"/>
    </row>
    <row r="582">
      <c r="A582" s="130"/>
      <c r="B582" s="130"/>
    </row>
    <row r="583">
      <c r="A583" s="130"/>
      <c r="B583" s="130"/>
    </row>
    <row r="584">
      <c r="A584" s="130"/>
      <c r="B584" s="130"/>
    </row>
    <row r="585">
      <c r="A585" s="130"/>
      <c r="B585" s="130"/>
    </row>
    <row r="586">
      <c r="A586" s="130"/>
      <c r="B586" s="130"/>
    </row>
    <row r="587">
      <c r="A587" s="130"/>
      <c r="B587" s="130"/>
    </row>
    <row r="588">
      <c r="A588" s="130"/>
      <c r="B588" s="130"/>
    </row>
    <row r="589">
      <c r="A589" s="130"/>
      <c r="B589" s="130"/>
    </row>
    <row r="590">
      <c r="A590" s="130"/>
      <c r="B590" s="130"/>
    </row>
    <row r="591">
      <c r="A591" s="130"/>
      <c r="B591" s="130"/>
    </row>
    <row r="592">
      <c r="A592" s="130"/>
      <c r="B592" s="130"/>
    </row>
    <row r="593">
      <c r="A593" s="130"/>
      <c r="B593" s="130"/>
    </row>
    <row r="594">
      <c r="A594" s="130"/>
      <c r="B594" s="130"/>
    </row>
    <row r="595">
      <c r="A595" s="130"/>
      <c r="B595" s="130"/>
    </row>
    <row r="596">
      <c r="A596" s="130"/>
      <c r="B596" s="130"/>
    </row>
    <row r="597">
      <c r="A597" s="130"/>
      <c r="B597" s="130"/>
    </row>
    <row r="598">
      <c r="A598" s="130"/>
      <c r="B598" s="130"/>
    </row>
    <row r="599">
      <c r="A599" s="130"/>
      <c r="B599" s="130"/>
    </row>
    <row r="600">
      <c r="A600" s="130"/>
      <c r="B600" s="130"/>
    </row>
    <row r="601">
      <c r="A601" s="130"/>
      <c r="B601" s="130"/>
    </row>
    <row r="602">
      <c r="A602" s="130"/>
      <c r="B602" s="130"/>
    </row>
    <row r="603">
      <c r="A603" s="130"/>
      <c r="B603" s="130"/>
    </row>
    <row r="604">
      <c r="A604" s="130"/>
      <c r="B604" s="130"/>
    </row>
    <row r="605">
      <c r="A605" s="130"/>
      <c r="B605" s="130"/>
    </row>
    <row r="606">
      <c r="A606" s="130"/>
      <c r="B606" s="130"/>
    </row>
    <row r="607">
      <c r="A607" s="130"/>
      <c r="B607" s="130"/>
    </row>
    <row r="608">
      <c r="A608" s="130"/>
      <c r="B608" s="130"/>
    </row>
    <row r="609">
      <c r="A609" s="130"/>
      <c r="B609" s="130"/>
    </row>
    <row r="610">
      <c r="A610" s="130"/>
      <c r="B610" s="130"/>
    </row>
    <row r="611">
      <c r="A611" s="130"/>
      <c r="B611" s="130"/>
    </row>
    <row r="612">
      <c r="A612" s="130"/>
      <c r="B612" s="130"/>
    </row>
    <row r="613">
      <c r="A613" s="130"/>
      <c r="B613" s="130"/>
    </row>
    <row r="614">
      <c r="A614" s="130"/>
      <c r="B614" s="130"/>
    </row>
    <row r="615">
      <c r="A615" s="130"/>
      <c r="B615" s="130"/>
    </row>
    <row r="616">
      <c r="A616" s="130"/>
      <c r="B616" s="130"/>
    </row>
    <row r="617">
      <c r="A617" s="130"/>
      <c r="B617" s="130"/>
    </row>
    <row r="618">
      <c r="A618" s="130"/>
      <c r="B618" s="130"/>
    </row>
    <row r="619">
      <c r="A619" s="130"/>
      <c r="B619" s="130"/>
    </row>
    <row r="620">
      <c r="A620" s="130"/>
      <c r="B620" s="130"/>
    </row>
    <row r="621">
      <c r="A621" s="130"/>
      <c r="B621" s="130"/>
    </row>
    <row r="622">
      <c r="A622" s="130"/>
      <c r="B622" s="130"/>
    </row>
    <row r="623">
      <c r="A623" s="130"/>
      <c r="B623" s="130"/>
    </row>
    <row r="624">
      <c r="A624" s="130"/>
      <c r="B624" s="130"/>
    </row>
    <row r="625">
      <c r="A625" s="130"/>
      <c r="B625" s="130"/>
    </row>
    <row r="626">
      <c r="A626" s="130"/>
      <c r="B626" s="130"/>
    </row>
    <row r="627">
      <c r="A627" s="130"/>
      <c r="B627" s="130"/>
    </row>
    <row r="628">
      <c r="A628" s="130"/>
      <c r="B628" s="130"/>
    </row>
    <row r="629">
      <c r="A629" s="130"/>
      <c r="B629" s="130"/>
    </row>
    <row r="630">
      <c r="A630" s="130"/>
      <c r="B630" s="130"/>
    </row>
    <row r="631">
      <c r="A631" s="130"/>
      <c r="B631" s="130"/>
    </row>
    <row r="632">
      <c r="A632" s="130"/>
      <c r="B632" s="130"/>
    </row>
    <row r="633">
      <c r="A633" s="130"/>
      <c r="B633" s="130"/>
    </row>
    <row r="634">
      <c r="A634" s="130"/>
      <c r="B634" s="130"/>
    </row>
    <row r="635">
      <c r="A635" s="130"/>
      <c r="B635" s="130"/>
    </row>
    <row r="636">
      <c r="A636" s="130"/>
      <c r="B636" s="130"/>
    </row>
    <row r="637">
      <c r="A637" s="130"/>
      <c r="B637" s="130"/>
    </row>
    <row r="638">
      <c r="A638" s="130"/>
      <c r="B638" s="130"/>
    </row>
    <row r="639">
      <c r="A639" s="130"/>
      <c r="B639" s="130"/>
    </row>
    <row r="640">
      <c r="A640" s="130"/>
      <c r="B640" s="130"/>
    </row>
    <row r="641">
      <c r="A641" s="130"/>
      <c r="B641" s="130"/>
    </row>
    <row r="642">
      <c r="A642" s="130"/>
      <c r="B642" s="130"/>
    </row>
    <row r="643">
      <c r="A643" s="130"/>
      <c r="B643" s="130"/>
    </row>
    <row r="644">
      <c r="A644" s="130"/>
      <c r="B644" s="130"/>
    </row>
    <row r="645">
      <c r="A645" s="130"/>
      <c r="B645" s="130"/>
    </row>
    <row r="646">
      <c r="A646" s="130"/>
      <c r="B646" s="130"/>
    </row>
    <row r="647">
      <c r="A647" s="130"/>
      <c r="B647" s="130"/>
    </row>
    <row r="648">
      <c r="A648" s="130"/>
      <c r="B648" s="130"/>
    </row>
    <row r="649">
      <c r="A649" s="130"/>
      <c r="B649" s="130"/>
    </row>
    <row r="650">
      <c r="A650" s="130"/>
      <c r="B650" s="130"/>
    </row>
    <row r="651">
      <c r="A651" s="130"/>
      <c r="B651" s="130"/>
    </row>
    <row r="652">
      <c r="A652" s="130"/>
      <c r="B652" s="130"/>
    </row>
    <row r="653">
      <c r="A653" s="130"/>
      <c r="B653" s="130"/>
    </row>
    <row r="654">
      <c r="A654" s="130"/>
      <c r="B654" s="130"/>
    </row>
    <row r="655">
      <c r="A655" s="130"/>
      <c r="B655" s="130"/>
    </row>
    <row r="656">
      <c r="A656" s="130"/>
      <c r="B656" s="130"/>
    </row>
    <row r="657">
      <c r="A657" s="130"/>
      <c r="B657" s="130"/>
    </row>
    <row r="658">
      <c r="A658" s="130"/>
      <c r="B658" s="130"/>
    </row>
    <row r="659">
      <c r="A659" s="130"/>
      <c r="B659" s="130"/>
    </row>
    <row r="660">
      <c r="A660" s="130"/>
      <c r="B660" s="130"/>
    </row>
    <row r="661">
      <c r="A661" s="130"/>
      <c r="B661" s="130"/>
    </row>
    <row r="662">
      <c r="A662" s="130"/>
      <c r="B662" s="130"/>
    </row>
    <row r="663">
      <c r="A663" s="130"/>
      <c r="B663" s="130"/>
    </row>
    <row r="664">
      <c r="A664" s="130"/>
      <c r="B664" s="130"/>
    </row>
    <row r="665">
      <c r="A665" s="130"/>
      <c r="B665" s="130"/>
    </row>
    <row r="666">
      <c r="A666" s="130"/>
      <c r="B666" s="130"/>
    </row>
    <row r="667">
      <c r="A667" s="130"/>
      <c r="B667" s="130"/>
    </row>
    <row r="668">
      <c r="A668" s="130"/>
      <c r="B668" s="130"/>
    </row>
    <row r="669">
      <c r="A669" s="130"/>
      <c r="B669" s="130"/>
    </row>
    <row r="670">
      <c r="A670" s="130"/>
      <c r="B670" s="130"/>
    </row>
    <row r="671">
      <c r="A671" s="130"/>
      <c r="B671" s="130"/>
    </row>
    <row r="672">
      <c r="A672" s="130"/>
      <c r="B672" s="130"/>
    </row>
    <row r="673">
      <c r="A673" s="130"/>
      <c r="B673" s="130"/>
    </row>
    <row r="674">
      <c r="A674" s="130"/>
      <c r="B674" s="130"/>
    </row>
    <row r="675">
      <c r="A675" s="130"/>
      <c r="B675" s="130"/>
    </row>
    <row r="676">
      <c r="A676" s="130"/>
      <c r="B676" s="130"/>
    </row>
    <row r="677">
      <c r="A677" s="130"/>
      <c r="B677" s="130"/>
    </row>
    <row r="678">
      <c r="A678" s="130"/>
      <c r="B678" s="130"/>
    </row>
    <row r="679">
      <c r="A679" s="130"/>
      <c r="B679" s="130"/>
    </row>
    <row r="680">
      <c r="A680" s="130"/>
      <c r="B680" s="130"/>
    </row>
    <row r="681">
      <c r="A681" s="130"/>
      <c r="B681" s="130"/>
    </row>
    <row r="682">
      <c r="A682" s="130"/>
      <c r="B682" s="130"/>
    </row>
    <row r="683">
      <c r="A683" s="130"/>
      <c r="B683" s="130"/>
    </row>
    <row r="684">
      <c r="A684" s="130"/>
      <c r="B684" s="130"/>
    </row>
    <row r="685">
      <c r="A685" s="130"/>
      <c r="B685" s="130"/>
    </row>
    <row r="686">
      <c r="A686" s="130"/>
      <c r="B686" s="130"/>
    </row>
    <row r="687">
      <c r="A687" s="130"/>
      <c r="B687" s="130"/>
    </row>
    <row r="688">
      <c r="A688" s="130"/>
      <c r="B688" s="130"/>
    </row>
    <row r="689">
      <c r="A689" s="130"/>
      <c r="B689" s="130"/>
    </row>
    <row r="690">
      <c r="A690" s="130"/>
      <c r="B690" s="130"/>
    </row>
    <row r="691">
      <c r="A691" s="130"/>
      <c r="B691" s="130"/>
    </row>
    <row r="692">
      <c r="A692" s="130"/>
      <c r="B692" s="130"/>
    </row>
    <row r="693">
      <c r="A693" s="130"/>
      <c r="B693" s="130"/>
    </row>
    <row r="694">
      <c r="A694" s="130"/>
      <c r="B694" s="130"/>
    </row>
    <row r="695">
      <c r="A695" s="130"/>
      <c r="B695" s="130"/>
    </row>
    <row r="696">
      <c r="A696" s="130"/>
      <c r="B696" s="130"/>
    </row>
    <row r="697">
      <c r="A697" s="130"/>
      <c r="B697" s="130"/>
    </row>
    <row r="698">
      <c r="A698" s="130"/>
      <c r="B698" s="130"/>
    </row>
    <row r="699">
      <c r="A699" s="130"/>
      <c r="B699" s="130"/>
    </row>
    <row r="700">
      <c r="A700" s="130"/>
      <c r="B700" s="130"/>
    </row>
    <row r="701">
      <c r="A701" s="130"/>
      <c r="B701" s="130"/>
    </row>
    <row r="702">
      <c r="A702" s="130"/>
      <c r="B702" s="130"/>
    </row>
    <row r="703">
      <c r="A703" s="130"/>
      <c r="B703" s="130"/>
    </row>
    <row r="704">
      <c r="A704" s="130"/>
      <c r="B704" s="130"/>
    </row>
    <row r="705">
      <c r="A705" s="130"/>
      <c r="B705" s="130"/>
    </row>
    <row r="706">
      <c r="A706" s="130"/>
      <c r="B706" s="130"/>
    </row>
    <row r="707">
      <c r="A707" s="130"/>
      <c r="B707" s="130"/>
    </row>
    <row r="708">
      <c r="A708" s="130"/>
      <c r="B708" s="130"/>
    </row>
    <row r="709">
      <c r="A709" s="130"/>
      <c r="B709" s="130"/>
    </row>
    <row r="710">
      <c r="A710" s="130"/>
      <c r="B710" s="130"/>
    </row>
    <row r="711">
      <c r="A711" s="130"/>
      <c r="B711" s="130"/>
    </row>
    <row r="712">
      <c r="A712" s="130"/>
      <c r="B712" s="130"/>
    </row>
    <row r="713">
      <c r="A713" s="130"/>
      <c r="B713" s="130"/>
    </row>
    <row r="714">
      <c r="A714" s="130"/>
      <c r="B714" s="130"/>
    </row>
    <row r="715">
      <c r="A715" s="130"/>
      <c r="B715" s="130"/>
    </row>
    <row r="716">
      <c r="A716" s="130"/>
      <c r="B716" s="130"/>
    </row>
    <row r="717">
      <c r="A717" s="130"/>
      <c r="B717" s="130"/>
    </row>
    <row r="718">
      <c r="A718" s="130"/>
      <c r="B718" s="130"/>
    </row>
    <row r="719">
      <c r="A719" s="130"/>
      <c r="B719" s="130"/>
    </row>
    <row r="720">
      <c r="A720" s="130"/>
      <c r="B720" s="130"/>
    </row>
    <row r="721">
      <c r="A721" s="130"/>
      <c r="B721" s="130"/>
    </row>
    <row r="722">
      <c r="A722" s="130"/>
      <c r="B722" s="130"/>
    </row>
    <row r="723">
      <c r="A723" s="130"/>
      <c r="B723" s="130"/>
    </row>
    <row r="724">
      <c r="A724" s="130"/>
      <c r="B724" s="130"/>
    </row>
    <row r="725">
      <c r="A725" s="130"/>
      <c r="B725" s="130"/>
    </row>
    <row r="726">
      <c r="A726" s="130"/>
      <c r="B726" s="130"/>
    </row>
    <row r="727">
      <c r="A727" s="130"/>
      <c r="B727" s="130"/>
    </row>
    <row r="728">
      <c r="A728" s="130"/>
      <c r="B728" s="130"/>
    </row>
    <row r="729">
      <c r="A729" s="130"/>
      <c r="B729" s="130"/>
    </row>
    <row r="730">
      <c r="A730" s="130"/>
      <c r="B730" s="130"/>
    </row>
    <row r="731">
      <c r="A731" s="130"/>
      <c r="B731" s="130"/>
    </row>
    <row r="732">
      <c r="A732" s="130"/>
      <c r="B732" s="130"/>
    </row>
    <row r="733">
      <c r="A733" s="130"/>
      <c r="B733" s="130"/>
    </row>
    <row r="734">
      <c r="A734" s="130"/>
      <c r="B734" s="130"/>
    </row>
    <row r="735">
      <c r="A735" s="130"/>
      <c r="B735" s="130"/>
    </row>
    <row r="736">
      <c r="A736" s="130"/>
      <c r="B736" s="130"/>
    </row>
    <row r="737">
      <c r="A737" s="130"/>
      <c r="B737" s="130"/>
    </row>
    <row r="738">
      <c r="A738" s="130"/>
      <c r="B738" s="130"/>
    </row>
    <row r="739">
      <c r="A739" s="130"/>
      <c r="B739" s="130"/>
    </row>
    <row r="740">
      <c r="A740" s="130"/>
      <c r="B740" s="130"/>
    </row>
    <row r="741">
      <c r="A741" s="130"/>
      <c r="B741" s="130"/>
    </row>
    <row r="742">
      <c r="A742" s="130"/>
      <c r="B742" s="130"/>
    </row>
    <row r="743">
      <c r="A743" s="130"/>
      <c r="B743" s="130"/>
    </row>
    <row r="744">
      <c r="A744" s="130"/>
      <c r="B744" s="130"/>
    </row>
    <row r="745">
      <c r="A745" s="130"/>
      <c r="B745" s="130"/>
    </row>
    <row r="746">
      <c r="A746" s="130"/>
      <c r="B746" s="130"/>
    </row>
    <row r="747">
      <c r="A747" s="130"/>
      <c r="B747" s="130"/>
    </row>
    <row r="748">
      <c r="A748" s="130"/>
      <c r="B748" s="130"/>
    </row>
    <row r="749">
      <c r="A749" s="130"/>
      <c r="B749" s="130"/>
    </row>
    <row r="750">
      <c r="A750" s="130"/>
      <c r="B750" s="130"/>
    </row>
    <row r="751">
      <c r="A751" s="130"/>
      <c r="B751" s="130"/>
    </row>
    <row r="752">
      <c r="A752" s="130"/>
      <c r="B752" s="130"/>
    </row>
    <row r="753">
      <c r="A753" s="130"/>
      <c r="B753" s="130"/>
    </row>
    <row r="754">
      <c r="A754" s="130"/>
      <c r="B754" s="130"/>
    </row>
    <row r="755">
      <c r="A755" s="130"/>
      <c r="B755" s="130"/>
    </row>
    <row r="756">
      <c r="A756" s="130"/>
      <c r="B756" s="130"/>
    </row>
    <row r="757">
      <c r="A757" s="130"/>
      <c r="B757" s="130"/>
    </row>
    <row r="758">
      <c r="A758" s="130"/>
      <c r="B758" s="130"/>
    </row>
    <row r="759">
      <c r="A759" s="130"/>
      <c r="B759" s="130"/>
    </row>
    <row r="760">
      <c r="A760" s="130"/>
      <c r="B760" s="130"/>
    </row>
    <row r="761">
      <c r="A761" s="130"/>
      <c r="B761" s="130"/>
    </row>
    <row r="762">
      <c r="A762" s="130"/>
      <c r="B762" s="130"/>
    </row>
    <row r="763">
      <c r="A763" s="130"/>
      <c r="B763" s="130"/>
    </row>
    <row r="764">
      <c r="A764" s="130"/>
      <c r="B764" s="130"/>
    </row>
    <row r="765">
      <c r="A765" s="130"/>
      <c r="B765" s="130"/>
    </row>
    <row r="766">
      <c r="A766" s="130"/>
      <c r="B766" s="130"/>
    </row>
    <row r="767">
      <c r="A767" s="130"/>
      <c r="B767" s="130"/>
    </row>
    <row r="768">
      <c r="A768" s="130"/>
      <c r="B768" s="130"/>
    </row>
    <row r="769">
      <c r="A769" s="130"/>
      <c r="B769" s="130"/>
    </row>
    <row r="770">
      <c r="A770" s="130"/>
      <c r="B770" s="130"/>
    </row>
    <row r="771">
      <c r="A771" s="130"/>
      <c r="B771" s="130"/>
    </row>
    <row r="772">
      <c r="A772" s="130"/>
      <c r="B772" s="130"/>
    </row>
    <row r="773">
      <c r="A773" s="130"/>
      <c r="B773" s="130"/>
    </row>
    <row r="774">
      <c r="A774" s="130"/>
      <c r="B774" s="130"/>
    </row>
    <row r="775">
      <c r="A775" s="130"/>
      <c r="B775" s="130"/>
    </row>
    <row r="776">
      <c r="A776" s="130"/>
      <c r="B776" s="130"/>
    </row>
    <row r="777">
      <c r="A777" s="130"/>
      <c r="B777" s="130"/>
    </row>
    <row r="778">
      <c r="A778" s="130"/>
      <c r="B778" s="130"/>
    </row>
    <row r="779">
      <c r="A779" s="130"/>
      <c r="B779" s="130"/>
    </row>
    <row r="780">
      <c r="A780" s="130"/>
      <c r="B780" s="130"/>
    </row>
    <row r="781">
      <c r="A781" s="130"/>
      <c r="B781" s="130"/>
    </row>
    <row r="782">
      <c r="A782" s="130"/>
      <c r="B782" s="130"/>
    </row>
    <row r="783">
      <c r="A783" s="130"/>
      <c r="B783" s="130"/>
    </row>
    <row r="784">
      <c r="A784" s="130"/>
      <c r="B784" s="130"/>
    </row>
    <row r="785">
      <c r="A785" s="130"/>
      <c r="B785" s="130"/>
    </row>
    <row r="786">
      <c r="A786" s="130"/>
      <c r="B786" s="130"/>
    </row>
    <row r="787">
      <c r="A787" s="130"/>
      <c r="B787" s="130"/>
    </row>
    <row r="788">
      <c r="A788" s="130"/>
      <c r="B788" s="130"/>
    </row>
    <row r="789">
      <c r="A789" s="130"/>
      <c r="B789" s="130"/>
    </row>
    <row r="790">
      <c r="A790" s="130"/>
      <c r="B790" s="130"/>
    </row>
    <row r="791">
      <c r="A791" s="130"/>
      <c r="B791" s="130"/>
    </row>
    <row r="792">
      <c r="A792" s="130"/>
      <c r="B792" s="130"/>
    </row>
    <row r="793">
      <c r="A793" s="130"/>
      <c r="B793" s="130"/>
    </row>
    <row r="794">
      <c r="A794" s="130"/>
      <c r="B794" s="130"/>
    </row>
    <row r="795">
      <c r="A795" s="130"/>
      <c r="B795" s="130"/>
    </row>
    <row r="796">
      <c r="A796" s="130"/>
      <c r="B796" s="130"/>
    </row>
    <row r="797">
      <c r="A797" s="130"/>
      <c r="B797" s="130"/>
    </row>
    <row r="798">
      <c r="A798" s="130"/>
      <c r="B798" s="130"/>
    </row>
    <row r="799">
      <c r="A799" s="130"/>
      <c r="B799" s="130"/>
    </row>
    <row r="800">
      <c r="A800" s="130"/>
      <c r="B800" s="130"/>
    </row>
    <row r="801">
      <c r="A801" s="130"/>
      <c r="B801" s="130"/>
    </row>
    <row r="802">
      <c r="A802" s="130"/>
      <c r="B802" s="130"/>
    </row>
    <row r="803">
      <c r="A803" s="130"/>
      <c r="B803" s="130"/>
    </row>
    <row r="804">
      <c r="A804" s="130"/>
      <c r="B804" s="130"/>
    </row>
    <row r="805">
      <c r="A805" s="130"/>
      <c r="B805" s="130"/>
    </row>
    <row r="806">
      <c r="A806" s="130"/>
      <c r="B806" s="130"/>
    </row>
    <row r="807">
      <c r="A807" s="130"/>
      <c r="B807" s="130"/>
    </row>
    <row r="808">
      <c r="A808" s="130"/>
      <c r="B808" s="130"/>
    </row>
    <row r="809">
      <c r="A809" s="130"/>
      <c r="B809" s="130"/>
    </row>
    <row r="810">
      <c r="A810" s="130"/>
      <c r="B810" s="130"/>
    </row>
    <row r="811">
      <c r="A811" s="130"/>
      <c r="B811" s="130"/>
    </row>
    <row r="812">
      <c r="A812" s="130"/>
      <c r="B812" s="130"/>
    </row>
    <row r="813">
      <c r="A813" s="130"/>
      <c r="B813" s="130"/>
    </row>
    <row r="814">
      <c r="A814" s="130"/>
      <c r="B814" s="130"/>
    </row>
    <row r="815">
      <c r="A815" s="130"/>
      <c r="B815" s="130"/>
    </row>
    <row r="816">
      <c r="A816" s="130"/>
      <c r="B816" s="130"/>
    </row>
    <row r="817">
      <c r="A817" s="130"/>
      <c r="B817" s="130"/>
    </row>
    <row r="818">
      <c r="A818" s="130"/>
      <c r="B818" s="130"/>
    </row>
    <row r="819">
      <c r="A819" s="130"/>
      <c r="B819" s="130"/>
    </row>
    <row r="820">
      <c r="A820" s="130"/>
      <c r="B820" s="130"/>
    </row>
    <row r="821">
      <c r="A821" s="130"/>
      <c r="B821" s="130"/>
    </row>
    <row r="822">
      <c r="A822" s="130"/>
      <c r="B822" s="130"/>
    </row>
    <row r="823">
      <c r="A823" s="130"/>
      <c r="B823" s="130"/>
    </row>
    <row r="824">
      <c r="A824" s="130"/>
      <c r="B824" s="130"/>
    </row>
    <row r="825">
      <c r="A825" s="130"/>
      <c r="B825" s="130"/>
    </row>
    <row r="826">
      <c r="A826" s="130"/>
      <c r="B826" s="130"/>
    </row>
    <row r="827">
      <c r="A827" s="130"/>
      <c r="B827" s="130"/>
    </row>
    <row r="828">
      <c r="A828" s="130"/>
      <c r="B828" s="130"/>
    </row>
    <row r="829">
      <c r="A829" s="130"/>
      <c r="B829" s="130"/>
    </row>
    <row r="830">
      <c r="A830" s="130"/>
      <c r="B830" s="130"/>
    </row>
    <row r="831">
      <c r="A831" s="130"/>
      <c r="B831" s="130"/>
    </row>
    <row r="832">
      <c r="A832" s="130"/>
      <c r="B832" s="130"/>
    </row>
    <row r="833">
      <c r="A833" s="130"/>
      <c r="B833" s="130"/>
    </row>
    <row r="834">
      <c r="A834" s="130"/>
      <c r="B834" s="130"/>
    </row>
    <row r="835">
      <c r="A835" s="130"/>
      <c r="B835" s="130"/>
    </row>
    <row r="836">
      <c r="A836" s="130"/>
      <c r="B836" s="130"/>
    </row>
    <row r="837">
      <c r="A837" s="130"/>
      <c r="B837" s="130"/>
    </row>
    <row r="838">
      <c r="A838" s="130"/>
      <c r="B838" s="130"/>
    </row>
    <row r="839">
      <c r="A839" s="130"/>
      <c r="B839" s="130"/>
    </row>
    <row r="840">
      <c r="A840" s="130"/>
      <c r="B840" s="130"/>
    </row>
    <row r="841">
      <c r="A841" s="130"/>
      <c r="B841" s="130"/>
    </row>
    <row r="842">
      <c r="A842" s="130"/>
      <c r="B842" s="130"/>
    </row>
    <row r="843">
      <c r="A843" s="130"/>
      <c r="B843" s="130"/>
    </row>
    <row r="844">
      <c r="A844" s="130"/>
      <c r="B844" s="130"/>
    </row>
    <row r="845">
      <c r="A845" s="130"/>
      <c r="B845" s="130"/>
    </row>
    <row r="846">
      <c r="A846" s="130"/>
      <c r="B846" s="130"/>
    </row>
    <row r="847">
      <c r="A847" s="130"/>
      <c r="B847" s="130"/>
    </row>
    <row r="848">
      <c r="A848" s="130"/>
      <c r="B848" s="130"/>
    </row>
    <row r="849">
      <c r="A849" s="130"/>
      <c r="B849" s="130"/>
    </row>
    <row r="850">
      <c r="A850" s="130"/>
      <c r="B850" s="130"/>
    </row>
    <row r="851">
      <c r="A851" s="130"/>
      <c r="B851" s="130"/>
    </row>
    <row r="852">
      <c r="A852" s="130"/>
      <c r="B852" s="130"/>
    </row>
    <row r="853">
      <c r="A853" s="130"/>
      <c r="B853" s="130"/>
    </row>
    <row r="854">
      <c r="A854" s="130"/>
      <c r="B854" s="130"/>
    </row>
    <row r="855">
      <c r="A855" s="130"/>
      <c r="B855" s="130"/>
    </row>
    <row r="856">
      <c r="A856" s="130"/>
      <c r="B856" s="130"/>
    </row>
    <row r="857">
      <c r="A857" s="130"/>
      <c r="B857" s="130"/>
    </row>
    <row r="858">
      <c r="A858" s="130"/>
      <c r="B858" s="130"/>
    </row>
    <row r="859">
      <c r="A859" s="130"/>
      <c r="B859" s="130"/>
    </row>
    <row r="860">
      <c r="A860" s="130"/>
      <c r="B860" s="130"/>
    </row>
    <row r="861">
      <c r="A861" s="130"/>
      <c r="B861" s="130"/>
    </row>
    <row r="862">
      <c r="A862" s="130"/>
      <c r="B862" s="130"/>
    </row>
    <row r="863">
      <c r="A863" s="130"/>
      <c r="B863" s="130"/>
    </row>
    <row r="864">
      <c r="A864" s="130"/>
      <c r="B864" s="130"/>
    </row>
    <row r="865">
      <c r="A865" s="130"/>
      <c r="B865" s="130"/>
    </row>
    <row r="866">
      <c r="A866" s="130"/>
      <c r="B866" s="130"/>
    </row>
    <row r="867">
      <c r="A867" s="130"/>
      <c r="B867" s="130"/>
    </row>
    <row r="868">
      <c r="A868" s="130"/>
      <c r="B868" s="130"/>
    </row>
    <row r="869">
      <c r="A869" s="130"/>
      <c r="B869" s="130"/>
    </row>
    <row r="870">
      <c r="A870" s="130"/>
      <c r="B870" s="130"/>
    </row>
    <row r="871">
      <c r="A871" s="130"/>
      <c r="B871" s="130"/>
    </row>
    <row r="872">
      <c r="A872" s="130"/>
      <c r="B872" s="130"/>
    </row>
    <row r="873">
      <c r="A873" s="130"/>
      <c r="B873" s="130"/>
    </row>
    <row r="874">
      <c r="A874" s="130"/>
      <c r="B874" s="130"/>
    </row>
    <row r="875">
      <c r="A875" s="130"/>
      <c r="B875" s="130"/>
    </row>
    <row r="876">
      <c r="A876" s="130"/>
      <c r="B876" s="130"/>
    </row>
    <row r="877">
      <c r="A877" s="130"/>
      <c r="B877" s="130"/>
    </row>
    <row r="878">
      <c r="A878" s="130"/>
      <c r="B878" s="130"/>
    </row>
    <row r="879">
      <c r="A879" s="130"/>
      <c r="B879" s="130"/>
    </row>
    <row r="880">
      <c r="A880" s="130"/>
      <c r="B880" s="130"/>
    </row>
    <row r="881">
      <c r="A881" s="130"/>
      <c r="B881" s="130"/>
    </row>
    <row r="882">
      <c r="A882" s="130"/>
      <c r="B882" s="130"/>
    </row>
    <row r="883">
      <c r="A883" s="130"/>
      <c r="B883" s="130"/>
    </row>
    <row r="884">
      <c r="A884" s="130"/>
      <c r="B884" s="130"/>
    </row>
    <row r="885">
      <c r="A885" s="130"/>
      <c r="B885" s="130"/>
    </row>
    <row r="886">
      <c r="A886" s="130"/>
      <c r="B886" s="130"/>
    </row>
    <row r="887">
      <c r="A887" s="130"/>
      <c r="B887" s="130"/>
    </row>
    <row r="888">
      <c r="A888" s="130"/>
      <c r="B888" s="130"/>
    </row>
    <row r="889">
      <c r="A889" s="130"/>
      <c r="B889" s="130"/>
    </row>
    <row r="890">
      <c r="A890" s="130"/>
      <c r="B890" s="130"/>
    </row>
    <row r="891">
      <c r="A891" s="130"/>
      <c r="B891" s="130"/>
    </row>
    <row r="892">
      <c r="A892" s="130"/>
      <c r="B892" s="130"/>
    </row>
    <row r="893">
      <c r="A893" s="130"/>
      <c r="B893" s="130"/>
    </row>
    <row r="894">
      <c r="A894" s="130"/>
      <c r="B894" s="130"/>
    </row>
    <row r="895">
      <c r="A895" s="130"/>
      <c r="B895" s="130"/>
    </row>
    <row r="896">
      <c r="A896" s="130"/>
      <c r="B896" s="130"/>
    </row>
    <row r="897">
      <c r="A897" s="130"/>
      <c r="B897" s="130"/>
    </row>
    <row r="898">
      <c r="A898" s="130"/>
      <c r="B898" s="130"/>
    </row>
    <row r="899">
      <c r="A899" s="130"/>
      <c r="B899" s="130"/>
    </row>
    <row r="900">
      <c r="A900" s="130"/>
      <c r="B900" s="130"/>
    </row>
    <row r="901">
      <c r="A901" s="130"/>
      <c r="B901" s="130"/>
    </row>
    <row r="902">
      <c r="A902" s="130"/>
      <c r="B902" s="130"/>
    </row>
    <row r="903">
      <c r="A903" s="130"/>
      <c r="B903" s="130"/>
    </row>
    <row r="904">
      <c r="A904" s="130"/>
      <c r="B904" s="130"/>
    </row>
    <row r="905">
      <c r="A905" s="130"/>
      <c r="B905" s="130"/>
    </row>
    <row r="906">
      <c r="A906" s="130"/>
      <c r="B906" s="130"/>
    </row>
    <row r="907">
      <c r="A907" s="130"/>
      <c r="B907" s="130"/>
    </row>
    <row r="908">
      <c r="A908" s="130"/>
      <c r="B908" s="130"/>
    </row>
    <row r="909">
      <c r="A909" s="130"/>
      <c r="B909" s="130"/>
    </row>
    <row r="910">
      <c r="A910" s="130"/>
      <c r="B910" s="130"/>
    </row>
    <row r="911">
      <c r="A911" s="130"/>
      <c r="B911" s="130"/>
    </row>
    <row r="912">
      <c r="A912" s="130"/>
      <c r="B912" s="130"/>
    </row>
    <row r="913">
      <c r="A913" s="130"/>
      <c r="B913" s="130"/>
    </row>
    <row r="914">
      <c r="A914" s="130"/>
      <c r="B914" s="130"/>
    </row>
    <row r="915">
      <c r="A915" s="130"/>
      <c r="B915" s="130"/>
    </row>
    <row r="916">
      <c r="A916" s="130"/>
      <c r="B916" s="130"/>
    </row>
    <row r="917">
      <c r="A917" s="130"/>
      <c r="B917" s="130"/>
    </row>
    <row r="918">
      <c r="A918" s="130"/>
      <c r="B918" s="130"/>
    </row>
    <row r="919">
      <c r="A919" s="130"/>
      <c r="B919" s="130"/>
    </row>
    <row r="920">
      <c r="A920" s="130"/>
      <c r="B920" s="130"/>
    </row>
    <row r="921">
      <c r="A921" s="130"/>
      <c r="B921" s="130"/>
    </row>
    <row r="922">
      <c r="A922" s="130"/>
      <c r="B922" s="130"/>
    </row>
    <row r="923">
      <c r="A923" s="130"/>
      <c r="B923" s="130"/>
    </row>
    <row r="924">
      <c r="A924" s="130"/>
      <c r="B924" s="130"/>
    </row>
    <row r="925">
      <c r="A925" s="130"/>
      <c r="B925" s="130"/>
    </row>
    <row r="926">
      <c r="A926" s="130"/>
      <c r="B926" s="130"/>
    </row>
    <row r="927">
      <c r="A927" s="130"/>
      <c r="B927" s="130"/>
    </row>
    <row r="928">
      <c r="A928" s="130"/>
      <c r="B928" s="130"/>
    </row>
    <row r="929">
      <c r="A929" s="130"/>
      <c r="B929" s="130"/>
    </row>
    <row r="930">
      <c r="A930" s="130"/>
      <c r="B930" s="130"/>
    </row>
    <row r="931">
      <c r="A931" s="130"/>
      <c r="B931" s="130"/>
    </row>
    <row r="932">
      <c r="A932" s="130"/>
      <c r="B932" s="130"/>
    </row>
    <row r="933">
      <c r="A933" s="130"/>
      <c r="B933" s="130"/>
    </row>
    <row r="934">
      <c r="A934" s="130"/>
      <c r="B934" s="130"/>
    </row>
    <row r="935">
      <c r="A935" s="130"/>
      <c r="B935" s="130"/>
    </row>
    <row r="936">
      <c r="A936" s="130"/>
      <c r="B936" s="130"/>
    </row>
    <row r="937">
      <c r="A937" s="130"/>
      <c r="B937" s="130"/>
    </row>
    <row r="938">
      <c r="A938" s="130"/>
      <c r="B938" s="130"/>
    </row>
    <row r="939">
      <c r="A939" s="130"/>
      <c r="B939" s="130"/>
    </row>
    <row r="940">
      <c r="A940" s="130"/>
      <c r="B940" s="130"/>
    </row>
    <row r="941">
      <c r="A941" s="130"/>
      <c r="B941" s="130"/>
    </row>
    <row r="942">
      <c r="A942" s="130"/>
      <c r="B942" s="130"/>
    </row>
    <row r="943">
      <c r="A943" s="130"/>
      <c r="B943" s="130"/>
    </row>
    <row r="944">
      <c r="A944" s="130"/>
      <c r="B944" s="130"/>
    </row>
    <row r="945">
      <c r="A945" s="130"/>
      <c r="B945" s="130"/>
    </row>
    <row r="946">
      <c r="A946" s="130"/>
      <c r="B946" s="130"/>
    </row>
    <row r="947">
      <c r="A947" s="130"/>
      <c r="B947" s="130"/>
    </row>
    <row r="948">
      <c r="A948" s="130"/>
      <c r="B948" s="130"/>
    </row>
    <row r="949">
      <c r="A949" s="130"/>
      <c r="B949" s="130"/>
    </row>
    <row r="950">
      <c r="A950" s="130"/>
      <c r="B950" s="130"/>
    </row>
    <row r="951">
      <c r="A951" s="130"/>
      <c r="B951" s="130"/>
    </row>
    <row r="952">
      <c r="A952" s="130"/>
      <c r="B952" s="130"/>
    </row>
    <row r="953">
      <c r="A953" s="130"/>
      <c r="B953" s="130"/>
    </row>
    <row r="954">
      <c r="A954" s="130"/>
      <c r="B954" s="130"/>
    </row>
    <row r="955">
      <c r="A955" s="130"/>
      <c r="B955" s="130"/>
    </row>
    <row r="956">
      <c r="A956" s="130"/>
      <c r="B956" s="130"/>
    </row>
    <row r="957">
      <c r="A957" s="130"/>
      <c r="B957" s="130"/>
    </row>
    <row r="958">
      <c r="A958" s="130"/>
      <c r="B958" s="130"/>
    </row>
    <row r="959">
      <c r="A959" s="130"/>
      <c r="B959" s="130"/>
    </row>
    <row r="960">
      <c r="A960" s="130"/>
      <c r="B960" s="130"/>
    </row>
    <row r="961">
      <c r="A961" s="130"/>
      <c r="B961" s="130"/>
    </row>
    <row r="962">
      <c r="A962" s="130"/>
      <c r="B962" s="130"/>
    </row>
    <row r="963">
      <c r="A963" s="130"/>
      <c r="B963" s="130"/>
    </row>
    <row r="964">
      <c r="A964" s="130"/>
      <c r="B964" s="130"/>
    </row>
    <row r="965">
      <c r="A965" s="130"/>
      <c r="B965" s="130"/>
    </row>
    <row r="966">
      <c r="A966" s="130"/>
      <c r="B966" s="130"/>
    </row>
    <row r="967">
      <c r="A967" s="130"/>
      <c r="B967" s="130"/>
    </row>
    <row r="968">
      <c r="A968" s="130"/>
      <c r="B968" s="130"/>
    </row>
    <row r="969">
      <c r="A969" s="130"/>
      <c r="B969" s="130"/>
    </row>
    <row r="970">
      <c r="A970" s="130"/>
      <c r="B970" s="130"/>
    </row>
    <row r="971">
      <c r="A971" s="130"/>
      <c r="B971" s="130"/>
    </row>
    <row r="972">
      <c r="A972" s="130"/>
      <c r="B972" s="130"/>
    </row>
    <row r="973">
      <c r="A973" s="130"/>
      <c r="B973" s="130"/>
    </row>
    <row r="974">
      <c r="A974" s="130"/>
      <c r="B974" s="130"/>
    </row>
    <row r="975">
      <c r="A975" s="130"/>
      <c r="B975" s="130"/>
    </row>
    <row r="976">
      <c r="A976" s="130"/>
      <c r="B976" s="130"/>
    </row>
    <row r="977">
      <c r="A977" s="130"/>
      <c r="B977" s="130"/>
    </row>
    <row r="978">
      <c r="A978" s="130"/>
      <c r="B978" s="130"/>
    </row>
    <row r="979">
      <c r="A979" s="130"/>
      <c r="B979" s="130"/>
    </row>
    <row r="980">
      <c r="A980" s="130"/>
      <c r="B980" s="130"/>
    </row>
    <row r="981">
      <c r="A981" s="130"/>
      <c r="B981" s="130"/>
    </row>
    <row r="982">
      <c r="A982" s="130"/>
      <c r="B982" s="130"/>
    </row>
    <row r="983">
      <c r="A983" s="130"/>
      <c r="B983" s="130"/>
    </row>
    <row r="984">
      <c r="A984" s="130"/>
      <c r="B984" s="130"/>
    </row>
    <row r="985">
      <c r="A985" s="130"/>
      <c r="B985" s="130"/>
    </row>
    <row r="986">
      <c r="A986" s="130"/>
      <c r="B986" s="130"/>
    </row>
    <row r="987">
      <c r="A987" s="130"/>
      <c r="B987" s="130"/>
    </row>
    <row r="988">
      <c r="A988" s="130"/>
      <c r="B988" s="130"/>
    </row>
    <row r="989">
      <c r="A989" s="130"/>
      <c r="B989" s="130"/>
    </row>
    <row r="990">
      <c r="A990" s="130"/>
      <c r="B990" s="130"/>
    </row>
    <row r="991">
      <c r="A991" s="130"/>
      <c r="B991" s="130"/>
    </row>
    <row r="992">
      <c r="A992" s="130"/>
      <c r="B992" s="130"/>
    </row>
    <row r="993">
      <c r="A993" s="130"/>
      <c r="B993" s="130"/>
    </row>
    <row r="994">
      <c r="A994" s="130"/>
      <c r="B994" s="130"/>
    </row>
    <row r="995">
      <c r="A995" s="130"/>
      <c r="B995" s="130"/>
    </row>
  </sheetData>
  <mergeCells count="6">
    <mergeCell ref="A1:C1"/>
    <mergeCell ref="D1:L1"/>
    <mergeCell ref="G2:H2"/>
    <mergeCell ref="I2:J2"/>
    <mergeCell ref="K2:L2"/>
    <mergeCell ref="P2:Q2"/>
  </mergeCells>
  <conditionalFormatting sqref="G4:G14">
    <cfRule type="colorScale" priority="1">
      <colorScale>
        <cfvo type="min"/>
        <cfvo type="max"/>
        <color rgb="FFEA9999"/>
        <color rgb="FFFFFFFF"/>
      </colorScale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10.63"/>
    <col customWidth="1" min="3" max="3" width="52.75"/>
    <col customWidth="1" hidden="1" min="6" max="6" width="14.25"/>
    <col customWidth="1" min="9" max="9" width="23.25"/>
  </cols>
  <sheetData>
    <row r="1">
      <c r="A1" s="309" t="str">
        <f>IFERROR(__xludf.DUMMYFUNCTION("IMPORTRANGE(""https://docs.google.com/spreadsheets/d/1xqXetlPwD4f9pijzkJx7k5CBQqBJurFHtiP9IVX80K8/edit?gid=155053157#gid=155053157"",""DataCB!R:Z"")"),"Vùng")</f>
        <v>Vùng</v>
      </c>
      <c r="B1" s="309" t="str">
        <f>IFERROR(__xludf.DUMMYFUNCTION("""COMPUTED_VALUE"""),"Tỉnh")</f>
        <v>Tỉnh</v>
      </c>
      <c r="C1" s="309" t="str">
        <f>IFERROR(__xludf.DUMMYFUNCTION("""COMPUTED_VALUE"""),"BC")</f>
        <v>BC</v>
      </c>
      <c r="D1" s="309" t="str">
        <f>IFERROR(__xludf.DUMMYFUNCTION("""COMPUTED_VALUE"""),"Tỷ lệ GTC 7 ngày gần nhất")</f>
        <v>Tỷ lệ GTC 7 ngày gần nhất</v>
      </c>
      <c r="E1" s="309" t="str">
        <f>IFERROR(__xludf.DUMMYFUNCTION("""COMPUTED_VALUE"""),"%GTC tốt nhất")</f>
        <v>%GTC tốt nhất</v>
      </c>
      <c r="F1" s="309" t="str">
        <f>IFERROR(__xludf.DUMMYFUNCTION("""COMPUTED_VALUE"""),"% cần đạt để không cảnh báo")</f>
        <v>% cần đạt để không cảnh báo</v>
      </c>
      <c r="G1" s="309" t="str">
        <f>IFERROR(__xludf.DUMMYFUNCTION("""COMPUTED_VALUE"""),"%GTC cần đạt")</f>
        <v>%GTC cần đạt</v>
      </c>
      <c r="H1" s="309" t="str">
        <f>IFERROR(__xludf.DUMMYFUNCTION("""COMPUTED_VALUE"""),"Chênh lệch")</f>
        <v>Chênh lệch</v>
      </c>
      <c r="I1" s="309" t="str">
        <f>IFERROR(__xludf.DUMMYFUNCTION("""COMPUTED_VALUE"""),"Nhóm")</f>
        <v>Nhóm</v>
      </c>
    </row>
    <row r="2">
      <c r="A2" s="310" t="str">
        <f>IFERROR(__xludf.DUMMYFUNCTION("""COMPUTED_VALUE"""),"TNG")</f>
        <v>TNG</v>
      </c>
      <c r="B2" s="310" t="str">
        <f>IFERROR(__xludf.DUMMYFUNCTION("""COMPUTED_VALUE"""),"Đắk Lắk")</f>
        <v>Đắk Lắk</v>
      </c>
      <c r="C2" s="311" t="str">
        <f>IFERROR(__xludf.DUMMYFUNCTION("""COMPUTED_VALUE"""),"BC 225 Phạm Văn Đồng-Buôn Ma Thuột-Đắk Lắk")</f>
        <v>BC 225 Phạm Văn Đồng-Buôn Ma Thuột-Đắk Lắk</v>
      </c>
      <c r="D2" s="312">
        <f>IFERROR(__xludf.DUMMYFUNCTION("""COMPUTED_VALUE"""),0.0)</f>
        <v>0</v>
      </c>
      <c r="E2" s="312">
        <f>IFERROR(__xludf.DUMMYFUNCTION("""COMPUTED_VALUE"""),0.4751599999999999)</f>
        <v>0.47516</v>
      </c>
      <c r="F2" s="312">
        <f>IFERROR(__xludf.DUMMYFUNCTION("""COMPUTED_VALUE"""),0.45)</f>
        <v>0.45</v>
      </c>
      <c r="G2" s="312">
        <f>IFERROR(__xludf.DUMMYFUNCTION("""COMPUTED_VALUE"""),0.4751599999999999)</f>
        <v>0.47516</v>
      </c>
      <c r="H2" s="312">
        <f>IFERROR(__xludf.DUMMYFUNCTION("""COMPUTED_VALUE"""),-0.4751599999999999)</f>
        <v>-0.47516</v>
      </c>
      <c r="I2" s="310" t="str">
        <f>IFERROR(__xludf.DUMMYFUNCTION("""COMPUTED_VALUE"""),"1. Danh sách cảnh báo OE")</f>
        <v>1. Danh sách cảnh báo OE</v>
      </c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</row>
    <row r="3">
      <c r="A3" s="313" t="str">
        <f>IFERROR(__xludf.DUMMYFUNCTION("""COMPUTED_VALUE"""),"TNG")</f>
        <v>TNG</v>
      </c>
      <c r="B3" s="313" t="str">
        <f>IFERROR(__xludf.DUMMYFUNCTION("""COMPUTED_VALUE"""),"Đắk Lắk")</f>
        <v>Đắk Lắk</v>
      </c>
      <c r="C3" s="314" t="str">
        <f>IFERROR(__xludf.DUMMYFUNCTION("""COMPUTED_VALUE"""),"BC 70 Đường 30/4-Ea Tam-Buôn Ma Thuột-Đắk Lắk")</f>
        <v>BC 70 Đường 30/4-Ea Tam-Buôn Ma Thuột-Đắk Lắk</v>
      </c>
      <c r="D3" s="315">
        <f>IFERROR(__xludf.DUMMYFUNCTION("""COMPUTED_VALUE"""),0.5118755118755118)</f>
        <v>0.5118755119</v>
      </c>
      <c r="E3" s="315">
        <f>IFERROR(__xludf.DUMMYFUNCTION("""COMPUTED_VALUE"""),0.49916999999999995)</f>
        <v>0.49917</v>
      </c>
      <c r="F3" s="315">
        <f>IFERROR(__xludf.DUMMYFUNCTION("""COMPUTED_VALUE"""),0.45)</f>
        <v>0.45</v>
      </c>
      <c r="G3" s="315">
        <f>IFERROR(__xludf.DUMMYFUNCTION("""COMPUTED_VALUE"""),0.49916999999999995)</f>
        <v>0.49917</v>
      </c>
      <c r="H3" s="315">
        <f>IFERROR(__xludf.DUMMYFUNCTION("""COMPUTED_VALUE"""),0.012705511875511888)</f>
        <v>0.01270551188</v>
      </c>
      <c r="I3" s="313" t="str">
        <f>IFERROR(__xludf.DUMMYFUNCTION("""COMPUTED_VALUE"""),"2. Nguy hiểm")</f>
        <v>2. Nguy hiểm</v>
      </c>
      <c r="J3" s="316"/>
      <c r="K3" s="316"/>
      <c r="L3" s="316"/>
      <c r="M3" s="316"/>
      <c r="N3" s="316"/>
      <c r="O3" s="316"/>
      <c r="P3" s="316"/>
      <c r="Q3" s="316"/>
      <c r="R3" s="316"/>
      <c r="S3" s="316"/>
      <c r="T3" s="316"/>
      <c r="U3" s="316"/>
      <c r="V3" s="316"/>
      <c r="W3" s="316"/>
      <c r="X3" s="316"/>
      <c r="Y3" s="316"/>
      <c r="Z3" s="316"/>
    </row>
    <row r="4">
      <c r="A4" s="313" t="str">
        <f>IFERROR(__xludf.DUMMYFUNCTION("""COMPUTED_VALUE"""),"TNG")</f>
        <v>TNG</v>
      </c>
      <c r="B4" s="313" t="str">
        <f>IFERROR(__xludf.DUMMYFUNCTION("""COMPUTED_VALUE"""),"Đắk Lắk")</f>
        <v>Đắk Lắk</v>
      </c>
      <c r="C4" s="314" t="str">
        <f>IFERROR(__xludf.DUMMYFUNCTION("""COMPUTED_VALUE"""),"BC 34 Quang Trung-Eakar-Đắk Lắk")</f>
        <v>BC 34 Quang Trung-Eakar-Đắk Lắk</v>
      </c>
      <c r="D4" s="315">
        <f>IFERROR(__xludf.DUMMYFUNCTION("""COMPUTED_VALUE"""),0.5187491718563668)</f>
        <v>0.5187491719</v>
      </c>
      <c r="E4" s="315">
        <f>IFERROR(__xludf.DUMMYFUNCTION("""COMPUTED_VALUE"""),0.48041)</f>
        <v>0.48041</v>
      </c>
      <c r="F4" s="315">
        <f>IFERROR(__xludf.DUMMYFUNCTION("""COMPUTED_VALUE"""),0.45)</f>
        <v>0.45</v>
      </c>
      <c r="G4" s="315">
        <f>IFERROR(__xludf.DUMMYFUNCTION("""COMPUTED_VALUE"""),0.48041)</f>
        <v>0.48041</v>
      </c>
      <c r="H4" s="315">
        <f>IFERROR(__xludf.DUMMYFUNCTION("""COMPUTED_VALUE"""),0.038339171856366816)</f>
        <v>0.03833917186</v>
      </c>
      <c r="I4" s="313" t="str">
        <f>IFERROR(__xludf.DUMMYFUNCTION("""COMPUTED_VALUE"""),"2. Nguy hiểm")</f>
        <v>2. Nguy hiểm</v>
      </c>
      <c r="J4" s="316"/>
      <c r="K4" s="316"/>
      <c r="L4" s="316"/>
      <c r="M4" s="316"/>
      <c r="N4" s="316"/>
      <c r="O4" s="316"/>
      <c r="P4" s="316"/>
      <c r="Q4" s="316"/>
      <c r="R4" s="316"/>
      <c r="S4" s="316"/>
      <c r="T4" s="316"/>
      <c r="U4" s="316"/>
      <c r="V4" s="316"/>
      <c r="W4" s="316"/>
      <c r="X4" s="316"/>
      <c r="Y4" s="316"/>
      <c r="Z4" s="316"/>
    </row>
    <row r="5">
      <c r="A5" s="313" t="str">
        <f>IFERROR(__xludf.DUMMYFUNCTION("""COMPUTED_VALUE"""),"TNG")</f>
        <v>TNG</v>
      </c>
      <c r="B5" s="313" t="str">
        <f>IFERROR(__xludf.DUMMYFUNCTION("""COMPUTED_VALUE"""),"Đắk Lắk")</f>
        <v>Đắk Lắk</v>
      </c>
      <c r="C5" s="314" t="str">
        <f>IFERROR(__xludf.DUMMYFUNCTION("""COMPUTED_VALUE"""),"BC 01 An Bình-Ea KNốp-Ea Kar-Đắk Lắk")</f>
        <v>BC 01 An Bình-Ea KNốp-Ea Kar-Đắk Lắk</v>
      </c>
      <c r="D5" s="315">
        <f>IFERROR(__xludf.DUMMYFUNCTION("""COMPUTED_VALUE"""),0.5193945127719962)</f>
        <v>0.5193945128</v>
      </c>
      <c r="E5" s="315">
        <f>IFERROR(__xludf.DUMMYFUNCTION("""COMPUTED_VALUE"""),0.46186)</f>
        <v>0.46186</v>
      </c>
      <c r="F5" s="315">
        <f>IFERROR(__xludf.DUMMYFUNCTION("""COMPUTED_VALUE"""),0.45)</f>
        <v>0.45</v>
      </c>
      <c r="G5" s="315">
        <f>IFERROR(__xludf.DUMMYFUNCTION("""COMPUTED_VALUE"""),0.46186)</f>
        <v>0.46186</v>
      </c>
      <c r="H5" s="315">
        <f>IFERROR(__xludf.DUMMYFUNCTION("""COMPUTED_VALUE"""),0.05753451277199623)</f>
        <v>0.05753451277</v>
      </c>
      <c r="I5" s="313" t="str">
        <f>IFERROR(__xludf.DUMMYFUNCTION("""COMPUTED_VALUE"""),"3. Cảnh báo")</f>
        <v>3. Cảnh báo</v>
      </c>
      <c r="J5" s="316"/>
      <c r="K5" s="316"/>
      <c r="L5" s="316"/>
      <c r="M5" s="316"/>
      <c r="N5" s="316"/>
      <c r="O5" s="316"/>
      <c r="P5" s="316"/>
      <c r="Q5" s="316"/>
      <c r="R5" s="316"/>
      <c r="S5" s="316"/>
      <c r="T5" s="316"/>
      <c r="U5" s="316"/>
      <c r="V5" s="316"/>
      <c r="W5" s="316"/>
      <c r="X5" s="316"/>
      <c r="Y5" s="316"/>
      <c r="Z5" s="316"/>
    </row>
    <row r="6">
      <c r="A6" s="313" t="str">
        <f>IFERROR(__xludf.DUMMYFUNCTION("""COMPUTED_VALUE"""),"TNG")</f>
        <v>TNG</v>
      </c>
      <c r="B6" s="313" t="str">
        <f>IFERROR(__xludf.DUMMYFUNCTION("""COMPUTED_VALUE"""),"Đắk Lắk")</f>
        <v>Đắk Lắk</v>
      </c>
      <c r="C6" s="314" t="str">
        <f>IFERROR(__xludf.DUMMYFUNCTION("""COMPUTED_VALUE"""),"BC Ngã Ba Đắk Liêng-Huyện Lắk-Đắk Lắk")</f>
        <v>BC Ngã Ba Đắk Liêng-Huyện Lắk-Đắk Lắk</v>
      </c>
      <c r="D6" s="315">
        <f>IFERROR(__xludf.DUMMYFUNCTION("""COMPUTED_VALUE"""),0.5819611698205948)</f>
        <v>0.5819611698</v>
      </c>
      <c r="E6" s="315">
        <f>IFERROR(__xludf.DUMMYFUNCTION("""COMPUTED_VALUE"""),0.5088999999999999)</f>
        <v>0.5089</v>
      </c>
      <c r="F6" s="315">
        <f>IFERROR(__xludf.DUMMYFUNCTION("""COMPUTED_VALUE"""),0.45)</f>
        <v>0.45</v>
      </c>
      <c r="G6" s="315">
        <f>IFERROR(__xludf.DUMMYFUNCTION("""COMPUTED_VALUE"""),0.5088999999999999)</f>
        <v>0.5089</v>
      </c>
      <c r="H6" s="315">
        <f>IFERROR(__xludf.DUMMYFUNCTION("""COMPUTED_VALUE"""),0.07306116982059485)</f>
        <v>0.07306116982</v>
      </c>
      <c r="I6" s="313" t="str">
        <f>IFERROR(__xludf.DUMMYFUNCTION("""COMPUTED_VALUE"""),"3. Cảnh báo")</f>
        <v>3. Cảnh báo</v>
      </c>
      <c r="J6" s="316"/>
      <c r="K6" s="316"/>
      <c r="L6" s="316"/>
      <c r="M6" s="316"/>
      <c r="N6" s="316"/>
      <c r="O6" s="316"/>
      <c r="P6" s="316"/>
      <c r="Q6" s="316"/>
      <c r="R6" s="316"/>
      <c r="S6" s="316"/>
      <c r="T6" s="316"/>
      <c r="U6" s="316"/>
      <c r="V6" s="316"/>
      <c r="W6" s="316"/>
      <c r="X6" s="316"/>
      <c r="Y6" s="316"/>
      <c r="Z6" s="316"/>
    </row>
    <row r="7">
      <c r="A7" s="313" t="str">
        <f>IFERROR(__xludf.DUMMYFUNCTION("""COMPUTED_VALUE"""),"TNG")</f>
        <v>TNG</v>
      </c>
      <c r="B7" s="313" t="str">
        <f>IFERROR(__xludf.DUMMYFUNCTION("""COMPUTED_VALUE"""),"Đắk Lắk")</f>
        <v>Đắk Lắk</v>
      </c>
      <c r="C7" s="314" t="str">
        <f>IFERROR(__xludf.DUMMYFUNCTION("""COMPUTED_VALUE"""),"BC Phạm Văn Đồng-Pơng Đrang-Krông Búk-Đắk Lắk")</f>
        <v>BC Phạm Văn Đồng-Pơng Đrang-Krông Búk-Đắk Lắk</v>
      </c>
      <c r="D7" s="315">
        <f>IFERROR(__xludf.DUMMYFUNCTION("""COMPUTED_VALUE"""),0.5515454377197853)</f>
        <v>0.5515454377</v>
      </c>
      <c r="E7" s="315">
        <f>IFERROR(__xludf.DUMMYFUNCTION("""COMPUTED_VALUE"""),0.4701199999999999)</f>
        <v>0.47012</v>
      </c>
      <c r="F7" s="315">
        <f>IFERROR(__xludf.DUMMYFUNCTION("""COMPUTED_VALUE"""),0.45)</f>
        <v>0.45</v>
      </c>
      <c r="G7" s="315">
        <f>IFERROR(__xludf.DUMMYFUNCTION("""COMPUTED_VALUE"""),0.4701199999999999)</f>
        <v>0.47012</v>
      </c>
      <c r="H7" s="315">
        <f>IFERROR(__xludf.DUMMYFUNCTION("""COMPUTED_VALUE"""),0.08142543771978533)</f>
        <v>0.08142543772</v>
      </c>
      <c r="I7" s="313" t="str">
        <f>IFERROR(__xludf.DUMMYFUNCTION("""COMPUTED_VALUE"""),"3. Cảnh báo")</f>
        <v>3. Cảnh báo</v>
      </c>
    </row>
    <row r="8">
      <c r="A8" s="313" t="str">
        <f>IFERROR(__xludf.DUMMYFUNCTION("""COMPUTED_VALUE"""),"TNG")</f>
        <v>TNG</v>
      </c>
      <c r="B8" s="313" t="str">
        <f>IFERROR(__xludf.DUMMYFUNCTION("""COMPUTED_VALUE"""),"Đắk Lắk")</f>
        <v>Đắk Lắk</v>
      </c>
      <c r="C8" s="314" t="str">
        <f>IFERROR(__xludf.DUMMYFUNCTION("""COMPUTED_VALUE"""),"BC Ea Phê-Krông Pắk-Đắk Lắk")</f>
        <v>BC Ea Phê-Krông Pắk-Đắk Lắk</v>
      </c>
      <c r="D8" s="315">
        <f>IFERROR(__xludf.DUMMYFUNCTION("""COMPUTED_VALUE"""),0.6191555097837281)</f>
        <v>0.6191555098</v>
      </c>
      <c r="E8" s="315">
        <f>IFERROR(__xludf.DUMMYFUNCTION("""COMPUTED_VALUE"""),0.53249)</f>
        <v>0.53249</v>
      </c>
      <c r="F8" s="315">
        <f>IFERROR(__xludf.DUMMYFUNCTION("""COMPUTED_VALUE"""),0.45)</f>
        <v>0.45</v>
      </c>
      <c r="G8" s="315">
        <f>IFERROR(__xludf.DUMMYFUNCTION("""COMPUTED_VALUE"""),0.53249)</f>
        <v>0.53249</v>
      </c>
      <c r="H8" s="315">
        <f>IFERROR(__xludf.DUMMYFUNCTION("""COMPUTED_VALUE"""),0.08666550978372811)</f>
        <v>0.08666550978</v>
      </c>
      <c r="I8" s="313" t="str">
        <f>IFERROR(__xludf.DUMMYFUNCTION("""COMPUTED_VALUE"""),"3. Cảnh báo")</f>
        <v>3. Cảnh báo</v>
      </c>
    </row>
    <row r="9">
      <c r="A9" s="313" t="str">
        <f>IFERROR(__xludf.DUMMYFUNCTION("""COMPUTED_VALUE"""),"TNG")</f>
        <v>TNG</v>
      </c>
      <c r="B9" s="313" t="str">
        <f>IFERROR(__xludf.DUMMYFUNCTION("""COMPUTED_VALUE"""),"Gia Lai")</f>
        <v>Gia Lai</v>
      </c>
      <c r="C9" s="314" t="str">
        <f>IFERROR(__xludf.DUMMYFUNCTION("""COMPUTED_VALUE"""),"BC 236A Nguyễn Huệ-Đak Đoa-Gia Lai")</f>
        <v>BC 236A Nguyễn Huệ-Đak Đoa-Gia Lai</v>
      </c>
      <c r="D9" s="315">
        <f>IFERROR(__xludf.DUMMYFUNCTION("""COMPUTED_VALUE"""),0.6593839055502781)</f>
        <v>0.6593839056</v>
      </c>
      <c r="E9" s="315">
        <f>IFERROR(__xludf.DUMMYFUNCTION("""COMPUTED_VALUE"""),0.56112)</f>
        <v>0.56112</v>
      </c>
      <c r="F9" s="315">
        <f>IFERROR(__xludf.DUMMYFUNCTION("""COMPUTED_VALUE"""),0.45)</f>
        <v>0.45</v>
      </c>
      <c r="G9" s="315">
        <f>IFERROR(__xludf.DUMMYFUNCTION("""COMPUTED_VALUE"""),0.56112)</f>
        <v>0.56112</v>
      </c>
      <c r="H9" s="315">
        <f>IFERROR(__xludf.DUMMYFUNCTION("""COMPUTED_VALUE"""),0.0982639055502782)</f>
        <v>0.09826390555</v>
      </c>
      <c r="I9" s="313" t="str">
        <f>IFERROR(__xludf.DUMMYFUNCTION("""COMPUTED_VALUE"""),"3. Cảnh báo")</f>
        <v>3. Cảnh báo</v>
      </c>
      <c r="J9" s="316"/>
      <c r="K9" s="316"/>
      <c r="L9" s="316"/>
      <c r="M9" s="316"/>
      <c r="N9" s="316"/>
      <c r="O9" s="316"/>
      <c r="P9" s="316"/>
      <c r="Q9" s="316"/>
      <c r="R9" s="316"/>
      <c r="S9" s="316"/>
      <c r="T9" s="316"/>
      <c r="U9" s="316"/>
      <c r="V9" s="316"/>
      <c r="W9" s="316"/>
      <c r="X9" s="316"/>
      <c r="Y9" s="316"/>
      <c r="Z9" s="316"/>
    </row>
    <row r="10">
      <c r="A10" s="313" t="str">
        <f>IFERROR(__xludf.DUMMYFUNCTION("""COMPUTED_VALUE"""),"TNG")</f>
        <v>TNG</v>
      </c>
      <c r="B10" s="313" t="str">
        <f>IFERROR(__xludf.DUMMYFUNCTION("""COMPUTED_VALUE"""),"Gia Lai")</f>
        <v>Gia Lai</v>
      </c>
      <c r="C10" s="314" t="str">
        <f>IFERROR(__xludf.DUMMYFUNCTION("""COMPUTED_VALUE"""),"BC 39 Nguyễn Huệ-Ayun Pa-Gia Lai")</f>
        <v>BC 39 Nguyễn Huệ-Ayun Pa-Gia Lai</v>
      </c>
      <c r="D10" s="315">
        <f>IFERROR(__xludf.DUMMYFUNCTION("""COMPUTED_VALUE"""),0.7093639575971732)</f>
        <v>0.7093639576</v>
      </c>
      <c r="E10" s="315">
        <f>IFERROR(__xludf.DUMMYFUNCTION("""COMPUTED_VALUE"""),0.6096999999999999)</f>
        <v>0.6097</v>
      </c>
      <c r="F10" s="315">
        <f>IFERROR(__xludf.DUMMYFUNCTION("""COMPUTED_VALUE"""),0.45)</f>
        <v>0.45</v>
      </c>
      <c r="G10" s="315">
        <f>IFERROR(__xludf.DUMMYFUNCTION("""COMPUTED_VALUE"""),0.6096999999999999)</f>
        <v>0.6097</v>
      </c>
      <c r="H10" s="315">
        <f>IFERROR(__xludf.DUMMYFUNCTION("""COMPUTED_VALUE"""),0.09966395759717328)</f>
        <v>0.0996639576</v>
      </c>
      <c r="I10" s="313" t="str">
        <f>IFERROR(__xludf.DUMMYFUNCTION("""COMPUTED_VALUE"""),"3. Cảnh báo")</f>
        <v>3. Cảnh báo</v>
      </c>
      <c r="J10" s="316"/>
      <c r="K10" s="316"/>
      <c r="L10" s="316"/>
      <c r="M10" s="316"/>
      <c r="N10" s="316"/>
      <c r="O10" s="316"/>
      <c r="P10" s="316"/>
      <c r="Q10" s="316"/>
      <c r="R10" s="316"/>
      <c r="S10" s="316"/>
      <c r="T10" s="316"/>
      <c r="U10" s="316"/>
      <c r="V10" s="316"/>
      <c r="W10" s="316"/>
      <c r="X10" s="316"/>
      <c r="Y10" s="316"/>
      <c r="Z10" s="316"/>
    </row>
    <row r="11">
      <c r="A11" s="317" t="str">
        <f>IFERROR(__xludf.DUMMYFUNCTION("""COMPUTED_VALUE"""),"TNG")</f>
        <v>TNG</v>
      </c>
      <c r="B11" s="317" t="str">
        <f>IFERROR(__xludf.DUMMYFUNCTION("""COMPUTED_VALUE"""),"Gia Lai")</f>
        <v>Gia Lai</v>
      </c>
      <c r="C11" s="318" t="str">
        <f>IFERROR(__xludf.DUMMYFUNCTION("""COMPUTED_VALUE"""),"BC 172 Quang Trung-Đức Cơ-Gia Lai")</f>
        <v>BC 172 Quang Trung-Đức Cơ-Gia Lai</v>
      </c>
      <c r="D11" s="319">
        <f>IFERROR(__xludf.DUMMYFUNCTION("""COMPUTED_VALUE"""),0.634466198743997)</f>
        <v>0.6344661987</v>
      </c>
      <c r="E11" s="319">
        <f>IFERROR(__xludf.DUMMYFUNCTION("""COMPUTED_VALUE"""),0.5326299999999999)</f>
        <v>0.53263</v>
      </c>
      <c r="F11" s="319">
        <f>IFERROR(__xludf.DUMMYFUNCTION("""COMPUTED_VALUE"""),0.45)</f>
        <v>0.45</v>
      </c>
      <c r="G11" s="319">
        <f>IFERROR(__xludf.DUMMYFUNCTION("""COMPUTED_VALUE"""),0.5326299999999999)</f>
        <v>0.53263</v>
      </c>
      <c r="H11" s="319">
        <f>IFERROR(__xludf.DUMMYFUNCTION("""COMPUTED_VALUE"""),0.10183619874399708)</f>
        <v>0.1018361987</v>
      </c>
      <c r="I11" s="317" t="str">
        <f>IFERROR(__xludf.DUMMYFUNCTION("""COMPUTED_VALUE"""),"4. An Toàn")</f>
        <v>4. An Toàn</v>
      </c>
      <c r="J11" s="316"/>
      <c r="K11" s="316"/>
      <c r="L11" s="316"/>
      <c r="M11" s="316"/>
      <c r="N11" s="316"/>
      <c r="O11" s="316"/>
      <c r="P11" s="316"/>
      <c r="Q11" s="316"/>
      <c r="R11" s="316"/>
      <c r="S11" s="316"/>
      <c r="T11" s="316"/>
      <c r="U11" s="316"/>
      <c r="V11" s="316"/>
      <c r="W11" s="316"/>
      <c r="X11" s="316"/>
      <c r="Y11" s="316"/>
      <c r="Z11" s="316"/>
    </row>
    <row r="12">
      <c r="A12" s="317" t="str">
        <f>IFERROR(__xludf.DUMMYFUNCTION("""COMPUTED_VALUE"""),"TNG")</f>
        <v>TNG</v>
      </c>
      <c r="B12" s="317" t="str">
        <f>IFERROR(__xludf.DUMMYFUNCTION("""COMPUTED_VALUE"""),"Đắk Lắk")</f>
        <v>Đắk Lắk</v>
      </c>
      <c r="C12" s="318" t="str">
        <f>IFERROR(__xludf.DUMMYFUNCTION("""COMPUTED_VALUE"""),"BC 245 Hùng Vương-Ea Súp-Đắk Lắk")</f>
        <v>BC 245 Hùng Vương-Ea Súp-Đắk Lắk</v>
      </c>
      <c r="D12" s="319">
        <f>IFERROR(__xludf.DUMMYFUNCTION("""COMPUTED_VALUE"""),0.6956926658905704)</f>
        <v>0.6956926659</v>
      </c>
      <c r="E12" s="319">
        <f>IFERROR(__xludf.DUMMYFUNCTION("""COMPUTED_VALUE"""),0.58394)</f>
        <v>0.58394</v>
      </c>
      <c r="F12" s="319">
        <f>IFERROR(__xludf.DUMMYFUNCTION("""COMPUTED_VALUE"""),0.45)</f>
        <v>0.45</v>
      </c>
      <c r="G12" s="319">
        <f>IFERROR(__xludf.DUMMYFUNCTION("""COMPUTED_VALUE"""),0.58394)</f>
        <v>0.58394</v>
      </c>
      <c r="H12" s="319">
        <f>IFERROR(__xludf.DUMMYFUNCTION("""COMPUTED_VALUE"""),0.11175266589057042)</f>
        <v>0.1117526659</v>
      </c>
      <c r="I12" s="317" t="str">
        <f>IFERROR(__xludf.DUMMYFUNCTION("""COMPUTED_VALUE"""),"4. An Toàn")</f>
        <v>4. An Toàn</v>
      </c>
      <c r="J12" s="316"/>
      <c r="K12" s="316"/>
      <c r="L12" s="316"/>
      <c r="M12" s="316"/>
      <c r="N12" s="316"/>
      <c r="O12" s="316"/>
      <c r="P12" s="316"/>
      <c r="Q12" s="316"/>
      <c r="R12" s="316"/>
      <c r="S12" s="316"/>
      <c r="T12" s="316"/>
      <c r="U12" s="316"/>
      <c r="V12" s="316"/>
      <c r="W12" s="316"/>
      <c r="X12" s="316"/>
      <c r="Y12" s="316"/>
      <c r="Z12" s="316"/>
    </row>
    <row r="13">
      <c r="A13" s="320" t="str">
        <f>IFERROR(__xludf.DUMMYFUNCTION("""COMPUTED_VALUE"""),"TNG")</f>
        <v>TNG</v>
      </c>
      <c r="B13" s="320" t="str">
        <f>IFERROR(__xludf.DUMMYFUNCTION("""COMPUTED_VALUE"""),"Đắk Lắk")</f>
        <v>Đắk Lắk</v>
      </c>
      <c r="C13" s="321" t="str">
        <f>IFERROR(__xludf.DUMMYFUNCTION("""COMPUTED_VALUE"""),"BC 204 Trần Hưng Đạo-Buôn Hồ-Đắk Lắk")</f>
        <v>BC 204 Trần Hưng Đạo-Buôn Hồ-Đắk Lắk</v>
      </c>
      <c r="D13" s="322">
        <f>IFERROR(__xludf.DUMMYFUNCTION("""COMPUTED_VALUE"""),0.6130718954248366)</f>
        <v>0.6130718954</v>
      </c>
      <c r="E13" s="322">
        <f>IFERROR(__xludf.DUMMYFUNCTION("""COMPUTED_VALUE"""),0.49216999999999994)</f>
        <v>0.49217</v>
      </c>
      <c r="F13" s="322">
        <f>IFERROR(__xludf.DUMMYFUNCTION("""COMPUTED_VALUE"""),0.45)</f>
        <v>0.45</v>
      </c>
      <c r="G13" s="322">
        <f>IFERROR(__xludf.DUMMYFUNCTION("""COMPUTED_VALUE"""),0.49216999999999994)</f>
        <v>0.49217</v>
      </c>
      <c r="H13" s="322">
        <f>IFERROR(__xludf.DUMMYFUNCTION("""COMPUTED_VALUE"""),0.1209018954248367)</f>
        <v>0.1209018954</v>
      </c>
      <c r="I13" s="320" t="str">
        <f>IFERROR(__xludf.DUMMYFUNCTION("""COMPUTED_VALUE"""),"4. An Toàn")</f>
        <v>4. An Toàn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>
      <c r="A14" s="320" t="str">
        <f>IFERROR(__xludf.DUMMYFUNCTION("""COMPUTED_VALUE"""),"TNG")</f>
        <v>TNG</v>
      </c>
      <c r="B14" s="320" t="str">
        <f>IFERROR(__xludf.DUMMYFUNCTION("""COMPUTED_VALUE"""),"Đắk Lắk")</f>
        <v>Đắk Lắk</v>
      </c>
      <c r="C14" s="321" t="str">
        <f>IFERROR(__xludf.DUMMYFUNCTION("""COMPUTED_VALUE"""),"BC 125 Lý Chính Thắng-Buôn Ma Thuột-Đắk Lắk")</f>
        <v>BC 125 Lý Chính Thắng-Buôn Ma Thuột-Đắk Lắk</v>
      </c>
      <c r="D14" s="322">
        <f>IFERROR(__xludf.DUMMYFUNCTION("""COMPUTED_VALUE"""),0.6541301734501116)</f>
        <v>0.6541301735</v>
      </c>
      <c r="E14" s="322">
        <f>IFERROR(__xludf.DUMMYFUNCTION("""COMPUTED_VALUE"""),0.53123)</f>
        <v>0.53123</v>
      </c>
      <c r="F14" s="322">
        <f>IFERROR(__xludf.DUMMYFUNCTION("""COMPUTED_VALUE"""),0.45)</f>
        <v>0.45</v>
      </c>
      <c r="G14" s="322">
        <f>IFERROR(__xludf.DUMMYFUNCTION("""COMPUTED_VALUE"""),0.53123)</f>
        <v>0.53123</v>
      </c>
      <c r="H14" s="322">
        <f>IFERROR(__xludf.DUMMYFUNCTION("""COMPUTED_VALUE"""),0.12290017345011162)</f>
        <v>0.1229001735</v>
      </c>
      <c r="I14" s="320" t="str">
        <f>IFERROR(__xludf.DUMMYFUNCTION("""COMPUTED_VALUE"""),"4. An Toàn")</f>
        <v>4. An Toàn</v>
      </c>
    </row>
    <row r="15">
      <c r="A15" s="320" t="str">
        <f>IFERROR(__xludf.DUMMYFUNCTION("""COMPUTED_VALUE"""),"TNG")</f>
        <v>TNG</v>
      </c>
      <c r="B15" s="320" t="str">
        <f>IFERROR(__xludf.DUMMYFUNCTION("""COMPUTED_VALUE"""),"Gia Lai")</f>
        <v>Gia Lai</v>
      </c>
      <c r="C15" s="321" t="str">
        <f>IFERROR(__xludf.DUMMYFUNCTION("""COMPUTED_VALUE"""),"BC 153 Hùng Vương-Ia Grai-Gia Lai")</f>
        <v>BC 153 Hùng Vương-Ia Grai-Gia Lai</v>
      </c>
      <c r="D15" s="322">
        <f>IFERROR(__xludf.DUMMYFUNCTION("""COMPUTED_VALUE"""),0.7405289492494639)</f>
        <v>0.7405289492</v>
      </c>
      <c r="E15" s="322">
        <f>IFERROR(__xludf.DUMMYFUNCTION("""COMPUTED_VALUE"""),0.60613)</f>
        <v>0.60613</v>
      </c>
      <c r="F15" s="322">
        <f>IFERROR(__xludf.DUMMYFUNCTION("""COMPUTED_VALUE"""),0.45)</f>
        <v>0.45</v>
      </c>
      <c r="G15" s="322">
        <f>IFERROR(__xludf.DUMMYFUNCTION("""COMPUTED_VALUE"""),0.60613)</f>
        <v>0.60613</v>
      </c>
      <c r="H15" s="322">
        <f>IFERROR(__xludf.DUMMYFUNCTION("""COMPUTED_VALUE"""),0.13439894924946394)</f>
        <v>0.1343989492</v>
      </c>
      <c r="I15" s="320" t="str">
        <f>IFERROR(__xludf.DUMMYFUNCTION("""COMPUTED_VALUE"""),"4. An Toàn")</f>
        <v>4. An Toàn</v>
      </c>
    </row>
    <row r="16">
      <c r="A16" s="320" t="str">
        <f>IFERROR(__xludf.DUMMYFUNCTION("""COMPUTED_VALUE"""),"TNG")</f>
        <v>TNG</v>
      </c>
      <c r="B16" s="320" t="str">
        <f>IFERROR(__xludf.DUMMYFUNCTION("""COMPUTED_VALUE"""),"Gia Lai")</f>
        <v>Gia Lai</v>
      </c>
      <c r="C16" s="321" t="str">
        <f>IFERROR(__xludf.DUMMYFUNCTION("""COMPUTED_VALUE"""),"BC 499 Phạm Văn Đồng-Pleiku-Gia Lai")</f>
        <v>BC 499 Phạm Văn Đồng-Pleiku-Gia Lai</v>
      </c>
      <c r="D16" s="322">
        <f>IFERROR(__xludf.DUMMYFUNCTION("""COMPUTED_VALUE"""),0.7474273804871695)</f>
        <v>0.7474273805</v>
      </c>
      <c r="E16" s="322">
        <f>IFERROR(__xludf.DUMMYFUNCTION("""COMPUTED_VALUE"""),0.59402)</f>
        <v>0.59402</v>
      </c>
      <c r="F16" s="322">
        <f>IFERROR(__xludf.DUMMYFUNCTION("""COMPUTED_VALUE"""),0.45)</f>
        <v>0.45</v>
      </c>
      <c r="G16" s="322">
        <f>IFERROR(__xludf.DUMMYFUNCTION("""COMPUTED_VALUE"""),0.59402)</f>
        <v>0.59402</v>
      </c>
      <c r="H16" s="322">
        <f>IFERROR(__xludf.DUMMYFUNCTION("""COMPUTED_VALUE"""),0.1534073804871695)</f>
        <v>0.1534073805</v>
      </c>
      <c r="I16" s="320" t="str">
        <f>IFERROR(__xludf.DUMMYFUNCTION("""COMPUTED_VALUE"""),"4. An Toàn")</f>
        <v>4. An Toàn</v>
      </c>
    </row>
    <row r="17">
      <c r="A17" s="320" t="str">
        <f>IFERROR(__xludf.DUMMYFUNCTION("""COMPUTED_VALUE"""),"TNG")</f>
        <v>TNG</v>
      </c>
      <c r="B17" s="320" t="str">
        <f>IFERROR(__xludf.DUMMYFUNCTION("""COMPUTED_VALUE"""),"Gia Lai")</f>
        <v>Gia Lai</v>
      </c>
      <c r="C17" s="321" t="str">
        <f>IFERROR(__xludf.DUMMYFUNCTION("""COMPUTED_VALUE"""),"BC 138 Hùng Vương-Phú Thiện-Gia Lai")</f>
        <v>BC 138 Hùng Vương-Phú Thiện-Gia Lai</v>
      </c>
      <c r="D17" s="322">
        <f>IFERROR(__xludf.DUMMYFUNCTION("""COMPUTED_VALUE"""),0.7451232977548767)</f>
        <v>0.7451232978</v>
      </c>
      <c r="E17" s="322">
        <f>IFERROR(__xludf.DUMMYFUNCTION("""COMPUTED_VALUE"""),0.5901)</f>
        <v>0.5901</v>
      </c>
      <c r="F17" s="322">
        <f>IFERROR(__xludf.DUMMYFUNCTION("""COMPUTED_VALUE"""),0.45)</f>
        <v>0.45</v>
      </c>
      <c r="G17" s="322">
        <f>IFERROR(__xludf.DUMMYFUNCTION("""COMPUTED_VALUE"""),0.5901)</f>
        <v>0.5901</v>
      </c>
      <c r="H17" s="322">
        <f>IFERROR(__xludf.DUMMYFUNCTION("""COMPUTED_VALUE"""),0.15502329775487678)</f>
        <v>0.1550232978</v>
      </c>
      <c r="I17" s="320" t="str">
        <f>IFERROR(__xludf.DUMMYFUNCTION("""COMPUTED_VALUE"""),"4. An Toàn")</f>
        <v>4. An Toàn</v>
      </c>
    </row>
    <row r="18">
      <c r="A18" s="320" t="str">
        <f>IFERROR(__xludf.DUMMYFUNCTION("""COMPUTED_VALUE"""),"TNG")</f>
        <v>TNG</v>
      </c>
      <c r="B18" s="320" t="str">
        <f>IFERROR(__xludf.DUMMYFUNCTION("""COMPUTED_VALUE"""),"Gia Lai")</f>
        <v>Gia Lai</v>
      </c>
      <c r="C18" s="321" t="str">
        <f>IFERROR(__xludf.DUMMYFUNCTION("""COMPUTED_VALUE"""),"BC 274 Hùng Vương-Chư Pưh-Gia Lai")</f>
        <v>BC 274 Hùng Vương-Chư Pưh-Gia Lai</v>
      </c>
      <c r="D18" s="322">
        <f>IFERROR(__xludf.DUMMYFUNCTION("""COMPUTED_VALUE"""),0.7647058823529411)</f>
        <v>0.7647058824</v>
      </c>
      <c r="E18" s="322">
        <f>IFERROR(__xludf.DUMMYFUNCTION("""COMPUTED_VALUE"""),0.6085799999999999)</f>
        <v>0.60858</v>
      </c>
      <c r="F18" s="322">
        <f>IFERROR(__xludf.DUMMYFUNCTION("""COMPUTED_VALUE"""),0.45)</f>
        <v>0.45</v>
      </c>
      <c r="G18" s="322">
        <f>IFERROR(__xludf.DUMMYFUNCTION("""COMPUTED_VALUE"""),0.6085799999999999)</f>
        <v>0.60858</v>
      </c>
      <c r="H18" s="322">
        <f>IFERROR(__xludf.DUMMYFUNCTION("""COMPUTED_VALUE"""),0.15612588235294123)</f>
        <v>0.1561258824</v>
      </c>
      <c r="I18" s="320" t="str">
        <f>IFERROR(__xludf.DUMMYFUNCTION("""COMPUTED_VALUE"""),"4. An Toàn")</f>
        <v>4. An Toàn</v>
      </c>
    </row>
    <row r="19">
      <c r="A19" s="323" t="str">
        <f>IFERROR(__xludf.DUMMYFUNCTION("""COMPUTED_VALUE"""),"TNG")</f>
        <v>TNG</v>
      </c>
      <c r="B19" s="323" t="str">
        <f>IFERROR(__xludf.DUMMYFUNCTION("""COMPUTED_VALUE"""),"Gia Lai")</f>
        <v>Gia Lai</v>
      </c>
      <c r="C19" s="324" t="str">
        <f>IFERROR(__xludf.DUMMYFUNCTION("""COMPUTED_VALUE"""),"BC 56 Đường 17 Tháng 3-Chư Sê-Gia Lai")</f>
        <v>BC 56 Đường 17 Tháng 3-Chư Sê-Gia Lai</v>
      </c>
      <c r="D19" s="325">
        <f>IFERROR(__xludf.DUMMYFUNCTION("""COMPUTED_VALUE"""),0.7386018237082067)</f>
        <v>0.7386018237</v>
      </c>
      <c r="E19" s="325">
        <f>IFERROR(__xludf.DUMMYFUNCTION("""COMPUTED_VALUE"""),0.5760299999999999)</f>
        <v>0.57603</v>
      </c>
      <c r="F19" s="325">
        <f>IFERROR(__xludf.DUMMYFUNCTION("""COMPUTED_VALUE"""),0.45)</f>
        <v>0.45</v>
      </c>
      <c r="G19" s="325">
        <f>IFERROR(__xludf.DUMMYFUNCTION("""COMPUTED_VALUE"""),0.5760299999999999)</f>
        <v>0.57603</v>
      </c>
      <c r="H19" s="325">
        <f>IFERROR(__xludf.DUMMYFUNCTION("""COMPUTED_VALUE"""),0.16257182370820678)</f>
        <v>0.1625718237</v>
      </c>
      <c r="I19" s="323" t="str">
        <f>IFERROR(__xludf.DUMMYFUNCTION("""COMPUTED_VALUE"""),"4. An Toàn")</f>
        <v>4. An Toàn</v>
      </c>
    </row>
    <row r="20">
      <c r="A20" s="259" t="str">
        <f>IFERROR(__xludf.DUMMYFUNCTION("""COMPUTED_VALUE"""),"TNG")</f>
        <v>TNG</v>
      </c>
      <c r="B20" s="259" t="str">
        <f>IFERROR(__xludf.DUMMYFUNCTION("""COMPUTED_VALUE"""),"Đắk Lắk")</f>
        <v>Đắk Lắk</v>
      </c>
      <c r="C20" s="247" t="str">
        <f>IFERROR(__xludf.DUMMYFUNCTION("""COMPUTED_VALUE"""),"BC 159 Tân Quảng-EaTóh-Krông Năng-Đắk Lắk")</f>
        <v>BC 159 Tân Quảng-EaTóh-Krông Năng-Đắk Lắk</v>
      </c>
      <c r="D20" s="244">
        <f>IFERROR(__xludf.DUMMYFUNCTION("""COMPUTED_VALUE"""),0.66682156133829)</f>
        <v>0.6668215613</v>
      </c>
      <c r="E20" s="244">
        <f>IFERROR(__xludf.DUMMYFUNCTION("""COMPUTED_VALUE"""),0.50141)</f>
        <v>0.50141</v>
      </c>
      <c r="F20" s="244">
        <f>IFERROR(__xludf.DUMMYFUNCTION("""COMPUTED_VALUE"""),0.45)</f>
        <v>0.45</v>
      </c>
      <c r="G20" s="244">
        <f>IFERROR(__xludf.DUMMYFUNCTION("""COMPUTED_VALUE"""),0.50141)</f>
        <v>0.50141</v>
      </c>
      <c r="H20" s="244">
        <f>IFERROR(__xludf.DUMMYFUNCTION("""COMPUTED_VALUE"""),0.16541156133828994)</f>
        <v>0.1654115613</v>
      </c>
      <c r="I20" s="259" t="str">
        <f>IFERROR(__xludf.DUMMYFUNCTION("""COMPUTED_VALUE"""),"4. An Toàn")</f>
        <v>4. An Toàn</v>
      </c>
    </row>
    <row r="21">
      <c r="A21" s="259" t="str">
        <f>IFERROR(__xludf.DUMMYFUNCTION("""COMPUTED_VALUE"""),"TNG")</f>
        <v>TNG</v>
      </c>
      <c r="B21" s="259" t="str">
        <f>IFERROR(__xludf.DUMMYFUNCTION("""COMPUTED_VALUE"""),"Đắk Lắk")</f>
        <v>Đắk Lắk</v>
      </c>
      <c r="C21" s="247" t="str">
        <f>IFERROR(__xludf.DUMMYFUNCTION("""COMPUTED_VALUE"""),"BC 941 Giải Phóng-Ea Đrăng-Ea H'Leo-Đắk Lắk")</f>
        <v>BC 941 Giải Phóng-Ea Đrăng-Ea H'Leo-Đắk Lắk</v>
      </c>
      <c r="D21" s="244">
        <f>IFERROR(__xludf.DUMMYFUNCTION("""COMPUTED_VALUE"""),0.6618130577736027)</f>
        <v>0.6618130578</v>
      </c>
      <c r="E21" s="244">
        <f>IFERROR(__xludf.DUMMYFUNCTION("""COMPUTED_VALUE"""),0.48488999999999993)</f>
        <v>0.48489</v>
      </c>
      <c r="F21" s="244">
        <f>IFERROR(__xludf.DUMMYFUNCTION("""COMPUTED_VALUE"""),0.45)</f>
        <v>0.45</v>
      </c>
      <c r="G21" s="244">
        <f>IFERROR(__xludf.DUMMYFUNCTION("""COMPUTED_VALUE"""),0.48488999999999993)</f>
        <v>0.48489</v>
      </c>
      <c r="H21" s="244">
        <f>IFERROR(__xludf.DUMMYFUNCTION("""COMPUTED_VALUE"""),0.17692305777360273)</f>
        <v>0.1769230578</v>
      </c>
      <c r="I21" s="259" t="str">
        <f>IFERROR(__xludf.DUMMYFUNCTION("""COMPUTED_VALUE"""),"4. An Toàn")</f>
        <v>4. An Toàn</v>
      </c>
    </row>
    <row r="22">
      <c r="A22" s="259" t="str">
        <f>IFERROR(__xludf.DUMMYFUNCTION("""COMPUTED_VALUE"""),"TNG")</f>
        <v>TNG</v>
      </c>
      <c r="B22" s="259" t="str">
        <f>IFERROR(__xludf.DUMMYFUNCTION("""COMPUTED_VALUE"""),"Gia Lai")</f>
        <v>Gia Lai</v>
      </c>
      <c r="C22" s="247" t="str">
        <f>IFERROR(__xludf.DUMMYFUNCTION("""COMPUTED_VALUE"""),"BC 327A Cách Mạng Tháng 8-Pleiku-Gia Lai")</f>
        <v>BC 327A Cách Mạng Tháng 8-Pleiku-Gia Lai</v>
      </c>
      <c r="D22" s="244">
        <f>IFERROR(__xludf.DUMMYFUNCTION("""COMPUTED_VALUE"""),0.7602961591855623)</f>
        <v>0.7602961592</v>
      </c>
      <c r="E22" s="244">
        <f>IFERROR(__xludf.DUMMYFUNCTION("""COMPUTED_VALUE"""),0.58114)</f>
        <v>0.58114</v>
      </c>
      <c r="F22" s="244">
        <f>IFERROR(__xludf.DUMMYFUNCTION("""COMPUTED_VALUE"""),0.45)</f>
        <v>0.45</v>
      </c>
      <c r="G22" s="244">
        <f>IFERROR(__xludf.DUMMYFUNCTION("""COMPUTED_VALUE"""),0.58114)</f>
        <v>0.58114</v>
      </c>
      <c r="H22" s="244">
        <f>IFERROR(__xludf.DUMMYFUNCTION("""COMPUTED_VALUE"""),0.17915615918556227)</f>
        <v>0.1791561592</v>
      </c>
      <c r="I22" s="259" t="str">
        <f>IFERROR(__xludf.DUMMYFUNCTION("""COMPUTED_VALUE"""),"4. An Toàn")</f>
        <v>4. An Toàn</v>
      </c>
    </row>
    <row r="23">
      <c r="A23" s="259" t="str">
        <f>IFERROR(__xludf.DUMMYFUNCTION("""COMPUTED_VALUE"""),"TNG")</f>
        <v>TNG</v>
      </c>
      <c r="B23" s="259" t="str">
        <f>IFERROR(__xludf.DUMMYFUNCTION("""COMPUTED_VALUE"""),"Đắk Lắk")</f>
        <v>Đắk Lắk</v>
      </c>
      <c r="C23" s="247" t="str">
        <f>IFERROR(__xludf.DUMMYFUNCTION("""COMPUTED_VALUE"""),"BC Km18-Cư Kuin-Đắk Lắk")</f>
        <v>BC Km18-Cư Kuin-Đắk Lắk</v>
      </c>
      <c r="D23" s="244">
        <f>IFERROR(__xludf.DUMMYFUNCTION("""COMPUTED_VALUE"""),0.6537519142419602)</f>
        <v>0.6537519142</v>
      </c>
      <c r="E23" s="244">
        <f>IFERROR(__xludf.DUMMYFUNCTION("""COMPUTED_VALUE"""),0.47445999999999994)</f>
        <v>0.47446</v>
      </c>
      <c r="F23" s="244">
        <f>IFERROR(__xludf.DUMMYFUNCTION("""COMPUTED_VALUE"""),0.45)</f>
        <v>0.45</v>
      </c>
      <c r="G23" s="244">
        <f>IFERROR(__xludf.DUMMYFUNCTION("""COMPUTED_VALUE"""),0.47445999999999994)</f>
        <v>0.47446</v>
      </c>
      <c r="H23" s="244">
        <f>IFERROR(__xludf.DUMMYFUNCTION("""COMPUTED_VALUE"""),0.17929191424196028)</f>
        <v>0.1792919142</v>
      </c>
      <c r="I23" s="259" t="str">
        <f>IFERROR(__xludf.DUMMYFUNCTION("""COMPUTED_VALUE"""),"4. An Toàn")</f>
        <v>4. An Toàn</v>
      </c>
    </row>
    <row r="24">
      <c r="A24" s="259" t="str">
        <f>IFERROR(__xludf.DUMMYFUNCTION("""COMPUTED_VALUE"""),"TNG")</f>
        <v>TNG</v>
      </c>
      <c r="B24" s="259" t="str">
        <f>IFERROR(__xludf.DUMMYFUNCTION("""COMPUTED_VALUE"""),"Đắk Lắk")</f>
        <v>Đắk Lắk</v>
      </c>
      <c r="C24" s="247" t="str">
        <f>IFERROR(__xludf.DUMMYFUNCTION("""COMPUTED_VALUE"""),"BC 64 Hùng Vương-Thị Trấn Krông Năng-Đắk Lắk")</f>
        <v>BC 64 Hùng Vương-Thị Trấn Krông Năng-Đắk Lắk</v>
      </c>
      <c r="D24" s="244">
        <f>IFERROR(__xludf.DUMMYFUNCTION("""COMPUTED_VALUE"""),0.6843455945252352)</f>
        <v>0.6843455945</v>
      </c>
      <c r="E24" s="244">
        <f>IFERROR(__xludf.DUMMYFUNCTION("""COMPUTED_VALUE"""),0.5041399999999999)</f>
        <v>0.50414</v>
      </c>
      <c r="F24" s="244">
        <f>IFERROR(__xludf.DUMMYFUNCTION("""COMPUTED_VALUE"""),0.45)</f>
        <v>0.45</v>
      </c>
      <c r="G24" s="244">
        <f>IFERROR(__xludf.DUMMYFUNCTION("""COMPUTED_VALUE"""),0.5041399999999999)</f>
        <v>0.50414</v>
      </c>
      <c r="H24" s="244">
        <f>IFERROR(__xludf.DUMMYFUNCTION("""COMPUTED_VALUE"""),0.18020559452523532)</f>
        <v>0.1802055945</v>
      </c>
      <c r="I24" s="259" t="str">
        <f>IFERROR(__xludf.DUMMYFUNCTION("""COMPUTED_VALUE"""),"4. An Toàn")</f>
        <v>4. An Toàn</v>
      </c>
    </row>
    <row r="25">
      <c r="A25" s="259" t="str">
        <f>IFERROR(__xludf.DUMMYFUNCTION("""COMPUTED_VALUE"""),"TNG")</f>
        <v>TNG</v>
      </c>
      <c r="B25" s="259" t="str">
        <f>IFERROR(__xludf.DUMMYFUNCTION("""COMPUTED_VALUE"""),"Gia Lai")</f>
        <v>Gia Lai</v>
      </c>
      <c r="C25" s="247" t="str">
        <f>IFERROR(__xludf.DUMMYFUNCTION("""COMPUTED_VALUE"""),"BC 414 Trần Hưng Đạo-Mang Yang-Gia Lai")</f>
        <v>BC 414 Trần Hưng Đạo-Mang Yang-Gia Lai</v>
      </c>
      <c r="D25" s="244">
        <f>IFERROR(__xludf.DUMMYFUNCTION("""COMPUTED_VALUE"""),0.7578073089700996)</f>
        <v>0.757807309</v>
      </c>
      <c r="E25" s="244">
        <f>IFERROR(__xludf.DUMMYFUNCTION("""COMPUTED_VALUE"""),0.5719)</f>
        <v>0.5719</v>
      </c>
      <c r="F25" s="244">
        <f>IFERROR(__xludf.DUMMYFUNCTION("""COMPUTED_VALUE"""),0.45)</f>
        <v>0.45</v>
      </c>
      <c r="G25" s="244">
        <f>IFERROR(__xludf.DUMMYFUNCTION("""COMPUTED_VALUE"""),0.5719)</f>
        <v>0.5719</v>
      </c>
      <c r="H25" s="244">
        <f>IFERROR(__xludf.DUMMYFUNCTION("""COMPUTED_VALUE"""),0.18590730897009966)</f>
        <v>0.185907309</v>
      </c>
      <c r="I25" s="259" t="str">
        <f>IFERROR(__xludf.DUMMYFUNCTION("""COMPUTED_VALUE"""),"4. An Toàn")</f>
        <v>4. An Toàn</v>
      </c>
    </row>
    <row r="26">
      <c r="A26" s="259" t="str">
        <f>IFERROR(__xludf.DUMMYFUNCTION("""COMPUTED_VALUE"""),"TNG")</f>
        <v>TNG</v>
      </c>
      <c r="B26" s="259" t="str">
        <f>IFERROR(__xludf.DUMMYFUNCTION("""COMPUTED_VALUE"""),"Bình Định")</f>
        <v>Bình Định</v>
      </c>
      <c r="C26" s="247" t="str">
        <f>IFERROR(__xludf.DUMMYFUNCTION("""COMPUTED_VALUE"""),"BC 565 Trần Phú-Tuy Phước-Bình Định")</f>
        <v>BC 565 Trần Phú-Tuy Phước-Bình Định</v>
      </c>
      <c r="D26" s="244">
        <f>IFERROR(__xludf.DUMMYFUNCTION("""COMPUTED_VALUE"""),0.7717883418222977)</f>
        <v>0.7717883418</v>
      </c>
      <c r="E26" s="244">
        <f>IFERROR(__xludf.DUMMYFUNCTION("""COMPUTED_VALUE"""),0.57771)</f>
        <v>0.57771</v>
      </c>
      <c r="F26" s="244">
        <f>IFERROR(__xludf.DUMMYFUNCTION("""COMPUTED_VALUE"""),0.45)</f>
        <v>0.45</v>
      </c>
      <c r="G26" s="244">
        <f>IFERROR(__xludf.DUMMYFUNCTION("""COMPUTED_VALUE"""),0.57771)</f>
        <v>0.57771</v>
      </c>
      <c r="H26" s="244">
        <f>IFERROR(__xludf.DUMMYFUNCTION("""COMPUTED_VALUE"""),0.19407834182229777)</f>
        <v>0.1940783418</v>
      </c>
      <c r="I26" s="259" t="str">
        <f>IFERROR(__xludf.DUMMYFUNCTION("""COMPUTED_VALUE"""),"4. An Toàn")</f>
        <v>4. An Toàn</v>
      </c>
    </row>
    <row r="27">
      <c r="A27" s="259" t="str">
        <f>IFERROR(__xludf.DUMMYFUNCTION("""COMPUTED_VALUE"""),"TNG")</f>
        <v>TNG</v>
      </c>
      <c r="B27" s="259" t="str">
        <f>IFERROR(__xludf.DUMMYFUNCTION("""COMPUTED_VALUE"""),"Đắk Lắk")</f>
        <v>Đắk Lắk</v>
      </c>
      <c r="C27" s="247" t="str">
        <f>IFERROR(__xludf.DUMMYFUNCTION("""COMPUTED_VALUE"""),"BC KM92 QL14-Xã Ea Drăng-Đắk Lắk")</f>
        <v>BC KM92 QL14-Xã Ea Drăng-Đắk Lắk</v>
      </c>
      <c r="D27" s="244">
        <f>IFERROR(__xludf.DUMMYFUNCTION("""COMPUTED_VALUE"""),0.6541254125412541)</f>
        <v>0.6541254125</v>
      </c>
      <c r="E27" s="244">
        <f>IFERROR(__xludf.DUMMYFUNCTION("""COMPUTED_VALUE"""),0.4582899999999999)</f>
        <v>0.45829</v>
      </c>
      <c r="F27" s="244">
        <f>IFERROR(__xludf.DUMMYFUNCTION("""COMPUTED_VALUE"""),0.45)</f>
        <v>0.45</v>
      </c>
      <c r="G27" s="244">
        <f>IFERROR(__xludf.DUMMYFUNCTION("""COMPUTED_VALUE"""),0.4582899999999999)</f>
        <v>0.45829</v>
      </c>
      <c r="H27" s="244">
        <f>IFERROR(__xludf.DUMMYFUNCTION("""COMPUTED_VALUE"""),0.1958354125412542)</f>
        <v>0.1958354125</v>
      </c>
      <c r="I27" s="259" t="str">
        <f>IFERROR(__xludf.DUMMYFUNCTION("""COMPUTED_VALUE"""),"4. An Toàn")</f>
        <v>4. An Toàn</v>
      </c>
    </row>
    <row r="28">
      <c r="A28" s="259" t="str">
        <f>IFERROR(__xludf.DUMMYFUNCTION("""COMPUTED_VALUE"""),"TNG")</f>
        <v>TNG</v>
      </c>
      <c r="B28" s="259" t="str">
        <f>IFERROR(__xludf.DUMMYFUNCTION("""COMPUTED_VALUE"""),"Đắk Lắk")</f>
        <v>Đắk Lắk</v>
      </c>
      <c r="C28" s="247" t="str">
        <f>IFERROR(__xludf.DUMMYFUNCTION("""COMPUTED_VALUE"""),"BC 99 Nguyễn Khuyến-Buôn Ma Thuột-Đắk Lắk")</f>
        <v>BC 99 Nguyễn Khuyến-Buôn Ma Thuột-Đắk Lắk</v>
      </c>
      <c r="D28" s="244">
        <f>IFERROR(__xludf.DUMMYFUNCTION("""COMPUTED_VALUE"""),0.7037854889589905)</f>
        <v>0.703785489</v>
      </c>
      <c r="E28" s="244">
        <f>IFERROR(__xludf.DUMMYFUNCTION("""COMPUTED_VALUE"""),0.5068699999999999)</f>
        <v>0.50687</v>
      </c>
      <c r="F28" s="244">
        <f>IFERROR(__xludf.DUMMYFUNCTION("""COMPUTED_VALUE"""),0.45)</f>
        <v>0.45</v>
      </c>
      <c r="G28" s="244">
        <f>IFERROR(__xludf.DUMMYFUNCTION("""COMPUTED_VALUE"""),0.5068699999999999)</f>
        <v>0.50687</v>
      </c>
      <c r="H28" s="244">
        <f>IFERROR(__xludf.DUMMYFUNCTION("""COMPUTED_VALUE"""),0.19691548895899058)</f>
        <v>0.196915489</v>
      </c>
      <c r="I28" s="259" t="str">
        <f>IFERROR(__xludf.DUMMYFUNCTION("""COMPUTED_VALUE"""),"4. An Toàn")</f>
        <v>4. An Toàn</v>
      </c>
    </row>
    <row r="29">
      <c r="A29" s="259" t="str">
        <f>IFERROR(__xludf.DUMMYFUNCTION("""COMPUTED_VALUE"""),"TNG")</f>
        <v>TNG</v>
      </c>
      <c r="B29" s="259" t="str">
        <f>IFERROR(__xludf.DUMMYFUNCTION("""COMPUTED_VALUE"""),"Đắk Lắk")</f>
        <v>Đắk Lắk</v>
      </c>
      <c r="C29" s="247" t="str">
        <f>IFERROR(__xludf.DUMMYFUNCTION("""COMPUTED_VALUE"""),"BC 132 Hoàng Hoa Thám-Buôn Ma Thuột-Đắk Lắk")</f>
        <v>BC 132 Hoàng Hoa Thám-Buôn Ma Thuột-Đắk Lắk</v>
      </c>
      <c r="D29" s="244">
        <f>IFERROR(__xludf.DUMMYFUNCTION("""COMPUTED_VALUE"""),0.7130727330983659)</f>
        <v>0.7130727331</v>
      </c>
      <c r="E29" s="244">
        <f>IFERROR(__xludf.DUMMYFUNCTION("""COMPUTED_VALUE"""),0.51576)</f>
        <v>0.51576</v>
      </c>
      <c r="F29" s="244">
        <f>IFERROR(__xludf.DUMMYFUNCTION("""COMPUTED_VALUE"""),0.45)</f>
        <v>0.45</v>
      </c>
      <c r="G29" s="244">
        <f>IFERROR(__xludf.DUMMYFUNCTION("""COMPUTED_VALUE"""),0.51576)</f>
        <v>0.51576</v>
      </c>
      <c r="H29" s="244">
        <f>IFERROR(__xludf.DUMMYFUNCTION("""COMPUTED_VALUE"""),0.19731273309836594)</f>
        <v>0.1973127331</v>
      </c>
      <c r="I29" s="259" t="str">
        <f>IFERROR(__xludf.DUMMYFUNCTION("""COMPUTED_VALUE"""),"4. An Toàn")</f>
        <v>4. An Toàn</v>
      </c>
    </row>
    <row r="30">
      <c r="A30" s="259" t="str">
        <f>IFERROR(__xludf.DUMMYFUNCTION("""COMPUTED_VALUE"""),"TNG")</f>
        <v>TNG</v>
      </c>
      <c r="B30" s="259" t="str">
        <f>IFERROR(__xludf.DUMMYFUNCTION("""COMPUTED_VALUE"""),"Phú Yên")</f>
        <v>Phú Yên</v>
      </c>
      <c r="C30" s="247" t="str">
        <f>IFERROR(__xludf.DUMMYFUNCTION("""COMPUTED_VALUE"""),"BC KP3 TT Hai Riềng-Sông Hinh-Phú Yên")</f>
        <v>BC KP3 TT Hai Riềng-Sông Hinh-Phú Yên</v>
      </c>
      <c r="D30" s="244">
        <f>IFERROR(__xludf.DUMMYFUNCTION("""COMPUTED_VALUE"""),0.7714831317632082)</f>
        <v>0.7714831318</v>
      </c>
      <c r="E30" s="244">
        <f>IFERROR(__xludf.DUMMYFUNCTION("""COMPUTED_VALUE"""),0.5701499999999999)</f>
        <v>0.57015</v>
      </c>
      <c r="F30" s="244">
        <f>IFERROR(__xludf.DUMMYFUNCTION("""COMPUTED_VALUE"""),0.45)</f>
        <v>0.45</v>
      </c>
      <c r="G30" s="244">
        <f>IFERROR(__xludf.DUMMYFUNCTION("""COMPUTED_VALUE"""),0.5701499999999999)</f>
        <v>0.57015</v>
      </c>
      <c r="H30" s="244">
        <f>IFERROR(__xludf.DUMMYFUNCTION("""COMPUTED_VALUE"""),0.20133313176320822)</f>
        <v>0.2013331318</v>
      </c>
      <c r="I30" s="259" t="str">
        <f>IFERROR(__xludf.DUMMYFUNCTION("""COMPUTED_VALUE"""),"4. An Toàn")</f>
        <v>4. An Toàn</v>
      </c>
    </row>
    <row r="31">
      <c r="A31" s="259" t="str">
        <f>IFERROR(__xludf.DUMMYFUNCTION("""COMPUTED_VALUE"""),"TNG")</f>
        <v>TNG</v>
      </c>
      <c r="B31" s="259" t="str">
        <f>IFERROR(__xludf.DUMMYFUNCTION("""COMPUTED_VALUE"""),"Đắk Lắk")</f>
        <v>Đắk Lắk</v>
      </c>
      <c r="C31" s="247" t="str">
        <f>IFERROR(__xludf.DUMMYFUNCTION("""COMPUTED_VALUE"""),"BC Km 30 Tân Hòa-Buôn Đôn-Đắk Lắk")</f>
        <v>BC Km 30 Tân Hòa-Buôn Đôn-Đắk Lắk</v>
      </c>
      <c r="D31" s="244">
        <f>IFERROR(__xludf.DUMMYFUNCTION("""COMPUTED_VALUE"""),0.731536189069424)</f>
        <v>0.7315361891</v>
      </c>
      <c r="E31" s="244">
        <f>IFERROR(__xludf.DUMMYFUNCTION("""COMPUTED_VALUE"""),0.52731)</f>
        <v>0.52731</v>
      </c>
      <c r="F31" s="244">
        <f>IFERROR(__xludf.DUMMYFUNCTION("""COMPUTED_VALUE"""),0.45)</f>
        <v>0.45</v>
      </c>
      <c r="G31" s="244">
        <f>IFERROR(__xludf.DUMMYFUNCTION("""COMPUTED_VALUE"""),0.52731)</f>
        <v>0.52731</v>
      </c>
      <c r="H31" s="244">
        <f>IFERROR(__xludf.DUMMYFUNCTION("""COMPUTED_VALUE"""),0.20422618906942402)</f>
        <v>0.2042261891</v>
      </c>
      <c r="I31" s="259" t="str">
        <f>IFERROR(__xludf.DUMMYFUNCTION("""COMPUTED_VALUE"""),"4. An Toàn")</f>
        <v>4. An Toàn</v>
      </c>
    </row>
    <row r="32">
      <c r="A32" s="259" t="str">
        <f>IFERROR(__xludf.DUMMYFUNCTION("""COMPUTED_VALUE"""),"TNG")</f>
        <v>TNG</v>
      </c>
      <c r="B32" s="259" t="str">
        <f>IFERROR(__xludf.DUMMYFUNCTION("""COMPUTED_VALUE"""),"Phú Yên")</f>
        <v>Phú Yên</v>
      </c>
      <c r="C32" s="247" t="str">
        <f>IFERROR(__xludf.DUMMYFUNCTION("""COMPUTED_VALUE"""),"BC KP4 Hòa Vinh- Đông Hòa- Phú Yên")</f>
        <v>BC KP4 Hòa Vinh- Đông Hòa- Phú Yên</v>
      </c>
      <c r="D32" s="244">
        <f>IFERROR(__xludf.DUMMYFUNCTION("""COMPUTED_VALUE"""),0.8032972361402941)</f>
        <v>0.8032972361</v>
      </c>
      <c r="E32" s="244">
        <f>IFERROR(__xludf.DUMMYFUNCTION("""COMPUTED_VALUE"""),0.59745)</f>
        <v>0.59745</v>
      </c>
      <c r="F32" s="244">
        <f>IFERROR(__xludf.DUMMYFUNCTION("""COMPUTED_VALUE"""),0.45)</f>
        <v>0.45</v>
      </c>
      <c r="G32" s="244">
        <f>IFERROR(__xludf.DUMMYFUNCTION("""COMPUTED_VALUE"""),0.59745)</f>
        <v>0.59745</v>
      </c>
      <c r="H32" s="244">
        <f>IFERROR(__xludf.DUMMYFUNCTION("""COMPUTED_VALUE"""),0.2058472361402941)</f>
        <v>0.2058472361</v>
      </c>
      <c r="I32" s="259" t="str">
        <f>IFERROR(__xludf.DUMMYFUNCTION("""COMPUTED_VALUE"""),"4. An Toàn")</f>
        <v>4. An Toàn</v>
      </c>
    </row>
    <row r="33">
      <c r="A33" s="259" t="str">
        <f>IFERROR(__xludf.DUMMYFUNCTION("""COMPUTED_VALUE"""),"TNG")</f>
        <v>TNG</v>
      </c>
      <c r="B33" s="259" t="str">
        <f>IFERROR(__xludf.DUMMYFUNCTION("""COMPUTED_VALUE"""),"Bình Định")</f>
        <v>Bình Định</v>
      </c>
      <c r="C33" s="247" t="str">
        <f>IFERROR(__xludf.DUMMYFUNCTION("""COMPUTED_VALUE"""),"BC 263 Đống Đa-Quy Nhơn-Bình Định")</f>
        <v>BC 263 Đống Đa-Quy Nhơn-Bình Định</v>
      </c>
      <c r="D33" s="244">
        <f>IFERROR(__xludf.DUMMYFUNCTION("""COMPUTED_VALUE"""),0.7797647058823529)</f>
        <v>0.7797647059</v>
      </c>
      <c r="E33" s="244">
        <f>IFERROR(__xludf.DUMMYFUNCTION("""COMPUTED_VALUE"""),0.5723199999999999)</f>
        <v>0.57232</v>
      </c>
      <c r="F33" s="244">
        <f>IFERROR(__xludf.DUMMYFUNCTION("""COMPUTED_VALUE"""),0.45)</f>
        <v>0.45</v>
      </c>
      <c r="G33" s="244">
        <f>IFERROR(__xludf.DUMMYFUNCTION("""COMPUTED_VALUE"""),0.5723199999999999)</f>
        <v>0.57232</v>
      </c>
      <c r="H33" s="244">
        <f>IFERROR(__xludf.DUMMYFUNCTION("""COMPUTED_VALUE"""),0.20744470588235298)</f>
        <v>0.2074447059</v>
      </c>
      <c r="I33" s="259" t="str">
        <f>IFERROR(__xludf.DUMMYFUNCTION("""COMPUTED_VALUE"""),"4. An Toàn")</f>
        <v>4. An Toàn</v>
      </c>
    </row>
    <row r="34">
      <c r="A34" s="259" t="str">
        <f>IFERROR(__xludf.DUMMYFUNCTION("""COMPUTED_VALUE"""),"TNG")</f>
        <v>TNG</v>
      </c>
      <c r="B34" s="259" t="str">
        <f>IFERROR(__xludf.DUMMYFUNCTION("""COMPUTED_VALUE"""),"Gia Lai")</f>
        <v>Gia Lai</v>
      </c>
      <c r="C34" s="247" t="str">
        <f>IFERROR(__xludf.DUMMYFUNCTION("""COMPUTED_VALUE"""),"BC 73 Lê Lợi-Chư Pah-Gia Lai")</f>
        <v>BC 73 Lê Lợi-Chư Pah-Gia Lai</v>
      </c>
      <c r="D34" s="244">
        <f>IFERROR(__xludf.DUMMYFUNCTION("""COMPUTED_VALUE"""),0.7891663963671748)</f>
        <v>0.7891663964</v>
      </c>
      <c r="E34" s="244">
        <f>IFERROR(__xludf.DUMMYFUNCTION("""COMPUTED_VALUE"""),0.58163)</f>
        <v>0.58163</v>
      </c>
      <c r="F34" s="244">
        <f>IFERROR(__xludf.DUMMYFUNCTION("""COMPUTED_VALUE"""),0.45)</f>
        <v>0.45</v>
      </c>
      <c r="G34" s="244">
        <f>IFERROR(__xludf.DUMMYFUNCTION("""COMPUTED_VALUE"""),0.58163)</f>
        <v>0.58163</v>
      </c>
      <c r="H34" s="244">
        <f>IFERROR(__xludf.DUMMYFUNCTION("""COMPUTED_VALUE"""),0.2075363963671748)</f>
        <v>0.2075363964</v>
      </c>
      <c r="I34" s="259" t="str">
        <f>IFERROR(__xludf.DUMMYFUNCTION("""COMPUTED_VALUE"""),"4. An Toàn")</f>
        <v>4. An Toàn</v>
      </c>
    </row>
    <row r="35">
      <c r="A35" s="259" t="str">
        <f>IFERROR(__xludf.DUMMYFUNCTION("""COMPUTED_VALUE"""),"TNG")</f>
        <v>TNG</v>
      </c>
      <c r="B35" s="259" t="str">
        <f>IFERROR(__xludf.DUMMYFUNCTION("""COMPUTED_VALUE"""),"Gia Lai")</f>
        <v>Gia Lai</v>
      </c>
      <c r="C35" s="247" t="str">
        <f>IFERROR(__xludf.DUMMYFUNCTION("""COMPUTED_VALUE"""),"BC 172 Hùng Vương-Chư Prông-Gia Lai")</f>
        <v>BC 172 Hùng Vương-Chư Prông-Gia Lai</v>
      </c>
      <c r="D35" s="244">
        <f>IFERROR(__xludf.DUMMYFUNCTION("""COMPUTED_VALUE"""),0.8274787535410765)</f>
        <v>0.8274787535</v>
      </c>
      <c r="E35" s="244">
        <f>IFERROR(__xludf.DUMMYFUNCTION("""COMPUTED_VALUE"""),0.61908)</f>
        <v>0.61908</v>
      </c>
      <c r="F35" s="244">
        <f>IFERROR(__xludf.DUMMYFUNCTION("""COMPUTED_VALUE"""),0.45)</f>
        <v>0.45</v>
      </c>
      <c r="G35" s="244">
        <f>IFERROR(__xludf.DUMMYFUNCTION("""COMPUTED_VALUE"""),0.61908)</f>
        <v>0.61908</v>
      </c>
      <c r="H35" s="244">
        <f>IFERROR(__xludf.DUMMYFUNCTION("""COMPUTED_VALUE"""),0.2083987535410765)</f>
        <v>0.2083987535</v>
      </c>
      <c r="I35" s="259" t="str">
        <f>IFERROR(__xludf.DUMMYFUNCTION("""COMPUTED_VALUE"""),"4. An Toàn")</f>
        <v>4. An Toàn</v>
      </c>
    </row>
    <row r="36">
      <c r="A36" s="259" t="str">
        <f>IFERROR(__xludf.DUMMYFUNCTION("""COMPUTED_VALUE"""),"TNG")</f>
        <v>TNG</v>
      </c>
      <c r="B36" s="259" t="str">
        <f>IFERROR(__xludf.DUMMYFUNCTION("""COMPUTED_VALUE"""),"Đắk Lắk")</f>
        <v>Đắk Lắk</v>
      </c>
      <c r="C36" s="247" t="str">
        <f>IFERROR(__xludf.DUMMYFUNCTION("""COMPUTED_VALUE"""),"BC 297 Hùng Vương-CưMgar-Đắk Lắk")</f>
        <v>BC 297 Hùng Vương-CưMgar-Đắk Lắk</v>
      </c>
      <c r="D36" s="244">
        <f>IFERROR(__xludf.DUMMYFUNCTION("""COMPUTED_VALUE"""),0.7318196086638067)</f>
        <v>0.7318196087</v>
      </c>
      <c r="E36" s="244">
        <f>IFERROR(__xludf.DUMMYFUNCTION("""COMPUTED_VALUE"""),0.52073)</f>
        <v>0.52073</v>
      </c>
      <c r="F36" s="244">
        <f>IFERROR(__xludf.DUMMYFUNCTION("""COMPUTED_VALUE"""),0.45)</f>
        <v>0.45</v>
      </c>
      <c r="G36" s="244">
        <f>IFERROR(__xludf.DUMMYFUNCTION("""COMPUTED_VALUE"""),0.52073)</f>
        <v>0.52073</v>
      </c>
      <c r="H36" s="244">
        <f>IFERROR(__xludf.DUMMYFUNCTION("""COMPUTED_VALUE"""),0.21108960866380666)</f>
        <v>0.2110896087</v>
      </c>
      <c r="I36" s="259" t="str">
        <f>IFERROR(__xludf.DUMMYFUNCTION("""COMPUTED_VALUE"""),"4. An Toàn")</f>
        <v>4. An Toàn</v>
      </c>
    </row>
    <row r="37">
      <c r="A37" s="259" t="str">
        <f>IFERROR(__xludf.DUMMYFUNCTION("""COMPUTED_VALUE"""),"TNG")</f>
        <v>TNG</v>
      </c>
      <c r="B37" s="259" t="str">
        <f>IFERROR(__xludf.DUMMYFUNCTION("""COMPUTED_VALUE"""),"Phú Yên")</f>
        <v>Phú Yên</v>
      </c>
      <c r="C37" s="247" t="str">
        <f>IFERROR(__xludf.DUMMYFUNCTION("""COMPUTED_VALUE"""),"BC 138 Trần Phú- Đồng Xuân- Phú Yên")</f>
        <v>BC 138 Trần Phú- Đồng Xuân- Phú Yên</v>
      </c>
      <c r="D37" s="244">
        <f>IFERROR(__xludf.DUMMYFUNCTION("""COMPUTED_VALUE"""),0.7828225501324253)</f>
        <v>0.7828225501</v>
      </c>
      <c r="E37" s="244">
        <f>IFERROR(__xludf.DUMMYFUNCTION("""COMPUTED_VALUE"""),0.56931)</f>
        <v>0.56931</v>
      </c>
      <c r="F37" s="244">
        <f>IFERROR(__xludf.DUMMYFUNCTION("""COMPUTED_VALUE"""),0.45)</f>
        <v>0.45</v>
      </c>
      <c r="G37" s="244">
        <f>IFERROR(__xludf.DUMMYFUNCTION("""COMPUTED_VALUE"""),0.56931)</f>
        <v>0.56931</v>
      </c>
      <c r="H37" s="244">
        <f>IFERROR(__xludf.DUMMYFUNCTION("""COMPUTED_VALUE"""),0.21351255013242532)</f>
        <v>0.2135125501</v>
      </c>
      <c r="I37" s="259" t="str">
        <f>IFERROR(__xludf.DUMMYFUNCTION("""COMPUTED_VALUE"""),"4. An Toàn")</f>
        <v>4. An Toàn</v>
      </c>
    </row>
    <row r="38">
      <c r="A38" s="259" t="str">
        <f>IFERROR(__xludf.DUMMYFUNCTION("""COMPUTED_VALUE"""),"TNG")</f>
        <v>TNG</v>
      </c>
      <c r="B38" s="259" t="str">
        <f>IFERROR(__xludf.DUMMYFUNCTION("""COMPUTED_VALUE"""),"Gia Lai")</f>
        <v>Gia Lai</v>
      </c>
      <c r="C38" s="247" t="str">
        <f>IFERROR(__xludf.DUMMYFUNCTION("""COMPUTED_VALUE"""),"BC 569 Trường Chinh-Pleiku-Gia Lai")</f>
        <v>BC 569 Trường Chinh-Pleiku-Gia Lai</v>
      </c>
      <c r="D38" s="244">
        <f>IFERROR(__xludf.DUMMYFUNCTION("""COMPUTED_VALUE"""),0.7979623824451411)</f>
        <v>0.7979623824</v>
      </c>
      <c r="E38" s="244">
        <f>IFERROR(__xludf.DUMMYFUNCTION("""COMPUTED_VALUE"""),0.58114)</f>
        <v>0.58114</v>
      </c>
      <c r="F38" s="244">
        <f>IFERROR(__xludf.DUMMYFUNCTION("""COMPUTED_VALUE"""),0.45)</f>
        <v>0.45</v>
      </c>
      <c r="G38" s="244">
        <f>IFERROR(__xludf.DUMMYFUNCTION("""COMPUTED_VALUE"""),0.58114)</f>
        <v>0.58114</v>
      </c>
      <c r="H38" s="244">
        <f>IFERROR(__xludf.DUMMYFUNCTION("""COMPUTED_VALUE"""),0.21682238244514107)</f>
        <v>0.2168223824</v>
      </c>
      <c r="I38" s="259" t="str">
        <f>IFERROR(__xludf.DUMMYFUNCTION("""COMPUTED_VALUE"""),"4. An Toàn")</f>
        <v>4. An Toàn</v>
      </c>
    </row>
    <row r="39">
      <c r="A39" s="259" t="str">
        <f>IFERROR(__xludf.DUMMYFUNCTION("""COMPUTED_VALUE"""),"TNG")</f>
        <v>TNG</v>
      </c>
      <c r="B39" s="259" t="str">
        <f>IFERROR(__xludf.DUMMYFUNCTION("""COMPUTED_VALUE"""),"Bình Định")</f>
        <v>Bình Định</v>
      </c>
      <c r="C39" s="247" t="str">
        <f>IFERROR(__xludf.DUMMYFUNCTION("""COMPUTED_VALUE"""),"BC 61 Quang Trung-Xã Vân Canh-Bình Định")</f>
        <v>BC 61 Quang Trung-Xã Vân Canh-Bình Định</v>
      </c>
      <c r="D39" s="244">
        <f>IFERROR(__xludf.DUMMYFUNCTION("""COMPUTED_VALUE"""),0.7736093143596378)</f>
        <v>0.7736093144</v>
      </c>
      <c r="E39" s="244">
        <f>IFERROR(__xludf.DUMMYFUNCTION("""COMPUTED_VALUE"""),0.5561499999999999)</f>
        <v>0.55615</v>
      </c>
      <c r="F39" s="244">
        <f>IFERROR(__xludf.DUMMYFUNCTION("""COMPUTED_VALUE"""),0.45)</f>
        <v>0.45</v>
      </c>
      <c r="G39" s="244">
        <f>IFERROR(__xludf.DUMMYFUNCTION("""COMPUTED_VALUE"""),0.5561499999999999)</f>
        <v>0.55615</v>
      </c>
      <c r="H39" s="244">
        <f>IFERROR(__xludf.DUMMYFUNCTION("""COMPUTED_VALUE"""),0.21745931435963783)</f>
        <v>0.2174593144</v>
      </c>
      <c r="I39" s="259" t="str">
        <f>IFERROR(__xludf.DUMMYFUNCTION("""COMPUTED_VALUE"""),"4. An Toàn")</f>
        <v>4. An Toàn</v>
      </c>
    </row>
    <row r="40">
      <c r="A40" s="259" t="str">
        <f>IFERROR(__xludf.DUMMYFUNCTION("""COMPUTED_VALUE"""),"TNG")</f>
        <v>TNG</v>
      </c>
      <c r="B40" s="259" t="str">
        <f>IFERROR(__xludf.DUMMYFUNCTION("""COMPUTED_VALUE"""),"Bình Định")</f>
        <v>Bình Định</v>
      </c>
      <c r="C40" s="247" t="str">
        <f>IFERROR(__xludf.DUMMYFUNCTION("""COMPUTED_VALUE"""),"BC 396 Âu Cơ-Bùi Thị Xuân-Quy Nhơn-Bình Định")</f>
        <v>BC 396 Âu Cơ-Bùi Thị Xuân-Quy Nhơn-Bình Định</v>
      </c>
      <c r="D40" s="244">
        <f>IFERROR(__xludf.DUMMYFUNCTION("""COMPUTED_VALUE"""),0.8107483386304536)</f>
        <v>0.8107483386</v>
      </c>
      <c r="E40" s="244">
        <f>IFERROR(__xludf.DUMMYFUNCTION("""COMPUTED_VALUE"""),0.59318)</f>
        <v>0.59318</v>
      </c>
      <c r="F40" s="244">
        <f>IFERROR(__xludf.DUMMYFUNCTION("""COMPUTED_VALUE"""),0.45)</f>
        <v>0.45</v>
      </c>
      <c r="G40" s="244">
        <f>IFERROR(__xludf.DUMMYFUNCTION("""COMPUTED_VALUE"""),0.59318)</f>
        <v>0.59318</v>
      </c>
      <c r="H40" s="244">
        <f>IFERROR(__xludf.DUMMYFUNCTION("""COMPUTED_VALUE"""),0.21756833863045355)</f>
        <v>0.2175683386</v>
      </c>
      <c r="I40" s="259" t="str">
        <f>IFERROR(__xludf.DUMMYFUNCTION("""COMPUTED_VALUE"""),"4. An Toàn")</f>
        <v>4. An Toàn</v>
      </c>
    </row>
    <row r="41">
      <c r="A41" s="259" t="str">
        <f>IFERROR(__xludf.DUMMYFUNCTION("""COMPUTED_VALUE"""),"TNG")</f>
        <v>TNG</v>
      </c>
      <c r="B41" s="259" t="str">
        <f>IFERROR(__xludf.DUMMYFUNCTION("""COMPUTED_VALUE"""),"Bình Định")</f>
        <v>Bình Định</v>
      </c>
      <c r="C41" s="247" t="str">
        <f>IFERROR(__xludf.DUMMYFUNCTION("""COMPUTED_VALUE"""),"BC 44 Quang Trung-Tây Sơn-Bình Định")</f>
        <v>BC 44 Quang Trung-Tây Sơn-Bình Định</v>
      </c>
      <c r="D41" s="244">
        <f>IFERROR(__xludf.DUMMYFUNCTION("""COMPUTED_VALUE"""),0.7889510742011193)</f>
        <v>0.7889510742</v>
      </c>
      <c r="E41" s="244">
        <f>IFERROR(__xludf.DUMMYFUNCTION("""COMPUTED_VALUE"""),0.57134)</f>
        <v>0.57134</v>
      </c>
      <c r="F41" s="244">
        <f>IFERROR(__xludf.DUMMYFUNCTION("""COMPUTED_VALUE"""),0.45)</f>
        <v>0.45</v>
      </c>
      <c r="G41" s="244">
        <f>IFERROR(__xludf.DUMMYFUNCTION("""COMPUTED_VALUE"""),0.57134)</f>
        <v>0.57134</v>
      </c>
      <c r="H41" s="244">
        <f>IFERROR(__xludf.DUMMYFUNCTION("""COMPUTED_VALUE"""),0.21761107420111936)</f>
        <v>0.2176110742</v>
      </c>
      <c r="I41" s="259" t="str">
        <f>IFERROR(__xludf.DUMMYFUNCTION("""COMPUTED_VALUE"""),"4. An Toàn")</f>
        <v>4. An Toàn</v>
      </c>
    </row>
    <row r="42">
      <c r="A42" s="259" t="str">
        <f>IFERROR(__xludf.DUMMYFUNCTION("""COMPUTED_VALUE"""),"TNG")</f>
        <v>TNG</v>
      </c>
      <c r="B42" s="259" t="str">
        <f>IFERROR(__xludf.DUMMYFUNCTION("""COMPUTED_VALUE"""),"Đắk Lắk")</f>
        <v>Đắk Lắk</v>
      </c>
      <c r="C42" s="247" t="str">
        <f>IFERROR(__xludf.DUMMYFUNCTION("""COMPUTED_VALUE"""),"BC 03 Trần Hưng Đạo-Krông Pắc-Đắk Lắk")</f>
        <v>BC 03 Trần Hưng Đạo-Krông Pắc-Đắk Lắk</v>
      </c>
      <c r="D42" s="244">
        <f>IFERROR(__xludf.DUMMYFUNCTION("""COMPUTED_VALUE"""),0.7551288795370857)</f>
        <v>0.7551288795</v>
      </c>
      <c r="E42" s="244">
        <f>IFERROR(__xludf.DUMMYFUNCTION("""COMPUTED_VALUE"""),0.53739)</f>
        <v>0.53739</v>
      </c>
      <c r="F42" s="244">
        <f>IFERROR(__xludf.DUMMYFUNCTION("""COMPUTED_VALUE"""),0.45)</f>
        <v>0.45</v>
      </c>
      <c r="G42" s="244">
        <f>IFERROR(__xludf.DUMMYFUNCTION("""COMPUTED_VALUE"""),0.53739)</f>
        <v>0.53739</v>
      </c>
      <c r="H42" s="244">
        <f>IFERROR(__xludf.DUMMYFUNCTION("""COMPUTED_VALUE"""),0.2177388795370857)</f>
        <v>0.2177388795</v>
      </c>
      <c r="I42" s="259" t="str">
        <f>IFERROR(__xludf.DUMMYFUNCTION("""COMPUTED_VALUE"""),"4. An Toàn")</f>
        <v>4. An Toàn</v>
      </c>
    </row>
    <row r="43">
      <c r="A43" s="259" t="str">
        <f>IFERROR(__xludf.DUMMYFUNCTION("""COMPUTED_VALUE"""),"TNG")</f>
        <v>TNG</v>
      </c>
      <c r="B43" s="259" t="str">
        <f>IFERROR(__xludf.DUMMYFUNCTION("""COMPUTED_VALUE"""),"Gia Lai")</f>
        <v>Gia Lai</v>
      </c>
      <c r="C43" s="247" t="str">
        <f>IFERROR(__xludf.DUMMYFUNCTION("""COMPUTED_VALUE"""),"BC 15 Hoàng Văn Thụ-An Khê-Gia Lai")</f>
        <v>BC 15 Hoàng Văn Thụ-An Khê-Gia Lai</v>
      </c>
      <c r="D43" s="244">
        <f>IFERROR(__xludf.DUMMYFUNCTION("""COMPUTED_VALUE"""),0.8208344695936733)</f>
        <v>0.8208344696</v>
      </c>
      <c r="E43" s="244">
        <f>IFERROR(__xludf.DUMMYFUNCTION("""COMPUTED_VALUE"""),0.6023499999999999)</f>
        <v>0.60235</v>
      </c>
      <c r="F43" s="244">
        <f>IFERROR(__xludf.DUMMYFUNCTION("""COMPUTED_VALUE"""),0.45)</f>
        <v>0.45</v>
      </c>
      <c r="G43" s="244">
        <f>IFERROR(__xludf.DUMMYFUNCTION("""COMPUTED_VALUE"""),0.6023499999999999)</f>
        <v>0.60235</v>
      </c>
      <c r="H43" s="244">
        <f>IFERROR(__xludf.DUMMYFUNCTION("""COMPUTED_VALUE"""),0.2184844695936734)</f>
        <v>0.2184844696</v>
      </c>
      <c r="I43" s="259" t="str">
        <f>IFERROR(__xludf.DUMMYFUNCTION("""COMPUTED_VALUE"""),"4. An Toàn")</f>
        <v>4. An Toàn</v>
      </c>
    </row>
    <row r="44">
      <c r="A44" s="259" t="str">
        <f>IFERROR(__xludf.DUMMYFUNCTION("""COMPUTED_VALUE"""),"TNG")</f>
        <v>TNG</v>
      </c>
      <c r="B44" s="259" t="str">
        <f>IFERROR(__xludf.DUMMYFUNCTION("""COMPUTED_VALUE"""),"Bình Định")</f>
        <v>Bình Định</v>
      </c>
      <c r="C44" s="247" t="str">
        <f>IFERROR(__xludf.DUMMYFUNCTION("""COMPUTED_VALUE"""),"BC Khu Vực Kim Châu-An Nhơn-Bình Định")</f>
        <v>BC Khu Vực Kim Châu-An Nhơn-Bình Định</v>
      </c>
      <c r="D44" s="244">
        <f>IFERROR(__xludf.DUMMYFUNCTION("""COMPUTED_VALUE"""),0.7639093317633205)</f>
        <v>0.7639093318</v>
      </c>
      <c r="E44" s="244">
        <f>IFERROR(__xludf.DUMMYFUNCTION("""COMPUTED_VALUE"""),0.5448799999999999)</f>
        <v>0.54488</v>
      </c>
      <c r="F44" s="244">
        <f>IFERROR(__xludf.DUMMYFUNCTION("""COMPUTED_VALUE"""),0.45)</f>
        <v>0.45</v>
      </c>
      <c r="G44" s="244">
        <f>IFERROR(__xludf.DUMMYFUNCTION("""COMPUTED_VALUE"""),0.5448799999999999)</f>
        <v>0.54488</v>
      </c>
      <c r="H44" s="244">
        <f>IFERROR(__xludf.DUMMYFUNCTION("""COMPUTED_VALUE"""),0.21902933176332062)</f>
        <v>0.2190293318</v>
      </c>
      <c r="I44" s="259" t="str">
        <f>IFERROR(__xludf.DUMMYFUNCTION("""COMPUTED_VALUE"""),"4. An Toàn")</f>
        <v>4. An Toàn</v>
      </c>
    </row>
    <row r="45">
      <c r="A45" s="259" t="str">
        <f>IFERROR(__xludf.DUMMYFUNCTION("""COMPUTED_VALUE"""),"TNG")</f>
        <v>TNG</v>
      </c>
      <c r="B45" s="259" t="str">
        <f>IFERROR(__xludf.DUMMYFUNCTION("""COMPUTED_VALUE"""),"Phú Yên")</f>
        <v>Phú Yên</v>
      </c>
      <c r="C45" s="247" t="str">
        <f>IFERROR(__xludf.DUMMYFUNCTION("""COMPUTED_VALUE"""),"BC 274 Hùng Vương-Tuy Hòa-Phú Yên")</f>
        <v>BC 274 Hùng Vương-Tuy Hòa-Phú Yên</v>
      </c>
      <c r="D45" s="244">
        <f>IFERROR(__xludf.DUMMYFUNCTION("""COMPUTED_VALUE"""),0.7645987616850796)</f>
        <v>0.7645987617</v>
      </c>
      <c r="E45" s="244">
        <f>IFERROR(__xludf.DUMMYFUNCTION("""COMPUTED_VALUE"""),0.54236)</f>
        <v>0.54236</v>
      </c>
      <c r="F45" s="244">
        <f>IFERROR(__xludf.DUMMYFUNCTION("""COMPUTED_VALUE"""),0.45)</f>
        <v>0.45</v>
      </c>
      <c r="G45" s="244">
        <f>IFERROR(__xludf.DUMMYFUNCTION("""COMPUTED_VALUE"""),0.54236)</f>
        <v>0.54236</v>
      </c>
      <c r="H45" s="244">
        <f>IFERROR(__xludf.DUMMYFUNCTION("""COMPUTED_VALUE"""),0.2222387616850796)</f>
        <v>0.2222387617</v>
      </c>
      <c r="I45" s="259" t="str">
        <f>IFERROR(__xludf.DUMMYFUNCTION("""COMPUTED_VALUE"""),"4. An Toàn")</f>
        <v>4. An Toàn</v>
      </c>
    </row>
    <row r="46">
      <c r="A46" s="259" t="str">
        <f>IFERROR(__xludf.DUMMYFUNCTION("""COMPUTED_VALUE"""),"TNG")</f>
        <v>TNG</v>
      </c>
      <c r="B46" s="259" t="str">
        <f>IFERROR(__xludf.DUMMYFUNCTION("""COMPUTED_VALUE"""),"Bình Định")</f>
        <v>Bình Định</v>
      </c>
      <c r="C46" s="247" t="str">
        <f>IFERROR(__xludf.DUMMYFUNCTION("""COMPUTED_VALUE"""),"BC 21 Tây Sơn-Xã Phù Mỹ-Bình Định")</f>
        <v>BC 21 Tây Sơn-Xã Phù Mỹ-Bình Định</v>
      </c>
      <c r="D46" s="244">
        <f>IFERROR(__xludf.DUMMYFUNCTION("""COMPUTED_VALUE"""),0.7833402289339402)</f>
        <v>0.7833402289</v>
      </c>
      <c r="E46" s="244">
        <f>IFERROR(__xludf.DUMMYFUNCTION("""COMPUTED_VALUE"""),0.56007)</f>
        <v>0.56007</v>
      </c>
      <c r="F46" s="244">
        <f>IFERROR(__xludf.DUMMYFUNCTION("""COMPUTED_VALUE"""),0.45)</f>
        <v>0.45</v>
      </c>
      <c r="G46" s="244">
        <f>IFERROR(__xludf.DUMMYFUNCTION("""COMPUTED_VALUE"""),0.56007)</f>
        <v>0.56007</v>
      </c>
      <c r="H46" s="244">
        <f>IFERROR(__xludf.DUMMYFUNCTION("""COMPUTED_VALUE"""),0.22327022893394022)</f>
        <v>0.2232702289</v>
      </c>
      <c r="I46" s="259" t="str">
        <f>IFERROR(__xludf.DUMMYFUNCTION("""COMPUTED_VALUE"""),"4. An Toàn")</f>
        <v>4. An Toàn</v>
      </c>
    </row>
    <row r="47">
      <c r="A47" s="259" t="str">
        <f>IFERROR(__xludf.DUMMYFUNCTION("""COMPUTED_VALUE"""),"TNG")</f>
        <v>TNG</v>
      </c>
      <c r="B47" s="259" t="str">
        <f>IFERROR(__xludf.DUMMYFUNCTION("""COMPUTED_VALUE"""),"Đắk Lắk")</f>
        <v>Đắk Lắk</v>
      </c>
      <c r="C47" s="247" t="str">
        <f>IFERROR(__xludf.DUMMYFUNCTION("""COMPUTED_VALUE"""),"BC Thị Trấn Buôn Trấp-Krông A Na-Đắk Lắk")</f>
        <v>BC Thị Trấn Buôn Trấp-Krông A Na-Đắk Lắk</v>
      </c>
      <c r="D47" s="244">
        <f>IFERROR(__xludf.DUMMYFUNCTION("""COMPUTED_VALUE"""),0.7310431503979891)</f>
        <v>0.7310431504</v>
      </c>
      <c r="E47" s="244">
        <f>IFERROR(__xludf.DUMMYFUNCTION("""COMPUTED_VALUE"""),0.5073599999999999)</f>
        <v>0.50736</v>
      </c>
      <c r="F47" s="244">
        <f>IFERROR(__xludf.DUMMYFUNCTION("""COMPUTED_VALUE"""),0.45)</f>
        <v>0.45</v>
      </c>
      <c r="G47" s="244">
        <f>IFERROR(__xludf.DUMMYFUNCTION("""COMPUTED_VALUE"""),0.5073599999999999)</f>
        <v>0.50736</v>
      </c>
      <c r="H47" s="244">
        <f>IFERROR(__xludf.DUMMYFUNCTION("""COMPUTED_VALUE"""),0.22368315039798914)</f>
        <v>0.2236831504</v>
      </c>
      <c r="I47" s="259" t="str">
        <f>IFERROR(__xludf.DUMMYFUNCTION("""COMPUTED_VALUE"""),"4. An Toàn")</f>
        <v>4. An Toàn</v>
      </c>
    </row>
    <row r="48">
      <c r="A48" s="259" t="str">
        <f>IFERROR(__xludf.DUMMYFUNCTION("""COMPUTED_VALUE"""),"TNG")</f>
        <v>TNG</v>
      </c>
      <c r="B48" s="259" t="str">
        <f>IFERROR(__xludf.DUMMYFUNCTION("""COMPUTED_VALUE"""),"Bình Định")</f>
        <v>Bình Định</v>
      </c>
      <c r="C48" s="247" t="str">
        <f>IFERROR(__xludf.DUMMYFUNCTION("""COMPUTED_VALUE"""),"BC Hoài Nhơn-Bình Định")</f>
        <v>BC Hoài Nhơn-Bình Định</v>
      </c>
      <c r="D48" s="244">
        <f>IFERROR(__xludf.DUMMYFUNCTION("""COMPUTED_VALUE"""),0.7980854853072128)</f>
        <v>0.7980854853</v>
      </c>
      <c r="E48" s="244">
        <f>IFERROR(__xludf.DUMMYFUNCTION("""COMPUTED_VALUE"""),0.57428)</f>
        <v>0.57428</v>
      </c>
      <c r="F48" s="244">
        <f>IFERROR(__xludf.DUMMYFUNCTION("""COMPUTED_VALUE"""),0.45)</f>
        <v>0.45</v>
      </c>
      <c r="G48" s="244">
        <f>IFERROR(__xludf.DUMMYFUNCTION("""COMPUTED_VALUE"""),0.57428)</f>
        <v>0.57428</v>
      </c>
      <c r="H48" s="244">
        <f>IFERROR(__xludf.DUMMYFUNCTION("""COMPUTED_VALUE"""),0.22380548530721278)</f>
        <v>0.2238054853</v>
      </c>
      <c r="I48" s="259" t="str">
        <f>IFERROR(__xludf.DUMMYFUNCTION("""COMPUTED_VALUE"""),"4. An Toàn")</f>
        <v>4. An Toàn</v>
      </c>
    </row>
    <row r="49">
      <c r="A49" s="259" t="str">
        <f>IFERROR(__xludf.DUMMYFUNCTION("""COMPUTED_VALUE"""),"TNG")</f>
        <v>TNG</v>
      </c>
      <c r="B49" s="259" t="str">
        <f>IFERROR(__xludf.DUMMYFUNCTION("""COMPUTED_VALUE"""),"Đắk Lắk")</f>
        <v>Đắk Lắk</v>
      </c>
      <c r="C49" s="247" t="str">
        <f>IFERROR(__xludf.DUMMYFUNCTION("""COMPUTED_VALUE"""),"BC TDP3 Thị Trấn Krông Kmart-Krông Bông-Đắk Lắk")</f>
        <v>BC TDP3 Thị Trấn Krông Kmart-Krông Bông-Đắk Lắk</v>
      </c>
      <c r="D49" s="244">
        <f>IFERROR(__xludf.DUMMYFUNCTION("""COMPUTED_VALUE"""),0.7500575373993096)</f>
        <v>0.7500575374</v>
      </c>
      <c r="E49" s="244">
        <f>IFERROR(__xludf.DUMMYFUNCTION("""COMPUTED_VALUE"""),0.5236)</f>
        <v>0.5236</v>
      </c>
      <c r="F49" s="244">
        <f>IFERROR(__xludf.DUMMYFUNCTION("""COMPUTED_VALUE"""),0.45)</f>
        <v>0.45</v>
      </c>
      <c r="G49" s="244">
        <f>IFERROR(__xludf.DUMMYFUNCTION("""COMPUTED_VALUE"""),0.5236)</f>
        <v>0.5236</v>
      </c>
      <c r="H49" s="244">
        <f>IFERROR(__xludf.DUMMYFUNCTION("""COMPUTED_VALUE"""),0.22645753739930963)</f>
        <v>0.2264575374</v>
      </c>
      <c r="I49" s="259" t="str">
        <f>IFERROR(__xludf.DUMMYFUNCTION("""COMPUTED_VALUE"""),"4. An Toàn")</f>
        <v>4. An Toàn</v>
      </c>
    </row>
    <row r="50">
      <c r="A50" s="259" t="str">
        <f>IFERROR(__xludf.DUMMYFUNCTION("""COMPUTED_VALUE"""),"TNG")</f>
        <v>TNG</v>
      </c>
      <c r="B50" s="259" t="str">
        <f>IFERROR(__xludf.DUMMYFUNCTION("""COMPUTED_VALUE"""),"Gia Lai")</f>
        <v>Gia Lai</v>
      </c>
      <c r="C50" s="247" t="str">
        <f>IFERROR(__xludf.DUMMYFUNCTION("""COMPUTED_VALUE"""),"BC 127B Lê Văn Tám-Thị Trấn Kbang-Huyện Kbang-Gia Lai")</f>
        <v>BC 127B Lê Văn Tám-Thị Trấn Kbang-Huyện Kbang-Gia Lai</v>
      </c>
      <c r="D50" s="244">
        <f>IFERROR(__xludf.DUMMYFUNCTION("""COMPUTED_VALUE"""),0.8478128797083839)</f>
        <v>0.8478128797</v>
      </c>
      <c r="E50" s="244">
        <f>IFERROR(__xludf.DUMMYFUNCTION("""COMPUTED_VALUE"""),0.6176799999999999)</f>
        <v>0.61768</v>
      </c>
      <c r="F50" s="244">
        <f>IFERROR(__xludf.DUMMYFUNCTION("""COMPUTED_VALUE"""),0.45)</f>
        <v>0.45</v>
      </c>
      <c r="G50" s="244">
        <f>IFERROR(__xludf.DUMMYFUNCTION("""COMPUTED_VALUE"""),0.6176799999999999)</f>
        <v>0.61768</v>
      </c>
      <c r="H50" s="244">
        <f>IFERROR(__xludf.DUMMYFUNCTION("""COMPUTED_VALUE"""),0.23013287970838403)</f>
        <v>0.2301328797</v>
      </c>
      <c r="I50" s="259" t="str">
        <f>IFERROR(__xludf.DUMMYFUNCTION("""COMPUTED_VALUE"""),"4. An Toàn")</f>
        <v>4. An Toàn</v>
      </c>
    </row>
    <row r="51">
      <c r="A51" s="259" t="str">
        <f>IFERROR(__xludf.DUMMYFUNCTION("""COMPUTED_VALUE"""),"TNG")</f>
        <v>TNG</v>
      </c>
      <c r="B51" s="259" t="str">
        <f>IFERROR(__xludf.DUMMYFUNCTION("""COMPUTED_VALUE"""),"Bình Định")</f>
        <v>Bình Định</v>
      </c>
      <c r="C51" s="247" t="str">
        <f>IFERROR(__xludf.DUMMYFUNCTION("""COMPUTED_VALUE"""),"BC Đường 3 Tháng 2-Xã Phù Cát-Bình Định")</f>
        <v>BC Đường 3 Tháng 2-Xã Phù Cát-Bình Định</v>
      </c>
      <c r="D51" s="244">
        <f>IFERROR(__xludf.DUMMYFUNCTION("""COMPUTED_VALUE"""),0.779223125564589)</f>
        <v>0.7792231256</v>
      </c>
      <c r="E51" s="244">
        <f>IFERROR(__xludf.DUMMYFUNCTION("""COMPUTED_VALUE"""),0.5467)</f>
        <v>0.5467</v>
      </c>
      <c r="F51" s="244">
        <f>IFERROR(__xludf.DUMMYFUNCTION("""COMPUTED_VALUE"""),0.45)</f>
        <v>0.45</v>
      </c>
      <c r="G51" s="244">
        <f>IFERROR(__xludf.DUMMYFUNCTION("""COMPUTED_VALUE"""),0.5467)</f>
        <v>0.5467</v>
      </c>
      <c r="H51" s="244">
        <f>IFERROR(__xludf.DUMMYFUNCTION("""COMPUTED_VALUE"""),0.23252312556458898)</f>
        <v>0.2325231256</v>
      </c>
      <c r="I51" s="259" t="str">
        <f>IFERROR(__xludf.DUMMYFUNCTION("""COMPUTED_VALUE"""),"4. An Toàn")</f>
        <v>4. An Toàn</v>
      </c>
    </row>
    <row r="52">
      <c r="A52" s="259" t="str">
        <f>IFERROR(__xludf.DUMMYFUNCTION("""COMPUTED_VALUE"""),"TNG")</f>
        <v>TNG</v>
      </c>
      <c r="B52" s="259" t="str">
        <f>IFERROR(__xludf.DUMMYFUNCTION("""COMPUTED_VALUE"""),"Phú Yên")</f>
        <v>Phú Yên</v>
      </c>
      <c r="C52" s="247" t="str">
        <f>IFERROR(__xludf.DUMMYFUNCTION("""COMPUTED_VALUE"""),"BC 27 Nguyễn Tất Thành-Tuy Hòa-Phú Yên")</f>
        <v>BC 27 Nguyễn Tất Thành-Tuy Hòa-Phú Yên</v>
      </c>
      <c r="D52" s="244">
        <f>IFERROR(__xludf.DUMMYFUNCTION("""COMPUTED_VALUE"""),0.8044412607449857)</f>
        <v>0.8044412607</v>
      </c>
      <c r="E52" s="244">
        <f>IFERROR(__xludf.DUMMYFUNCTION("""COMPUTED_VALUE"""),0.56812)</f>
        <v>0.56812</v>
      </c>
      <c r="F52" s="244">
        <f>IFERROR(__xludf.DUMMYFUNCTION("""COMPUTED_VALUE"""),0.45)</f>
        <v>0.45</v>
      </c>
      <c r="G52" s="244">
        <f>IFERROR(__xludf.DUMMYFUNCTION("""COMPUTED_VALUE"""),0.56812)</f>
        <v>0.56812</v>
      </c>
      <c r="H52" s="244">
        <f>IFERROR(__xludf.DUMMYFUNCTION("""COMPUTED_VALUE"""),0.23632126074498572)</f>
        <v>0.2363212607</v>
      </c>
      <c r="I52" s="259" t="str">
        <f>IFERROR(__xludf.DUMMYFUNCTION("""COMPUTED_VALUE"""),"4. An Toàn")</f>
        <v>4. An Toàn</v>
      </c>
    </row>
    <row r="53">
      <c r="A53" s="259" t="str">
        <f>IFERROR(__xludf.DUMMYFUNCTION("""COMPUTED_VALUE"""),"TNG")</f>
        <v>TNG</v>
      </c>
      <c r="B53" s="259" t="str">
        <f>IFERROR(__xludf.DUMMYFUNCTION("""COMPUTED_VALUE"""),"Phú Yên")</f>
        <v>Phú Yên</v>
      </c>
      <c r="C53" s="247" t="str">
        <f>IFERROR(__xludf.DUMMYFUNCTION("""COMPUTED_VALUE"""),"BC DT644-Sông Cầu-Phú Yên")</f>
        <v>BC DT644-Sông Cầu-Phú Yên</v>
      </c>
      <c r="D53" s="244">
        <f>IFERROR(__xludf.DUMMYFUNCTION("""COMPUTED_VALUE"""),0.8358186010760953)</f>
        <v>0.8358186011</v>
      </c>
      <c r="E53" s="244">
        <f>IFERROR(__xludf.DUMMYFUNCTION("""COMPUTED_VALUE"""),0.5958399999999999)</f>
        <v>0.59584</v>
      </c>
      <c r="F53" s="244">
        <f>IFERROR(__xludf.DUMMYFUNCTION("""COMPUTED_VALUE"""),0.45)</f>
        <v>0.45</v>
      </c>
      <c r="G53" s="244">
        <f>IFERROR(__xludf.DUMMYFUNCTION("""COMPUTED_VALUE"""),0.5958399999999999)</f>
        <v>0.59584</v>
      </c>
      <c r="H53" s="244">
        <f>IFERROR(__xludf.DUMMYFUNCTION("""COMPUTED_VALUE"""),0.23997860107609537)</f>
        <v>0.2399786011</v>
      </c>
      <c r="I53" s="259" t="str">
        <f>IFERROR(__xludf.DUMMYFUNCTION("""COMPUTED_VALUE"""),"4. An Toàn")</f>
        <v>4. An Toàn</v>
      </c>
    </row>
    <row r="54">
      <c r="A54" s="259" t="str">
        <f>IFERROR(__xludf.DUMMYFUNCTION("""COMPUTED_VALUE"""),"TNG")</f>
        <v>TNG</v>
      </c>
      <c r="B54" s="259" t="str">
        <f>IFERROR(__xludf.DUMMYFUNCTION("""COMPUTED_VALUE"""),"Bình Định")</f>
        <v>Bình Định</v>
      </c>
      <c r="C54" s="247" t="str">
        <f>IFERROR(__xludf.DUMMYFUNCTION("""COMPUTED_VALUE"""),"BC 838 Quang Trung-Phường Hoài Nhơn Tây-Bình Định")</f>
        <v>BC 838 Quang Trung-Phường Hoài Nhơn Tây-Bình Định</v>
      </c>
      <c r="D54" s="244">
        <f>IFERROR(__xludf.DUMMYFUNCTION("""COMPUTED_VALUE"""),0.820377038762974)</f>
        <v>0.8203770388</v>
      </c>
      <c r="E54" s="244">
        <f>IFERROR(__xludf.DUMMYFUNCTION("""COMPUTED_VALUE"""),0.58009)</f>
        <v>0.58009</v>
      </c>
      <c r="F54" s="244">
        <f>IFERROR(__xludf.DUMMYFUNCTION("""COMPUTED_VALUE"""),0.45)</f>
        <v>0.45</v>
      </c>
      <c r="G54" s="244">
        <f>IFERROR(__xludf.DUMMYFUNCTION("""COMPUTED_VALUE"""),0.58009)</f>
        <v>0.58009</v>
      </c>
      <c r="H54" s="244">
        <f>IFERROR(__xludf.DUMMYFUNCTION("""COMPUTED_VALUE"""),0.24028703876297397)</f>
        <v>0.2402870388</v>
      </c>
      <c r="I54" s="259" t="str">
        <f>IFERROR(__xludf.DUMMYFUNCTION("""COMPUTED_VALUE"""),"4. An Toàn")</f>
        <v>4. An Toàn</v>
      </c>
    </row>
    <row r="55">
      <c r="A55" s="259" t="str">
        <f>IFERROR(__xludf.DUMMYFUNCTION("""COMPUTED_VALUE"""),"TNG")</f>
        <v>TNG</v>
      </c>
      <c r="B55" s="259" t="str">
        <f>IFERROR(__xludf.DUMMYFUNCTION("""COMPUTED_VALUE"""),"Phú Yên")</f>
        <v>Phú Yên</v>
      </c>
      <c r="C55" s="247" t="str">
        <f>IFERROR(__xludf.DUMMYFUNCTION("""COMPUTED_VALUE"""),"BC Thị Trấn Phú Thứ-Tây Hoà-Phú Yên")</f>
        <v>BC Thị Trấn Phú Thứ-Tây Hoà-Phú Yên</v>
      </c>
      <c r="D55" s="244">
        <f>IFERROR(__xludf.DUMMYFUNCTION("""COMPUTED_VALUE"""),0.8115546218487395)</f>
        <v>0.8115546218</v>
      </c>
      <c r="E55" s="244">
        <f>IFERROR(__xludf.DUMMYFUNCTION("""COMPUTED_VALUE"""),0.5711999999999999)</f>
        <v>0.5712</v>
      </c>
      <c r="F55" s="244">
        <f>IFERROR(__xludf.DUMMYFUNCTION("""COMPUTED_VALUE"""),0.45)</f>
        <v>0.45</v>
      </c>
      <c r="G55" s="244">
        <f>IFERROR(__xludf.DUMMYFUNCTION("""COMPUTED_VALUE"""),0.5711999999999999)</f>
        <v>0.5712</v>
      </c>
      <c r="H55" s="244">
        <f>IFERROR(__xludf.DUMMYFUNCTION("""COMPUTED_VALUE"""),0.24035462184873957)</f>
        <v>0.2403546218</v>
      </c>
      <c r="I55" s="259" t="str">
        <f>IFERROR(__xludf.DUMMYFUNCTION("""COMPUTED_VALUE"""),"4. An Toàn")</f>
        <v>4. An Toàn</v>
      </c>
    </row>
    <row r="56">
      <c r="A56" s="259" t="str">
        <f>IFERROR(__xludf.DUMMYFUNCTION("""COMPUTED_VALUE"""),"TNG")</f>
        <v>TNG</v>
      </c>
      <c r="B56" s="259" t="str">
        <f>IFERROR(__xludf.DUMMYFUNCTION("""COMPUTED_VALUE"""),"Bình Định")</f>
        <v>Bình Định</v>
      </c>
      <c r="C56" s="247" t="str">
        <f>IFERROR(__xludf.DUMMYFUNCTION("""COMPUTED_VALUE"""),"BC Thôn Chánh Hóa-Xã Cát Tiến-Bình Định")</f>
        <v>BC Thôn Chánh Hóa-Xã Cát Tiến-Bình Định</v>
      </c>
      <c r="D56" s="244">
        <f>IFERROR(__xludf.DUMMYFUNCTION("""COMPUTED_VALUE"""),0.8142857142857143)</f>
        <v>0.8142857143</v>
      </c>
      <c r="E56" s="244">
        <f>IFERROR(__xludf.DUMMYFUNCTION("""COMPUTED_VALUE"""),0.56847)</f>
        <v>0.56847</v>
      </c>
      <c r="F56" s="244">
        <f>IFERROR(__xludf.DUMMYFUNCTION("""COMPUTED_VALUE"""),0.45)</f>
        <v>0.45</v>
      </c>
      <c r="G56" s="244">
        <f>IFERROR(__xludf.DUMMYFUNCTION("""COMPUTED_VALUE"""),0.56847)</f>
        <v>0.56847</v>
      </c>
      <c r="H56" s="244">
        <f>IFERROR(__xludf.DUMMYFUNCTION("""COMPUTED_VALUE"""),0.24581571428571425)</f>
        <v>0.2458157143</v>
      </c>
      <c r="I56" s="259" t="str">
        <f>IFERROR(__xludf.DUMMYFUNCTION("""COMPUTED_VALUE"""),"4. An Toàn")</f>
        <v>4. An Toàn</v>
      </c>
    </row>
    <row r="57">
      <c r="A57" s="259" t="str">
        <f>IFERROR(__xludf.DUMMYFUNCTION("""COMPUTED_VALUE"""),"TNG")</f>
        <v>TNG</v>
      </c>
      <c r="B57" s="259" t="str">
        <f>IFERROR(__xludf.DUMMYFUNCTION("""COMPUTED_VALUE"""),"Bình Định")</f>
        <v>Bình Định</v>
      </c>
      <c r="C57" s="247" t="str">
        <f>IFERROR(__xludf.DUMMYFUNCTION("""COMPUTED_VALUE"""),"BC 767 Hùng Vương-Quy Nhơn-Bình Định")</f>
        <v>BC 767 Hùng Vương-Quy Nhơn-Bình Định</v>
      </c>
      <c r="D57" s="244">
        <f>IFERROR(__xludf.DUMMYFUNCTION("""COMPUTED_VALUE"""),0.8546538285190279)</f>
        <v>0.8546538285</v>
      </c>
      <c r="E57" s="244">
        <f>IFERROR(__xludf.DUMMYFUNCTION("""COMPUTED_VALUE"""),0.60872)</f>
        <v>0.60872</v>
      </c>
      <c r="F57" s="244">
        <f>IFERROR(__xludf.DUMMYFUNCTION("""COMPUTED_VALUE"""),0.45)</f>
        <v>0.45</v>
      </c>
      <c r="G57" s="244">
        <f>IFERROR(__xludf.DUMMYFUNCTION("""COMPUTED_VALUE"""),0.60872)</f>
        <v>0.60872</v>
      </c>
      <c r="H57" s="244">
        <f>IFERROR(__xludf.DUMMYFUNCTION("""COMPUTED_VALUE"""),0.2459338285190279)</f>
        <v>0.2459338285</v>
      </c>
      <c r="I57" s="259" t="str">
        <f>IFERROR(__xludf.DUMMYFUNCTION("""COMPUTED_VALUE"""),"4. An Toàn")</f>
        <v>4. An Toàn</v>
      </c>
    </row>
    <row r="58">
      <c r="A58" s="259" t="str">
        <f>IFERROR(__xludf.DUMMYFUNCTION("""COMPUTED_VALUE"""),"TNG")</f>
        <v>TNG</v>
      </c>
      <c r="B58" s="259" t="str">
        <f>IFERROR(__xludf.DUMMYFUNCTION("""COMPUTED_VALUE"""),"Bình Định")</f>
        <v>Bình Định</v>
      </c>
      <c r="C58" s="247" t="str">
        <f>IFERROR(__xludf.DUMMYFUNCTION("""COMPUTED_VALUE"""),"BC 269 Tây Sơn-Quy Nhơn-Bình Định")</f>
        <v>BC 269 Tây Sơn-Quy Nhơn-Bình Định</v>
      </c>
      <c r="D58" s="244">
        <f>IFERROR(__xludf.DUMMYFUNCTION("""COMPUTED_VALUE"""),0.8537445936717505)</f>
        <v>0.8537445937</v>
      </c>
      <c r="E58" s="244">
        <f>IFERROR(__xludf.DUMMYFUNCTION("""COMPUTED_VALUE"""),0.60753)</f>
        <v>0.60753</v>
      </c>
      <c r="F58" s="244">
        <f>IFERROR(__xludf.DUMMYFUNCTION("""COMPUTED_VALUE"""),0.45)</f>
        <v>0.45</v>
      </c>
      <c r="G58" s="244">
        <f>IFERROR(__xludf.DUMMYFUNCTION("""COMPUTED_VALUE"""),0.60753)</f>
        <v>0.60753</v>
      </c>
      <c r="H58" s="244">
        <f>IFERROR(__xludf.DUMMYFUNCTION("""COMPUTED_VALUE"""),0.24621459367175047)</f>
        <v>0.2462145937</v>
      </c>
      <c r="I58" s="259" t="str">
        <f>IFERROR(__xludf.DUMMYFUNCTION("""COMPUTED_VALUE"""),"4. An Toàn")</f>
        <v>4. An Toàn</v>
      </c>
    </row>
    <row r="59">
      <c r="A59" s="259" t="str">
        <f>IFERROR(__xludf.DUMMYFUNCTION("""COMPUTED_VALUE"""),"TNG")</f>
        <v>TNG</v>
      </c>
      <c r="B59" s="259" t="str">
        <f>IFERROR(__xludf.DUMMYFUNCTION("""COMPUTED_VALUE"""),"Phú Yên")</f>
        <v>Phú Yên</v>
      </c>
      <c r="C59" s="247" t="str">
        <f>IFERROR(__xludf.DUMMYFUNCTION("""COMPUTED_VALUE"""),"BC 71 Quốc Lộ 1A-Xã Tuy An Bắc-Phú Yên")</f>
        <v>BC 71 Quốc Lộ 1A-Xã Tuy An Bắc-Phú Yên</v>
      </c>
      <c r="D59" s="244">
        <f>IFERROR(__xludf.DUMMYFUNCTION("""COMPUTED_VALUE"""),0.8758348512446873)</f>
        <v>0.8758348512</v>
      </c>
      <c r="E59" s="244">
        <f>IFERROR(__xludf.DUMMYFUNCTION("""COMPUTED_VALUE"""),0.6042399999999999)</f>
        <v>0.60424</v>
      </c>
      <c r="F59" s="244">
        <f>IFERROR(__xludf.DUMMYFUNCTION("""COMPUTED_VALUE"""),0.45)</f>
        <v>0.45</v>
      </c>
      <c r="G59" s="244">
        <f>IFERROR(__xludf.DUMMYFUNCTION("""COMPUTED_VALUE"""),0.6042399999999999)</f>
        <v>0.60424</v>
      </c>
      <c r="H59" s="244">
        <f>IFERROR(__xludf.DUMMYFUNCTION("""COMPUTED_VALUE"""),0.2715948512446874)</f>
        <v>0.2715948512</v>
      </c>
      <c r="I59" s="259" t="str">
        <f>IFERROR(__xludf.DUMMYFUNCTION("""COMPUTED_VALUE"""),"4. An Toàn")</f>
        <v>4. An Toàn</v>
      </c>
    </row>
    <row r="60">
      <c r="A60" s="259" t="str">
        <f>IFERROR(__xludf.DUMMYFUNCTION("""COMPUTED_VALUE"""),"TNG")</f>
        <v>TNG</v>
      </c>
      <c r="B60" s="259" t="str">
        <f>IFERROR(__xludf.DUMMYFUNCTION("""COMPUTED_VALUE"""),"Bình Định")</f>
        <v>Bình Định</v>
      </c>
      <c r="C60" s="247" t="str">
        <f>IFERROR(__xludf.DUMMYFUNCTION("""COMPUTED_VALUE"""),"BC Số 35 Phạm Văn Đồng-Tăng Bạt Hổ-Hoài Ân-Bình Định")</f>
        <v>BC Số 35 Phạm Văn Đồng-Tăng Bạt Hổ-Hoài Ân-Bình Định</v>
      </c>
      <c r="D60" s="244">
        <f>IFERROR(__xludf.DUMMYFUNCTION("""COMPUTED_VALUE"""),0.8712609970674486)</f>
        <v>0.8712609971</v>
      </c>
      <c r="E60" s="244">
        <f>IFERROR(__xludf.DUMMYFUNCTION("""COMPUTED_VALUE"""),0.59885)</f>
        <v>0.59885</v>
      </c>
      <c r="F60" s="244">
        <f>IFERROR(__xludf.DUMMYFUNCTION("""COMPUTED_VALUE"""),0.45)</f>
        <v>0.45</v>
      </c>
      <c r="G60" s="244">
        <f>IFERROR(__xludf.DUMMYFUNCTION("""COMPUTED_VALUE"""),0.59885)</f>
        <v>0.59885</v>
      </c>
      <c r="H60" s="244">
        <f>IFERROR(__xludf.DUMMYFUNCTION("""COMPUTED_VALUE"""),0.27241099706744865)</f>
        <v>0.2724109971</v>
      </c>
      <c r="I60" s="259" t="str">
        <f>IFERROR(__xludf.DUMMYFUNCTION("""COMPUTED_VALUE"""),"4. An Toàn")</f>
        <v>4. An Toàn</v>
      </c>
    </row>
    <row r="61">
      <c r="A61" s="259" t="str">
        <f>IFERROR(__xludf.DUMMYFUNCTION("""COMPUTED_VALUE"""),"TNG")</f>
        <v>TNG</v>
      </c>
      <c r="B61" s="259" t="str">
        <f>IFERROR(__xludf.DUMMYFUNCTION("""COMPUTED_VALUE"""),"Phú Yên")</f>
        <v>Phú Yên</v>
      </c>
      <c r="C61" s="247" t="str">
        <f>IFERROR(__xludf.DUMMYFUNCTION("""COMPUTED_VALUE"""),"BC Đường Tỉnh 643-Xã Tuy An Nam-Phú Yên")</f>
        <v>BC Đường Tỉnh 643-Xã Tuy An Nam-Phú Yên</v>
      </c>
      <c r="D61" s="244">
        <f>IFERROR(__xludf.DUMMYFUNCTION("""COMPUTED_VALUE"""),0.9009227780475959)</f>
        <v>0.900922778</v>
      </c>
      <c r="E61" s="244">
        <f>IFERROR(__xludf.DUMMYFUNCTION("""COMPUTED_VALUE"""),0.6275499999999999)</f>
        <v>0.62755</v>
      </c>
      <c r="F61" s="244">
        <f>IFERROR(__xludf.DUMMYFUNCTION("""COMPUTED_VALUE"""),0.45)</f>
        <v>0.45</v>
      </c>
      <c r="G61" s="244">
        <f>IFERROR(__xludf.DUMMYFUNCTION("""COMPUTED_VALUE"""),0.6275499999999999)</f>
        <v>0.62755</v>
      </c>
      <c r="H61" s="244">
        <f>IFERROR(__xludf.DUMMYFUNCTION("""COMPUTED_VALUE"""),0.27337277804759597)</f>
        <v>0.273372778</v>
      </c>
      <c r="I61" s="259" t="str">
        <f>IFERROR(__xludf.DUMMYFUNCTION("""COMPUTED_VALUE"""),"4. An Toàn")</f>
        <v>4. An Toàn</v>
      </c>
    </row>
    <row r="62">
      <c r="A62" s="259" t="str">
        <f>IFERROR(__xludf.DUMMYFUNCTION("""COMPUTED_VALUE"""),"TNG")</f>
        <v>TNG</v>
      </c>
      <c r="B62" s="259" t="str">
        <f>IFERROR(__xludf.DUMMYFUNCTION("""COMPUTED_VALUE"""),"Đắk Lắk")</f>
        <v>Đắk Lắk</v>
      </c>
      <c r="C62" s="247" t="str">
        <f>IFERROR(__xludf.DUMMYFUNCTION("""COMPUTED_VALUE"""),"BC 09 Quốc Lộ 14-Hoà Phú-Đắk Lắk")</f>
        <v>BC 09 Quốc Lộ 14-Hoà Phú-Đắk Lắk</v>
      </c>
      <c r="D62" s="244">
        <f>IFERROR(__xludf.DUMMYFUNCTION("""COMPUTED_VALUE"""),0.5210569777043765)</f>
        <v>0.5210569777</v>
      </c>
      <c r="E62" s="244"/>
      <c r="F62" s="244">
        <f>IFERROR(__xludf.DUMMYFUNCTION("""COMPUTED_VALUE"""),0.45)</f>
        <v>0.45</v>
      </c>
      <c r="G62" s="244"/>
      <c r="H62" s="244">
        <f>IFERROR(__xludf.DUMMYFUNCTION("""COMPUTED_VALUE"""),0.5210569777043765)</f>
        <v>0.5210569777</v>
      </c>
      <c r="I62" s="259" t="str">
        <f>IFERROR(__xludf.DUMMYFUNCTION("""COMPUTED_VALUE"""),"4. An Toàn")</f>
        <v>4. An Toàn</v>
      </c>
    </row>
    <row r="63">
      <c r="A63" s="259" t="str">
        <f>IFERROR(__xludf.DUMMYFUNCTION("""COMPUTED_VALUE"""),"TNG")</f>
        <v>TNG</v>
      </c>
      <c r="B63" s="259" t="str">
        <f>IFERROR(__xludf.DUMMYFUNCTION("""COMPUTED_VALUE"""),"Đắk Lắk")</f>
        <v>Đắk Lắk</v>
      </c>
      <c r="C63" s="247" t="str">
        <f>IFERROR(__xludf.DUMMYFUNCTION("""COMPUTED_VALUE"""),"BC 271 Nguyễn Văn Cừ-Tân Lập-Đắk Lắk")</f>
        <v>BC 271 Nguyễn Văn Cừ-Tân Lập-Đắk Lắk</v>
      </c>
      <c r="D63" s="244">
        <f>IFERROR(__xludf.DUMMYFUNCTION("""COMPUTED_VALUE"""),0.7589456869009584)</f>
        <v>0.7589456869</v>
      </c>
      <c r="E63" s="244"/>
      <c r="F63" s="244">
        <f>IFERROR(__xludf.DUMMYFUNCTION("""COMPUTED_VALUE"""),0.45)</f>
        <v>0.45</v>
      </c>
      <c r="G63" s="244"/>
      <c r="H63" s="244">
        <f>IFERROR(__xludf.DUMMYFUNCTION("""COMPUTED_VALUE"""),0.7589456869009584)</f>
        <v>0.7589456869</v>
      </c>
      <c r="I63" s="259" t="str">
        <f>IFERROR(__xludf.DUMMYFUNCTION("""COMPUTED_VALUE"""),"4. An Toàn")</f>
        <v>4. An Toàn</v>
      </c>
    </row>
    <row r="64">
      <c r="A64" s="130"/>
      <c r="B64" s="130"/>
      <c r="C64" s="48"/>
      <c r="D64" s="130"/>
      <c r="E64" s="130"/>
      <c r="F64" s="130"/>
      <c r="G64" s="130"/>
      <c r="H64" s="130"/>
      <c r="I64" s="130"/>
    </row>
    <row r="65">
      <c r="A65" s="130"/>
      <c r="B65" s="130"/>
      <c r="C65" s="48"/>
      <c r="D65" s="130"/>
      <c r="E65" s="130"/>
      <c r="F65" s="130"/>
      <c r="G65" s="130"/>
      <c r="H65" s="130"/>
      <c r="I65" s="130"/>
    </row>
    <row r="66">
      <c r="A66" s="130"/>
      <c r="B66" s="130"/>
      <c r="C66" s="48"/>
      <c r="D66" s="130"/>
      <c r="E66" s="130"/>
      <c r="F66" s="130"/>
      <c r="G66" s="130"/>
      <c r="H66" s="130"/>
      <c r="I66" s="130"/>
    </row>
    <row r="67">
      <c r="A67" s="130"/>
      <c r="B67" s="130"/>
      <c r="C67" s="48"/>
      <c r="D67" s="130"/>
      <c r="E67" s="130"/>
      <c r="F67" s="130"/>
      <c r="G67" s="130"/>
      <c r="H67" s="130"/>
      <c r="I67" s="130"/>
    </row>
    <row r="68">
      <c r="A68" s="130"/>
      <c r="B68" s="130"/>
      <c r="C68" s="48"/>
      <c r="D68" s="130"/>
      <c r="E68" s="130"/>
      <c r="F68" s="130"/>
      <c r="G68" s="130"/>
      <c r="H68" s="130"/>
      <c r="I68" s="130"/>
    </row>
    <row r="69">
      <c r="A69" s="130"/>
      <c r="B69" s="130"/>
      <c r="C69" s="48"/>
      <c r="D69" s="130"/>
      <c r="E69" s="130"/>
      <c r="F69" s="130"/>
      <c r="G69" s="130"/>
      <c r="H69" s="130"/>
      <c r="I69" s="130"/>
    </row>
    <row r="70">
      <c r="A70" s="130"/>
      <c r="B70" s="130"/>
      <c r="C70" s="48"/>
      <c r="D70" s="130"/>
      <c r="E70" s="130"/>
      <c r="F70" s="130"/>
      <c r="G70" s="130"/>
      <c r="H70" s="130"/>
      <c r="I70" s="130"/>
    </row>
    <row r="71">
      <c r="A71" s="130"/>
      <c r="B71" s="130"/>
      <c r="C71" s="48"/>
      <c r="D71" s="130"/>
      <c r="E71" s="130"/>
      <c r="F71" s="130"/>
      <c r="G71" s="130"/>
      <c r="H71" s="130"/>
      <c r="I71" s="130"/>
    </row>
    <row r="72">
      <c r="A72" s="130"/>
      <c r="B72" s="130"/>
      <c r="C72" s="48"/>
      <c r="D72" s="130"/>
      <c r="E72" s="130"/>
      <c r="F72" s="130"/>
      <c r="G72" s="130"/>
      <c r="H72" s="130"/>
      <c r="I72" s="130"/>
    </row>
    <row r="73">
      <c r="A73" s="130"/>
      <c r="B73" s="130"/>
      <c r="C73" s="48"/>
      <c r="D73" s="130"/>
      <c r="E73" s="130"/>
      <c r="F73" s="130"/>
      <c r="G73" s="130"/>
      <c r="H73" s="130"/>
      <c r="I73" s="130"/>
    </row>
    <row r="74">
      <c r="A74" s="130"/>
      <c r="B74" s="130"/>
      <c r="C74" s="48"/>
      <c r="D74" s="130"/>
      <c r="E74" s="130"/>
      <c r="F74" s="130"/>
      <c r="G74" s="130"/>
      <c r="H74" s="130"/>
      <c r="I74" s="130"/>
    </row>
    <row r="75">
      <c r="A75" s="130"/>
      <c r="B75" s="130"/>
      <c r="C75" s="48"/>
      <c r="D75" s="130"/>
      <c r="E75" s="130"/>
      <c r="F75" s="130"/>
      <c r="G75" s="130"/>
      <c r="H75" s="130"/>
      <c r="I75" s="130"/>
    </row>
    <row r="76">
      <c r="A76" s="130"/>
      <c r="B76" s="130"/>
      <c r="C76" s="48"/>
      <c r="D76" s="130"/>
      <c r="E76" s="130"/>
      <c r="F76" s="130"/>
      <c r="G76" s="130"/>
      <c r="H76" s="130"/>
      <c r="I76" s="130"/>
    </row>
    <row r="77">
      <c r="A77" s="130"/>
      <c r="B77" s="130"/>
      <c r="C77" s="48"/>
      <c r="D77" s="130"/>
      <c r="E77" s="130"/>
      <c r="F77" s="130"/>
      <c r="G77" s="130"/>
      <c r="H77" s="130"/>
      <c r="I77" s="130"/>
    </row>
    <row r="78">
      <c r="A78" s="130"/>
      <c r="B78" s="130"/>
      <c r="C78" s="48"/>
      <c r="D78" s="130"/>
      <c r="E78" s="130"/>
      <c r="F78" s="130"/>
      <c r="G78" s="130"/>
      <c r="H78" s="130"/>
      <c r="I78" s="130"/>
    </row>
    <row r="79">
      <c r="A79" s="130"/>
      <c r="B79" s="130"/>
      <c r="C79" s="48"/>
      <c r="D79" s="130"/>
      <c r="E79" s="130"/>
      <c r="F79" s="130"/>
      <c r="G79" s="130"/>
      <c r="H79" s="130"/>
      <c r="I79" s="130"/>
    </row>
    <row r="80">
      <c r="A80" s="130"/>
      <c r="B80" s="130"/>
      <c r="C80" s="48"/>
      <c r="D80" s="130"/>
      <c r="E80" s="130"/>
      <c r="F80" s="130"/>
      <c r="G80" s="130"/>
      <c r="H80" s="130"/>
      <c r="I80" s="130"/>
    </row>
    <row r="81">
      <c r="A81" s="130"/>
      <c r="B81" s="130"/>
      <c r="C81" s="48"/>
      <c r="D81" s="130"/>
      <c r="E81" s="130"/>
      <c r="F81" s="130"/>
      <c r="G81" s="130"/>
      <c r="H81" s="130"/>
      <c r="I81" s="130"/>
    </row>
    <row r="82">
      <c r="A82" s="130"/>
      <c r="B82" s="130"/>
      <c r="C82" s="48"/>
      <c r="D82" s="130"/>
      <c r="E82" s="130"/>
      <c r="F82" s="130"/>
      <c r="G82" s="130"/>
      <c r="H82" s="130"/>
      <c r="I82" s="130"/>
    </row>
    <row r="83">
      <c r="A83" s="130"/>
      <c r="B83" s="130"/>
      <c r="C83" s="48"/>
      <c r="D83" s="130"/>
      <c r="E83" s="130"/>
      <c r="F83" s="130"/>
      <c r="G83" s="130"/>
      <c r="H83" s="130"/>
      <c r="I83" s="130"/>
    </row>
    <row r="84">
      <c r="A84" s="130"/>
      <c r="B84" s="130"/>
      <c r="C84" s="48"/>
      <c r="D84" s="130"/>
      <c r="E84" s="130"/>
      <c r="F84" s="130"/>
      <c r="G84" s="130"/>
      <c r="H84" s="130"/>
      <c r="I84" s="130"/>
    </row>
    <row r="85">
      <c r="A85" s="130"/>
      <c r="B85" s="130"/>
      <c r="C85" s="48"/>
      <c r="D85" s="130"/>
      <c r="E85" s="130"/>
      <c r="F85" s="130"/>
      <c r="G85" s="130"/>
      <c r="H85" s="130"/>
      <c r="I85" s="130"/>
    </row>
    <row r="86">
      <c r="A86" s="130"/>
      <c r="B86" s="130"/>
      <c r="C86" s="48"/>
      <c r="D86" s="130"/>
      <c r="E86" s="130"/>
      <c r="F86" s="130"/>
      <c r="G86" s="130"/>
      <c r="H86" s="130"/>
      <c r="I86" s="130"/>
    </row>
    <row r="87">
      <c r="A87" s="130"/>
      <c r="B87" s="130"/>
      <c r="C87" s="48"/>
      <c r="D87" s="130"/>
      <c r="E87" s="130"/>
      <c r="F87" s="130"/>
      <c r="G87" s="130"/>
      <c r="H87" s="130"/>
      <c r="I87" s="130"/>
    </row>
    <row r="88">
      <c r="A88" s="130"/>
      <c r="B88" s="130"/>
      <c r="C88" s="48"/>
      <c r="D88" s="130"/>
      <c r="E88" s="130"/>
      <c r="F88" s="130"/>
      <c r="G88" s="130"/>
      <c r="H88" s="130"/>
      <c r="I88" s="130"/>
    </row>
    <row r="89">
      <c r="A89" s="130"/>
      <c r="B89" s="130"/>
      <c r="C89" s="48"/>
      <c r="D89" s="130"/>
      <c r="E89" s="130"/>
      <c r="F89" s="130"/>
      <c r="G89" s="130"/>
      <c r="H89" s="130"/>
      <c r="I89" s="130"/>
    </row>
    <row r="90">
      <c r="A90" s="130"/>
      <c r="B90" s="130"/>
      <c r="C90" s="48"/>
      <c r="D90" s="130"/>
      <c r="E90" s="130"/>
      <c r="F90" s="130"/>
      <c r="G90" s="130"/>
      <c r="H90" s="130"/>
      <c r="I90" s="130"/>
    </row>
    <row r="91">
      <c r="A91" s="130"/>
      <c r="B91" s="130"/>
      <c r="C91" s="48"/>
      <c r="D91" s="130"/>
      <c r="E91" s="130"/>
      <c r="F91" s="130"/>
      <c r="G91" s="130"/>
      <c r="H91" s="130"/>
      <c r="I91" s="130"/>
    </row>
    <row r="92">
      <c r="A92" s="130"/>
      <c r="B92" s="130"/>
      <c r="C92" s="48"/>
      <c r="D92" s="130"/>
      <c r="E92" s="130"/>
      <c r="F92" s="130"/>
      <c r="G92" s="130"/>
      <c r="H92" s="130"/>
      <c r="I92" s="130"/>
    </row>
    <row r="93">
      <c r="A93" s="130"/>
      <c r="B93" s="130"/>
      <c r="C93" s="48"/>
      <c r="D93" s="130"/>
      <c r="E93" s="130"/>
      <c r="F93" s="130"/>
      <c r="G93" s="130"/>
      <c r="H93" s="130"/>
      <c r="I93" s="130"/>
    </row>
    <row r="94">
      <c r="A94" s="130"/>
      <c r="B94" s="130"/>
      <c r="C94" s="48"/>
      <c r="D94" s="130"/>
      <c r="E94" s="130"/>
      <c r="F94" s="130"/>
      <c r="G94" s="130"/>
      <c r="H94" s="130"/>
      <c r="I94" s="130"/>
    </row>
    <row r="95">
      <c r="A95" s="130"/>
      <c r="B95" s="130"/>
      <c r="C95" s="48"/>
      <c r="D95" s="130"/>
      <c r="E95" s="130"/>
      <c r="F95" s="130"/>
      <c r="G95" s="130"/>
      <c r="H95" s="130"/>
      <c r="I95" s="130"/>
    </row>
    <row r="96">
      <c r="A96" s="130"/>
      <c r="B96" s="130"/>
      <c r="C96" s="48"/>
      <c r="D96" s="130"/>
      <c r="E96" s="130"/>
      <c r="F96" s="130"/>
      <c r="G96" s="130"/>
      <c r="H96" s="130"/>
      <c r="I96" s="130"/>
    </row>
    <row r="97">
      <c r="A97" s="130"/>
      <c r="B97" s="130"/>
      <c r="C97" s="48"/>
      <c r="D97" s="130"/>
      <c r="E97" s="130"/>
      <c r="F97" s="130"/>
      <c r="G97" s="130"/>
      <c r="H97" s="130"/>
      <c r="I97" s="130"/>
    </row>
    <row r="98">
      <c r="A98" s="130"/>
      <c r="B98" s="130"/>
      <c r="C98" s="48"/>
      <c r="D98" s="130"/>
      <c r="E98" s="130"/>
      <c r="F98" s="130"/>
      <c r="G98" s="130"/>
      <c r="H98" s="130"/>
      <c r="I98" s="130"/>
    </row>
    <row r="99">
      <c r="A99" s="130"/>
      <c r="B99" s="130"/>
      <c r="C99" s="48"/>
      <c r="D99" s="130"/>
      <c r="E99" s="130"/>
      <c r="F99" s="130"/>
      <c r="G99" s="130"/>
      <c r="H99" s="130"/>
      <c r="I99" s="130"/>
    </row>
    <row r="100">
      <c r="A100" s="130"/>
      <c r="B100" s="130"/>
      <c r="C100" s="48"/>
      <c r="D100" s="130"/>
      <c r="E100" s="130"/>
      <c r="F100" s="130"/>
      <c r="G100" s="130"/>
      <c r="H100" s="130"/>
      <c r="I100" s="130"/>
    </row>
    <row r="101">
      <c r="A101" s="130"/>
      <c r="B101" s="130"/>
      <c r="C101" s="48"/>
      <c r="D101" s="130"/>
      <c r="E101" s="130"/>
      <c r="F101" s="130"/>
      <c r="G101" s="130"/>
      <c r="H101" s="130"/>
      <c r="I101" s="130"/>
    </row>
    <row r="102">
      <c r="A102" s="130"/>
      <c r="B102" s="130"/>
      <c r="C102" s="48"/>
      <c r="D102" s="130"/>
      <c r="E102" s="130"/>
      <c r="F102" s="130"/>
      <c r="G102" s="130"/>
      <c r="H102" s="130"/>
      <c r="I102" s="130"/>
    </row>
    <row r="103">
      <c r="A103" s="130"/>
      <c r="B103" s="130"/>
      <c r="C103" s="48"/>
      <c r="D103" s="130"/>
      <c r="E103" s="130"/>
      <c r="F103" s="130"/>
      <c r="G103" s="130"/>
      <c r="H103" s="130"/>
      <c r="I103" s="130"/>
    </row>
    <row r="104">
      <c r="A104" s="130"/>
      <c r="B104" s="130"/>
      <c r="C104" s="48"/>
      <c r="D104" s="130"/>
      <c r="E104" s="130"/>
      <c r="F104" s="130"/>
      <c r="G104" s="130"/>
      <c r="H104" s="130"/>
      <c r="I104" s="130"/>
    </row>
    <row r="105">
      <c r="A105" s="130"/>
      <c r="B105" s="130"/>
      <c r="C105" s="48"/>
      <c r="D105" s="130"/>
      <c r="E105" s="130"/>
      <c r="F105" s="130"/>
      <c r="G105" s="130"/>
      <c r="H105" s="130"/>
      <c r="I105" s="130"/>
    </row>
    <row r="106">
      <c r="A106" s="130"/>
      <c r="B106" s="130"/>
      <c r="C106" s="48"/>
      <c r="D106" s="130"/>
      <c r="E106" s="130"/>
      <c r="F106" s="130"/>
      <c r="G106" s="130"/>
      <c r="H106" s="130"/>
      <c r="I106" s="130"/>
    </row>
    <row r="107">
      <c r="A107" s="130"/>
      <c r="B107" s="130"/>
      <c r="C107" s="48"/>
      <c r="D107" s="130"/>
      <c r="E107" s="130"/>
      <c r="F107" s="130"/>
      <c r="G107" s="130"/>
      <c r="H107" s="130"/>
      <c r="I107" s="130"/>
    </row>
    <row r="108">
      <c r="A108" s="130"/>
      <c r="B108" s="130"/>
      <c r="C108" s="48"/>
      <c r="D108" s="130"/>
      <c r="E108" s="130"/>
      <c r="F108" s="130"/>
      <c r="G108" s="130"/>
      <c r="H108" s="130"/>
      <c r="I108" s="130"/>
    </row>
    <row r="109">
      <c r="A109" s="130"/>
      <c r="B109" s="130"/>
      <c r="C109" s="48"/>
      <c r="D109" s="130"/>
      <c r="E109" s="130"/>
      <c r="F109" s="130"/>
      <c r="G109" s="130"/>
      <c r="H109" s="130"/>
      <c r="I109" s="130"/>
    </row>
    <row r="110">
      <c r="A110" s="130"/>
      <c r="B110" s="130"/>
      <c r="C110" s="48"/>
      <c r="D110" s="130"/>
      <c r="E110" s="130"/>
      <c r="F110" s="130"/>
      <c r="G110" s="130"/>
      <c r="H110" s="130"/>
      <c r="I110" s="130"/>
    </row>
    <row r="111">
      <c r="A111" s="130"/>
      <c r="B111" s="130"/>
      <c r="C111" s="48"/>
      <c r="D111" s="130"/>
      <c r="E111" s="130"/>
      <c r="F111" s="130"/>
      <c r="G111" s="130"/>
      <c r="H111" s="130"/>
      <c r="I111" s="130"/>
    </row>
    <row r="112">
      <c r="A112" s="130"/>
      <c r="B112" s="130"/>
      <c r="C112" s="48"/>
      <c r="D112" s="130"/>
      <c r="E112" s="130"/>
      <c r="F112" s="130"/>
      <c r="G112" s="130"/>
      <c r="H112" s="130"/>
      <c r="I112" s="130"/>
    </row>
    <row r="113">
      <c r="A113" s="130"/>
      <c r="B113" s="130"/>
      <c r="C113" s="48"/>
      <c r="D113" s="130"/>
      <c r="E113" s="130"/>
      <c r="F113" s="130"/>
      <c r="G113" s="130"/>
      <c r="H113" s="130"/>
      <c r="I113" s="130"/>
    </row>
    <row r="114">
      <c r="A114" s="130"/>
      <c r="B114" s="130"/>
      <c r="C114" s="48"/>
      <c r="D114" s="130"/>
      <c r="E114" s="130"/>
      <c r="F114" s="130"/>
      <c r="G114" s="130"/>
      <c r="H114" s="130"/>
      <c r="I114" s="130"/>
    </row>
    <row r="115">
      <c r="A115" s="130"/>
      <c r="B115" s="130"/>
      <c r="C115" s="48"/>
      <c r="D115" s="130"/>
      <c r="E115" s="130"/>
      <c r="F115" s="130"/>
      <c r="G115" s="130"/>
      <c r="H115" s="130"/>
      <c r="I115" s="130"/>
    </row>
    <row r="116">
      <c r="A116" s="130"/>
      <c r="B116" s="130"/>
      <c r="C116" s="48"/>
      <c r="D116" s="130"/>
      <c r="E116" s="130"/>
      <c r="F116" s="130"/>
      <c r="G116" s="130"/>
      <c r="H116" s="130"/>
      <c r="I116" s="130"/>
    </row>
    <row r="117">
      <c r="A117" s="130"/>
      <c r="B117" s="130"/>
      <c r="C117" s="48"/>
      <c r="D117" s="130"/>
      <c r="E117" s="130"/>
      <c r="F117" s="130"/>
      <c r="G117" s="130"/>
      <c r="H117" s="130"/>
      <c r="I117" s="130"/>
    </row>
    <row r="118">
      <c r="A118" s="130"/>
      <c r="B118" s="130"/>
      <c r="C118" s="48"/>
      <c r="D118" s="130"/>
      <c r="E118" s="130"/>
      <c r="F118" s="130"/>
      <c r="G118" s="130"/>
      <c r="H118" s="130"/>
      <c r="I118" s="130"/>
    </row>
    <row r="119">
      <c r="A119" s="130"/>
      <c r="B119" s="130"/>
      <c r="C119" s="48"/>
      <c r="D119" s="130"/>
      <c r="E119" s="130"/>
      <c r="F119" s="130"/>
      <c r="G119" s="130"/>
      <c r="H119" s="130"/>
      <c r="I119" s="130"/>
    </row>
    <row r="120">
      <c r="A120" s="130"/>
      <c r="B120" s="130"/>
      <c r="C120" s="48"/>
      <c r="D120" s="130"/>
      <c r="E120" s="130"/>
      <c r="F120" s="130"/>
      <c r="G120" s="130"/>
      <c r="H120" s="130"/>
      <c r="I120" s="130"/>
    </row>
    <row r="121">
      <c r="A121" s="130"/>
      <c r="B121" s="130"/>
      <c r="C121" s="48"/>
      <c r="D121" s="130"/>
      <c r="E121" s="130"/>
      <c r="F121" s="130"/>
      <c r="G121" s="130"/>
      <c r="H121" s="130"/>
      <c r="I121" s="130"/>
    </row>
    <row r="122">
      <c r="A122" s="130"/>
      <c r="B122" s="130"/>
      <c r="C122" s="48"/>
      <c r="D122" s="130"/>
      <c r="E122" s="130"/>
      <c r="F122" s="130"/>
      <c r="G122" s="130"/>
      <c r="H122" s="130"/>
      <c r="I122" s="130"/>
    </row>
    <row r="123">
      <c r="A123" s="130"/>
      <c r="B123" s="130"/>
      <c r="C123" s="48"/>
      <c r="D123" s="130"/>
      <c r="E123" s="130"/>
      <c r="F123" s="130"/>
      <c r="G123" s="130"/>
      <c r="H123" s="130"/>
      <c r="I123" s="130"/>
    </row>
    <row r="124">
      <c r="A124" s="130"/>
      <c r="B124" s="130"/>
      <c r="C124" s="48"/>
      <c r="D124" s="130"/>
      <c r="E124" s="130"/>
      <c r="F124" s="130"/>
      <c r="G124" s="130"/>
      <c r="H124" s="130"/>
      <c r="I124" s="130"/>
    </row>
    <row r="125">
      <c r="A125" s="130"/>
      <c r="B125" s="130"/>
      <c r="C125" s="48"/>
      <c r="D125" s="130"/>
      <c r="E125" s="130"/>
      <c r="F125" s="130"/>
      <c r="G125" s="130"/>
      <c r="H125" s="130"/>
      <c r="I125" s="130"/>
    </row>
    <row r="126">
      <c r="A126" s="130"/>
      <c r="B126" s="130"/>
      <c r="C126" s="48"/>
      <c r="D126" s="130"/>
      <c r="E126" s="130"/>
      <c r="F126" s="130"/>
      <c r="G126" s="130"/>
      <c r="H126" s="130"/>
      <c r="I126" s="130"/>
    </row>
    <row r="127">
      <c r="A127" s="130"/>
      <c r="B127" s="130"/>
      <c r="C127" s="48"/>
      <c r="D127" s="130"/>
      <c r="E127" s="130"/>
      <c r="F127" s="130"/>
      <c r="G127" s="130"/>
      <c r="H127" s="130"/>
      <c r="I127" s="130"/>
    </row>
    <row r="128">
      <c r="A128" s="130"/>
      <c r="B128" s="130"/>
      <c r="C128" s="48"/>
      <c r="D128" s="130"/>
      <c r="E128" s="130"/>
      <c r="F128" s="130"/>
      <c r="G128" s="130"/>
      <c r="H128" s="130"/>
      <c r="I128" s="130"/>
    </row>
    <row r="129">
      <c r="A129" s="130"/>
      <c r="B129" s="130"/>
      <c r="C129" s="48"/>
      <c r="D129" s="130"/>
      <c r="E129" s="130"/>
      <c r="F129" s="130"/>
      <c r="G129" s="130"/>
      <c r="H129" s="130"/>
      <c r="I129" s="130"/>
    </row>
    <row r="130">
      <c r="A130" s="130"/>
      <c r="B130" s="130"/>
      <c r="C130" s="48"/>
      <c r="D130" s="130"/>
      <c r="E130" s="130"/>
      <c r="F130" s="130"/>
      <c r="G130" s="130"/>
      <c r="H130" s="130"/>
      <c r="I130" s="130"/>
    </row>
    <row r="131">
      <c r="A131" s="130"/>
      <c r="B131" s="130"/>
      <c r="C131" s="48"/>
      <c r="D131" s="130"/>
      <c r="E131" s="130"/>
      <c r="F131" s="130"/>
      <c r="G131" s="130"/>
      <c r="H131" s="130"/>
      <c r="I131" s="130"/>
    </row>
    <row r="132">
      <c r="A132" s="130"/>
      <c r="B132" s="130"/>
      <c r="C132" s="48"/>
      <c r="D132" s="130"/>
      <c r="E132" s="130"/>
      <c r="F132" s="130"/>
      <c r="G132" s="130"/>
      <c r="H132" s="130"/>
      <c r="I132" s="130"/>
    </row>
    <row r="133">
      <c r="A133" s="130"/>
      <c r="B133" s="130"/>
      <c r="C133" s="48"/>
      <c r="D133" s="130"/>
      <c r="E133" s="130"/>
      <c r="F133" s="130"/>
      <c r="G133" s="130"/>
      <c r="H133" s="130"/>
      <c r="I133" s="130"/>
    </row>
    <row r="134">
      <c r="A134" s="130"/>
      <c r="B134" s="130"/>
      <c r="C134" s="48"/>
      <c r="D134" s="130"/>
      <c r="E134" s="130"/>
      <c r="F134" s="130"/>
      <c r="G134" s="130"/>
      <c r="H134" s="130"/>
      <c r="I134" s="130"/>
    </row>
    <row r="135">
      <c r="A135" s="130"/>
      <c r="B135" s="130"/>
      <c r="C135" s="48"/>
      <c r="D135" s="130"/>
      <c r="E135" s="130"/>
      <c r="F135" s="130"/>
      <c r="G135" s="130"/>
      <c r="H135" s="130"/>
      <c r="I135" s="130"/>
    </row>
    <row r="136">
      <c r="A136" s="130"/>
      <c r="B136" s="130"/>
      <c r="C136" s="48"/>
      <c r="D136" s="130"/>
      <c r="E136" s="130"/>
      <c r="F136" s="130"/>
      <c r="G136" s="130"/>
      <c r="H136" s="130"/>
      <c r="I136" s="130"/>
    </row>
    <row r="137">
      <c r="A137" s="130"/>
      <c r="B137" s="130"/>
      <c r="C137" s="48"/>
      <c r="D137" s="130"/>
      <c r="E137" s="130"/>
      <c r="F137" s="130"/>
      <c r="G137" s="130"/>
      <c r="H137" s="130"/>
      <c r="I137" s="130"/>
    </row>
    <row r="138">
      <c r="A138" s="130"/>
      <c r="B138" s="130"/>
      <c r="C138" s="48"/>
      <c r="D138" s="130"/>
      <c r="E138" s="130"/>
      <c r="F138" s="130"/>
      <c r="G138" s="130"/>
      <c r="H138" s="130"/>
      <c r="I138" s="130"/>
    </row>
    <row r="139">
      <c r="A139" s="130"/>
      <c r="B139" s="130"/>
      <c r="C139" s="48"/>
      <c r="D139" s="130"/>
      <c r="E139" s="130"/>
      <c r="F139" s="130"/>
      <c r="G139" s="130"/>
      <c r="H139" s="130"/>
      <c r="I139" s="130"/>
    </row>
    <row r="140">
      <c r="A140" s="130"/>
      <c r="B140" s="130"/>
      <c r="C140" s="48"/>
      <c r="D140" s="130"/>
      <c r="E140" s="130"/>
      <c r="F140" s="130"/>
      <c r="G140" s="130"/>
      <c r="H140" s="130"/>
      <c r="I140" s="130"/>
    </row>
    <row r="141">
      <c r="A141" s="130"/>
      <c r="B141" s="130"/>
      <c r="C141" s="48"/>
      <c r="D141" s="130"/>
      <c r="E141" s="130"/>
      <c r="F141" s="130"/>
      <c r="G141" s="130"/>
      <c r="H141" s="130"/>
      <c r="I141" s="130"/>
    </row>
    <row r="142">
      <c r="A142" s="130"/>
      <c r="B142" s="130"/>
      <c r="C142" s="48"/>
      <c r="D142" s="130"/>
      <c r="E142" s="130"/>
      <c r="F142" s="130"/>
      <c r="G142" s="130"/>
      <c r="H142" s="130"/>
      <c r="I142" s="130"/>
    </row>
    <row r="143">
      <c r="A143" s="130"/>
      <c r="B143" s="130"/>
      <c r="C143" s="48"/>
      <c r="D143" s="130"/>
      <c r="E143" s="130"/>
      <c r="F143" s="130"/>
      <c r="G143" s="130"/>
      <c r="H143" s="130"/>
      <c r="I143" s="130"/>
    </row>
    <row r="144">
      <c r="A144" s="130"/>
      <c r="B144" s="130"/>
      <c r="C144" s="48"/>
      <c r="D144" s="130"/>
      <c r="E144" s="130"/>
      <c r="F144" s="130"/>
      <c r="G144" s="130"/>
      <c r="H144" s="130"/>
      <c r="I144" s="130"/>
    </row>
    <row r="145">
      <c r="A145" s="130"/>
      <c r="B145" s="130"/>
      <c r="C145" s="48"/>
      <c r="D145" s="130"/>
      <c r="E145" s="130"/>
      <c r="F145" s="130"/>
      <c r="G145" s="130"/>
      <c r="H145" s="130"/>
      <c r="I145" s="130"/>
    </row>
    <row r="146">
      <c r="A146" s="130"/>
      <c r="B146" s="130"/>
      <c r="C146" s="48"/>
      <c r="D146" s="130"/>
      <c r="E146" s="130"/>
      <c r="F146" s="130"/>
      <c r="G146" s="130"/>
      <c r="H146" s="130"/>
      <c r="I146" s="130"/>
    </row>
    <row r="147">
      <c r="A147" s="130"/>
      <c r="B147" s="130"/>
      <c r="C147" s="48"/>
      <c r="D147" s="130"/>
      <c r="E147" s="130"/>
      <c r="F147" s="130"/>
      <c r="G147" s="130"/>
      <c r="H147" s="130"/>
      <c r="I147" s="130"/>
    </row>
    <row r="148">
      <c r="A148" s="130"/>
      <c r="B148" s="130"/>
      <c r="C148" s="48"/>
      <c r="D148" s="130"/>
      <c r="E148" s="130"/>
      <c r="F148" s="130"/>
      <c r="G148" s="130"/>
      <c r="H148" s="130"/>
      <c r="I148" s="130"/>
    </row>
    <row r="149">
      <c r="A149" s="130"/>
      <c r="B149" s="130"/>
      <c r="C149" s="48"/>
      <c r="D149" s="130"/>
      <c r="E149" s="130"/>
      <c r="F149" s="130"/>
      <c r="G149" s="130"/>
      <c r="H149" s="130"/>
      <c r="I149" s="130"/>
    </row>
    <row r="150">
      <c r="A150" s="130"/>
      <c r="B150" s="130"/>
      <c r="C150" s="48"/>
      <c r="D150" s="130"/>
      <c r="E150" s="130"/>
      <c r="F150" s="130"/>
      <c r="G150" s="130"/>
      <c r="H150" s="130"/>
      <c r="I150" s="130"/>
    </row>
    <row r="151">
      <c r="A151" s="130"/>
      <c r="B151" s="130"/>
      <c r="C151" s="48"/>
      <c r="D151" s="130"/>
      <c r="E151" s="130"/>
      <c r="F151" s="130"/>
      <c r="G151" s="130"/>
      <c r="H151" s="130"/>
      <c r="I151" s="130"/>
    </row>
    <row r="152">
      <c r="A152" s="130"/>
      <c r="B152" s="130"/>
      <c r="C152" s="48"/>
      <c r="D152" s="130"/>
      <c r="E152" s="130"/>
      <c r="F152" s="130"/>
      <c r="G152" s="130"/>
      <c r="H152" s="130"/>
      <c r="I152" s="130"/>
    </row>
    <row r="153">
      <c r="A153" s="130"/>
      <c r="B153" s="130"/>
      <c r="C153" s="48"/>
      <c r="D153" s="130"/>
      <c r="E153" s="130"/>
      <c r="F153" s="130"/>
      <c r="G153" s="130"/>
      <c r="H153" s="130"/>
      <c r="I153" s="130"/>
    </row>
    <row r="154">
      <c r="A154" s="130"/>
      <c r="B154" s="130"/>
      <c r="C154" s="48"/>
      <c r="D154" s="130"/>
      <c r="E154" s="130"/>
      <c r="F154" s="130"/>
      <c r="G154" s="130"/>
      <c r="H154" s="130"/>
      <c r="I154" s="130"/>
    </row>
    <row r="155">
      <c r="A155" s="130"/>
      <c r="B155" s="130"/>
      <c r="C155" s="48"/>
      <c r="D155" s="130"/>
      <c r="E155" s="130"/>
      <c r="F155" s="130"/>
      <c r="G155" s="130"/>
      <c r="H155" s="130"/>
      <c r="I155" s="130"/>
    </row>
    <row r="156">
      <c r="A156" s="130"/>
      <c r="B156" s="130"/>
      <c r="C156" s="48"/>
      <c r="D156" s="130"/>
      <c r="E156" s="130"/>
      <c r="F156" s="130"/>
      <c r="G156" s="130"/>
      <c r="H156" s="130"/>
      <c r="I156" s="130"/>
    </row>
    <row r="157">
      <c r="A157" s="130"/>
      <c r="B157" s="130"/>
      <c r="C157" s="48"/>
      <c r="D157" s="130"/>
      <c r="E157" s="130"/>
      <c r="F157" s="130"/>
      <c r="G157" s="130"/>
      <c r="H157" s="130"/>
      <c r="I157" s="130"/>
    </row>
    <row r="158">
      <c r="A158" s="130"/>
      <c r="B158" s="130"/>
      <c r="C158" s="48"/>
      <c r="D158" s="130"/>
      <c r="E158" s="130"/>
      <c r="F158" s="130"/>
      <c r="G158" s="130"/>
      <c r="H158" s="130"/>
      <c r="I158" s="130"/>
    </row>
    <row r="159">
      <c r="A159" s="130"/>
      <c r="B159" s="130"/>
      <c r="C159" s="48"/>
      <c r="D159" s="130"/>
      <c r="E159" s="130"/>
      <c r="F159" s="130"/>
      <c r="G159" s="130"/>
      <c r="H159" s="130"/>
      <c r="I159" s="130"/>
    </row>
    <row r="160">
      <c r="A160" s="130"/>
      <c r="B160" s="130"/>
      <c r="C160" s="48"/>
      <c r="D160" s="130"/>
      <c r="E160" s="130"/>
      <c r="F160" s="130"/>
      <c r="G160" s="130"/>
      <c r="H160" s="130"/>
      <c r="I160" s="130"/>
    </row>
    <row r="161">
      <c r="A161" s="130"/>
      <c r="B161" s="130"/>
      <c r="C161" s="48"/>
      <c r="D161" s="130"/>
      <c r="E161" s="130"/>
      <c r="F161" s="130"/>
      <c r="G161" s="130"/>
      <c r="H161" s="130"/>
      <c r="I161" s="130"/>
    </row>
    <row r="162">
      <c r="A162" s="130"/>
      <c r="B162" s="130"/>
      <c r="C162" s="48"/>
      <c r="D162" s="130"/>
      <c r="E162" s="130"/>
      <c r="F162" s="130"/>
      <c r="G162" s="130"/>
      <c r="H162" s="130"/>
      <c r="I162" s="130"/>
    </row>
    <row r="163">
      <c r="A163" s="130"/>
      <c r="B163" s="130"/>
      <c r="C163" s="48"/>
      <c r="D163" s="130"/>
      <c r="E163" s="130"/>
      <c r="F163" s="130"/>
      <c r="G163" s="130"/>
      <c r="H163" s="130"/>
      <c r="I163" s="130"/>
    </row>
    <row r="164">
      <c r="A164" s="130"/>
      <c r="B164" s="130"/>
      <c r="C164" s="48"/>
      <c r="D164" s="130"/>
      <c r="E164" s="130"/>
      <c r="F164" s="130"/>
      <c r="G164" s="130"/>
      <c r="H164" s="130"/>
      <c r="I164" s="130"/>
    </row>
    <row r="165">
      <c r="A165" s="130"/>
      <c r="B165" s="130"/>
      <c r="C165" s="48"/>
      <c r="D165" s="130"/>
      <c r="E165" s="130"/>
      <c r="F165" s="130"/>
      <c r="G165" s="130"/>
      <c r="H165" s="130"/>
      <c r="I165" s="130"/>
    </row>
    <row r="166">
      <c r="A166" s="130"/>
      <c r="B166" s="130"/>
      <c r="C166" s="48"/>
      <c r="D166" s="130"/>
      <c r="E166" s="130"/>
      <c r="F166" s="130"/>
      <c r="G166" s="130"/>
      <c r="H166" s="130"/>
      <c r="I166" s="130"/>
    </row>
    <row r="167">
      <c r="A167" s="130"/>
      <c r="B167" s="130"/>
      <c r="C167" s="48"/>
      <c r="D167" s="130"/>
      <c r="E167" s="130"/>
      <c r="F167" s="130"/>
      <c r="G167" s="130"/>
      <c r="H167" s="130"/>
      <c r="I167" s="130"/>
    </row>
    <row r="168">
      <c r="A168" s="130"/>
      <c r="B168" s="130"/>
      <c r="C168" s="48"/>
      <c r="D168" s="130"/>
      <c r="E168" s="130"/>
      <c r="F168" s="130"/>
      <c r="G168" s="130"/>
      <c r="H168" s="130"/>
      <c r="I168" s="130"/>
    </row>
    <row r="169">
      <c r="A169" s="130"/>
      <c r="B169" s="130"/>
      <c r="C169" s="48"/>
      <c r="D169" s="130"/>
      <c r="E169" s="130"/>
      <c r="F169" s="130"/>
      <c r="G169" s="130"/>
      <c r="H169" s="130"/>
      <c r="I169" s="130"/>
    </row>
    <row r="170">
      <c r="A170" s="130"/>
      <c r="B170" s="130"/>
      <c r="C170" s="48"/>
      <c r="D170" s="130"/>
      <c r="E170" s="130"/>
      <c r="F170" s="130"/>
      <c r="G170" s="130"/>
      <c r="H170" s="130"/>
      <c r="I170" s="130"/>
    </row>
    <row r="171">
      <c r="A171" s="130"/>
      <c r="B171" s="130"/>
      <c r="C171" s="48"/>
      <c r="D171" s="130"/>
      <c r="E171" s="130"/>
      <c r="F171" s="130"/>
      <c r="G171" s="130"/>
      <c r="H171" s="130"/>
      <c r="I171" s="130"/>
    </row>
    <row r="172">
      <c r="A172" s="130"/>
      <c r="B172" s="130"/>
      <c r="C172" s="48"/>
      <c r="D172" s="130"/>
      <c r="E172" s="130"/>
      <c r="F172" s="130"/>
      <c r="G172" s="130"/>
      <c r="H172" s="130"/>
      <c r="I172" s="130"/>
    </row>
    <row r="173">
      <c r="A173" s="130"/>
      <c r="B173" s="130"/>
      <c r="C173" s="48"/>
      <c r="D173" s="130"/>
      <c r="E173" s="130"/>
      <c r="F173" s="130"/>
      <c r="G173" s="130"/>
      <c r="H173" s="130"/>
      <c r="I173" s="130"/>
    </row>
    <row r="174">
      <c r="A174" s="130"/>
      <c r="B174" s="130"/>
      <c r="C174" s="48"/>
      <c r="D174" s="130"/>
      <c r="E174" s="130"/>
      <c r="F174" s="130"/>
      <c r="G174" s="130"/>
      <c r="H174" s="130"/>
      <c r="I174" s="130"/>
    </row>
    <row r="175">
      <c r="A175" s="130"/>
      <c r="B175" s="130"/>
      <c r="C175" s="48"/>
      <c r="D175" s="130"/>
      <c r="E175" s="130"/>
      <c r="F175" s="130"/>
      <c r="G175" s="130"/>
      <c r="H175" s="130"/>
      <c r="I175" s="130"/>
    </row>
    <row r="176">
      <c r="A176" s="130"/>
      <c r="B176" s="130"/>
      <c r="C176" s="48"/>
      <c r="D176" s="130"/>
      <c r="E176" s="130"/>
      <c r="F176" s="130"/>
      <c r="G176" s="130"/>
      <c r="H176" s="130"/>
      <c r="I176" s="130"/>
    </row>
    <row r="177">
      <c r="A177" s="130"/>
      <c r="B177" s="130"/>
      <c r="C177" s="48"/>
      <c r="D177" s="130"/>
      <c r="E177" s="130"/>
      <c r="F177" s="130"/>
      <c r="G177" s="130"/>
      <c r="H177" s="130"/>
      <c r="I177" s="130"/>
    </row>
    <row r="178">
      <c r="A178" s="130"/>
      <c r="B178" s="130"/>
      <c r="C178" s="48"/>
      <c r="D178" s="130"/>
      <c r="E178" s="130"/>
      <c r="F178" s="130"/>
      <c r="G178" s="130"/>
      <c r="H178" s="130"/>
      <c r="I178" s="130"/>
    </row>
    <row r="179">
      <c r="A179" s="130"/>
      <c r="B179" s="130"/>
      <c r="C179" s="48"/>
      <c r="D179" s="130"/>
      <c r="E179" s="130"/>
      <c r="F179" s="130"/>
      <c r="G179" s="130"/>
      <c r="H179" s="130"/>
      <c r="I179" s="130"/>
    </row>
    <row r="180">
      <c r="A180" s="130"/>
      <c r="B180" s="130"/>
      <c r="C180" s="48"/>
      <c r="D180" s="130"/>
      <c r="E180" s="130"/>
      <c r="F180" s="130"/>
      <c r="G180" s="130"/>
      <c r="H180" s="130"/>
      <c r="I180" s="130"/>
    </row>
    <row r="181">
      <c r="A181" s="130"/>
      <c r="B181" s="130"/>
      <c r="C181" s="48"/>
      <c r="D181" s="130"/>
      <c r="E181" s="130"/>
      <c r="F181" s="130"/>
      <c r="G181" s="130"/>
      <c r="H181" s="130"/>
      <c r="I181" s="130"/>
    </row>
    <row r="182">
      <c r="A182" s="130"/>
      <c r="B182" s="130"/>
      <c r="C182" s="48"/>
      <c r="D182" s="130"/>
      <c r="E182" s="130"/>
      <c r="F182" s="130"/>
      <c r="G182" s="130"/>
      <c r="H182" s="130"/>
      <c r="I182" s="130"/>
    </row>
    <row r="183">
      <c r="A183" s="130"/>
      <c r="B183" s="130"/>
      <c r="C183" s="48"/>
      <c r="D183" s="130"/>
      <c r="E183" s="130"/>
      <c r="F183" s="130"/>
      <c r="G183" s="130"/>
      <c r="H183" s="130"/>
      <c r="I183" s="130"/>
    </row>
    <row r="184">
      <c r="A184" s="130"/>
      <c r="B184" s="130"/>
      <c r="C184" s="48"/>
      <c r="D184" s="130"/>
      <c r="E184" s="130"/>
      <c r="F184" s="130"/>
      <c r="G184" s="130"/>
      <c r="H184" s="130"/>
      <c r="I184" s="130"/>
    </row>
    <row r="185">
      <c r="A185" s="130"/>
      <c r="B185" s="130"/>
      <c r="C185" s="48"/>
      <c r="D185" s="130"/>
      <c r="E185" s="130"/>
      <c r="F185" s="130"/>
      <c r="G185" s="130"/>
      <c r="H185" s="130"/>
      <c r="I185" s="130"/>
    </row>
    <row r="186">
      <c r="A186" s="130"/>
      <c r="B186" s="130"/>
      <c r="C186" s="48"/>
      <c r="D186" s="130"/>
      <c r="E186" s="130"/>
      <c r="F186" s="130"/>
      <c r="G186" s="130"/>
      <c r="H186" s="130"/>
      <c r="I186" s="130"/>
    </row>
    <row r="187">
      <c r="A187" s="130"/>
      <c r="B187" s="130"/>
      <c r="C187" s="48"/>
      <c r="D187" s="130"/>
      <c r="E187" s="130"/>
      <c r="F187" s="130"/>
      <c r="G187" s="130"/>
      <c r="H187" s="130"/>
      <c r="I187" s="130"/>
    </row>
    <row r="188">
      <c r="A188" s="130"/>
      <c r="B188" s="130"/>
      <c r="C188" s="48"/>
      <c r="D188" s="130"/>
      <c r="E188" s="130"/>
      <c r="F188" s="130"/>
      <c r="G188" s="130"/>
      <c r="H188" s="130"/>
      <c r="I188" s="130"/>
    </row>
    <row r="189">
      <c r="A189" s="130"/>
      <c r="B189" s="130"/>
      <c r="C189" s="48"/>
      <c r="D189" s="130"/>
      <c r="E189" s="130"/>
      <c r="F189" s="130"/>
      <c r="G189" s="130"/>
      <c r="H189" s="130"/>
      <c r="I189" s="130"/>
    </row>
    <row r="190">
      <c r="A190" s="130"/>
      <c r="B190" s="130"/>
      <c r="C190" s="48"/>
      <c r="D190" s="130"/>
      <c r="E190" s="130"/>
      <c r="F190" s="130"/>
      <c r="G190" s="130"/>
      <c r="H190" s="130"/>
      <c r="I190" s="130"/>
    </row>
    <row r="191">
      <c r="A191" s="130"/>
      <c r="B191" s="130"/>
      <c r="C191" s="48"/>
      <c r="D191" s="130"/>
      <c r="E191" s="130"/>
      <c r="F191" s="130"/>
      <c r="G191" s="130"/>
      <c r="H191" s="130"/>
      <c r="I191" s="130"/>
    </row>
    <row r="192">
      <c r="A192" s="130"/>
      <c r="B192" s="130"/>
      <c r="C192" s="48"/>
      <c r="D192" s="130"/>
      <c r="E192" s="130"/>
      <c r="F192" s="130"/>
      <c r="G192" s="130"/>
      <c r="H192" s="130"/>
      <c r="I192" s="130"/>
    </row>
    <row r="193">
      <c r="A193" s="130"/>
      <c r="B193" s="130"/>
      <c r="C193" s="48"/>
      <c r="D193" s="130"/>
      <c r="E193" s="130"/>
      <c r="F193" s="130"/>
      <c r="G193" s="130"/>
      <c r="H193" s="130"/>
      <c r="I193" s="130"/>
    </row>
    <row r="194">
      <c r="A194" s="130"/>
      <c r="B194" s="130"/>
      <c r="C194" s="48"/>
      <c r="D194" s="130"/>
      <c r="E194" s="130"/>
      <c r="F194" s="130"/>
      <c r="G194" s="130"/>
      <c r="H194" s="130"/>
      <c r="I194" s="130"/>
    </row>
    <row r="195">
      <c r="A195" s="130"/>
      <c r="B195" s="130"/>
      <c r="C195" s="48"/>
      <c r="D195" s="130"/>
      <c r="E195" s="130"/>
      <c r="F195" s="130"/>
      <c r="G195" s="130"/>
      <c r="H195" s="130"/>
      <c r="I195" s="130"/>
    </row>
    <row r="196">
      <c r="A196" s="130"/>
      <c r="B196" s="130"/>
      <c r="C196" s="48"/>
      <c r="D196" s="130"/>
      <c r="E196" s="130"/>
      <c r="F196" s="130"/>
      <c r="G196" s="130"/>
      <c r="H196" s="130"/>
      <c r="I196" s="130"/>
    </row>
    <row r="197">
      <c r="A197" s="130"/>
      <c r="B197" s="130"/>
      <c r="C197" s="48"/>
      <c r="D197" s="130"/>
      <c r="E197" s="130"/>
      <c r="F197" s="130"/>
      <c r="G197" s="130"/>
      <c r="H197" s="130"/>
      <c r="I197" s="130"/>
    </row>
    <row r="198">
      <c r="A198" s="130"/>
      <c r="B198" s="130"/>
      <c r="C198" s="48"/>
      <c r="D198" s="130"/>
      <c r="E198" s="130"/>
      <c r="F198" s="130"/>
      <c r="G198" s="130"/>
      <c r="H198" s="130"/>
      <c r="I198" s="130"/>
    </row>
    <row r="199">
      <c r="A199" s="130"/>
      <c r="B199" s="130"/>
      <c r="C199" s="48"/>
      <c r="D199" s="130"/>
      <c r="E199" s="130"/>
      <c r="F199" s="130"/>
      <c r="G199" s="130"/>
      <c r="H199" s="130"/>
      <c r="I199" s="130"/>
    </row>
    <row r="200">
      <c r="A200" s="130"/>
      <c r="B200" s="130"/>
      <c r="C200" s="48"/>
      <c r="D200" s="130"/>
      <c r="E200" s="130"/>
      <c r="F200" s="130"/>
      <c r="G200" s="130"/>
      <c r="H200" s="130"/>
      <c r="I200" s="130"/>
    </row>
    <row r="201">
      <c r="A201" s="130"/>
      <c r="B201" s="130"/>
      <c r="C201" s="48"/>
      <c r="D201" s="130"/>
      <c r="E201" s="130"/>
      <c r="F201" s="130"/>
      <c r="G201" s="130"/>
      <c r="H201" s="130"/>
      <c r="I201" s="130"/>
    </row>
    <row r="202">
      <c r="A202" s="130"/>
      <c r="B202" s="130"/>
      <c r="C202" s="48"/>
      <c r="D202" s="130"/>
      <c r="E202" s="130"/>
      <c r="F202" s="130"/>
      <c r="G202" s="130"/>
      <c r="H202" s="130"/>
      <c r="I202" s="130"/>
    </row>
    <row r="203">
      <c r="A203" s="130"/>
      <c r="B203" s="130"/>
      <c r="C203" s="48"/>
      <c r="D203" s="130"/>
      <c r="E203" s="130"/>
      <c r="F203" s="130"/>
      <c r="G203" s="130"/>
      <c r="H203" s="130"/>
      <c r="I203" s="130"/>
    </row>
    <row r="204">
      <c r="A204" s="130"/>
      <c r="B204" s="130"/>
      <c r="C204" s="48"/>
      <c r="D204" s="130"/>
      <c r="E204" s="130"/>
      <c r="F204" s="130"/>
      <c r="G204" s="130"/>
      <c r="H204" s="130"/>
      <c r="I204" s="130"/>
    </row>
    <row r="205">
      <c r="A205" s="130"/>
      <c r="B205" s="130"/>
      <c r="C205" s="48"/>
      <c r="D205" s="130"/>
      <c r="E205" s="130"/>
      <c r="F205" s="130"/>
      <c r="G205" s="130"/>
      <c r="H205" s="130"/>
      <c r="I205" s="130"/>
    </row>
    <row r="206">
      <c r="A206" s="130"/>
      <c r="B206" s="130"/>
      <c r="C206" s="48"/>
      <c r="D206" s="130"/>
      <c r="E206" s="130"/>
      <c r="F206" s="130"/>
      <c r="G206" s="130"/>
      <c r="H206" s="130"/>
      <c r="I206" s="130"/>
    </row>
    <row r="207">
      <c r="A207" s="130"/>
      <c r="B207" s="130"/>
      <c r="C207" s="48"/>
      <c r="D207" s="130"/>
      <c r="E207" s="130"/>
      <c r="F207" s="130"/>
      <c r="G207" s="130"/>
      <c r="H207" s="130"/>
      <c r="I207" s="130"/>
    </row>
    <row r="208">
      <c r="A208" s="130"/>
      <c r="B208" s="130"/>
      <c r="C208" s="48"/>
      <c r="D208" s="130"/>
      <c r="E208" s="130"/>
      <c r="F208" s="130"/>
      <c r="G208" s="130"/>
      <c r="H208" s="130"/>
      <c r="I208" s="130"/>
    </row>
    <row r="209">
      <c r="A209" s="130"/>
      <c r="B209" s="130"/>
      <c r="C209" s="48"/>
      <c r="D209" s="130"/>
      <c r="E209" s="130"/>
      <c r="F209" s="130"/>
      <c r="G209" s="130"/>
      <c r="H209" s="130"/>
      <c r="I209" s="130"/>
    </row>
    <row r="210">
      <c r="A210" s="130"/>
      <c r="B210" s="130"/>
      <c r="C210" s="48"/>
      <c r="D210" s="130"/>
      <c r="E210" s="130"/>
      <c r="F210" s="130"/>
      <c r="G210" s="130"/>
      <c r="H210" s="130"/>
      <c r="I210" s="130"/>
    </row>
    <row r="211">
      <c r="A211" s="130"/>
      <c r="B211" s="130"/>
      <c r="C211" s="48"/>
      <c r="D211" s="130"/>
      <c r="E211" s="130"/>
      <c r="F211" s="130"/>
      <c r="G211" s="130"/>
      <c r="H211" s="130"/>
      <c r="I211" s="130"/>
    </row>
    <row r="212">
      <c r="A212" s="130"/>
      <c r="B212" s="130"/>
      <c r="C212" s="48"/>
      <c r="D212" s="130"/>
      <c r="E212" s="130"/>
      <c r="F212" s="130"/>
      <c r="G212" s="130"/>
      <c r="H212" s="130"/>
      <c r="I212" s="130"/>
    </row>
    <row r="213">
      <c r="A213" s="130"/>
      <c r="B213" s="130"/>
      <c r="C213" s="48"/>
      <c r="D213" s="130"/>
      <c r="E213" s="130"/>
      <c r="F213" s="130"/>
      <c r="G213" s="130"/>
      <c r="H213" s="130"/>
      <c r="I213" s="130"/>
    </row>
    <row r="214">
      <c r="A214" s="130"/>
      <c r="B214" s="130"/>
      <c r="C214" s="48"/>
      <c r="D214" s="130"/>
      <c r="E214" s="130"/>
      <c r="F214" s="130"/>
      <c r="G214" s="130"/>
      <c r="H214" s="130"/>
      <c r="I214" s="130"/>
    </row>
    <row r="215">
      <c r="A215" s="130"/>
      <c r="B215" s="130"/>
      <c r="C215" s="48"/>
      <c r="D215" s="130"/>
      <c r="E215" s="130"/>
      <c r="F215" s="130"/>
      <c r="G215" s="130"/>
      <c r="H215" s="130"/>
      <c r="I215" s="130"/>
    </row>
    <row r="216">
      <c r="A216" s="130"/>
      <c r="B216" s="130"/>
      <c r="C216" s="48"/>
      <c r="D216" s="130"/>
      <c r="E216" s="130"/>
      <c r="F216" s="130"/>
      <c r="G216" s="130"/>
      <c r="H216" s="130"/>
      <c r="I216" s="130"/>
    </row>
    <row r="217">
      <c r="A217" s="130"/>
      <c r="B217" s="130"/>
      <c r="C217" s="48"/>
      <c r="D217" s="130"/>
      <c r="E217" s="130"/>
      <c r="F217" s="130"/>
      <c r="G217" s="130"/>
      <c r="H217" s="130"/>
      <c r="I217" s="130"/>
    </row>
    <row r="218">
      <c r="A218" s="130"/>
      <c r="B218" s="130"/>
      <c r="C218" s="48"/>
      <c r="D218" s="130"/>
      <c r="E218" s="130"/>
      <c r="F218" s="130"/>
      <c r="G218" s="130"/>
      <c r="H218" s="130"/>
      <c r="I218" s="130"/>
    </row>
    <row r="219">
      <c r="A219" s="130"/>
      <c r="B219" s="130"/>
      <c r="C219" s="48"/>
      <c r="D219" s="130"/>
      <c r="E219" s="130"/>
      <c r="F219" s="130"/>
      <c r="G219" s="130"/>
      <c r="H219" s="130"/>
      <c r="I219" s="130"/>
    </row>
    <row r="220">
      <c r="A220" s="130"/>
      <c r="B220" s="130"/>
      <c r="C220" s="48"/>
      <c r="D220" s="130"/>
      <c r="E220" s="130"/>
      <c r="F220" s="130"/>
      <c r="G220" s="130"/>
      <c r="H220" s="130"/>
      <c r="I220" s="130"/>
    </row>
    <row r="221">
      <c r="A221" s="130"/>
      <c r="B221" s="130"/>
      <c r="C221" s="48"/>
      <c r="D221" s="130"/>
      <c r="E221" s="130"/>
      <c r="F221" s="130"/>
      <c r="G221" s="130"/>
      <c r="H221" s="130"/>
      <c r="I221" s="130"/>
    </row>
    <row r="222">
      <c r="A222" s="130"/>
      <c r="B222" s="130"/>
      <c r="C222" s="48"/>
      <c r="D222" s="130"/>
      <c r="E222" s="130"/>
      <c r="F222" s="130"/>
      <c r="G222" s="130"/>
      <c r="H222" s="130"/>
      <c r="I222" s="130"/>
    </row>
    <row r="223">
      <c r="A223" s="130"/>
      <c r="B223" s="130"/>
      <c r="C223" s="48"/>
      <c r="D223" s="130"/>
      <c r="E223" s="130"/>
      <c r="F223" s="130"/>
      <c r="G223" s="130"/>
      <c r="H223" s="130"/>
      <c r="I223" s="130"/>
    </row>
    <row r="224">
      <c r="A224" s="130"/>
      <c r="B224" s="130"/>
      <c r="C224" s="48"/>
      <c r="D224" s="130"/>
      <c r="E224" s="130"/>
      <c r="F224" s="130"/>
      <c r="G224" s="130"/>
      <c r="H224" s="130"/>
      <c r="I224" s="130"/>
    </row>
    <row r="225">
      <c r="A225" s="130"/>
      <c r="B225" s="130"/>
      <c r="C225" s="48"/>
      <c r="D225" s="130"/>
      <c r="E225" s="130"/>
      <c r="F225" s="130"/>
      <c r="G225" s="130"/>
      <c r="H225" s="130"/>
      <c r="I225" s="130"/>
    </row>
    <row r="226">
      <c r="A226" s="130"/>
      <c r="B226" s="130"/>
      <c r="C226" s="48"/>
      <c r="D226" s="130"/>
      <c r="E226" s="130"/>
      <c r="F226" s="130"/>
      <c r="G226" s="130"/>
      <c r="H226" s="130"/>
      <c r="I226" s="130"/>
    </row>
    <row r="227">
      <c r="A227" s="130"/>
      <c r="B227" s="130"/>
      <c r="C227" s="48"/>
      <c r="D227" s="130"/>
      <c r="E227" s="130"/>
      <c r="F227" s="130"/>
      <c r="G227" s="130"/>
      <c r="H227" s="130"/>
      <c r="I227" s="130"/>
    </row>
    <row r="228">
      <c r="A228" s="130"/>
      <c r="B228" s="130"/>
      <c r="C228" s="48"/>
      <c r="D228" s="130"/>
      <c r="E228" s="130"/>
      <c r="F228" s="130"/>
      <c r="G228" s="130"/>
      <c r="H228" s="130"/>
      <c r="I228" s="130"/>
    </row>
    <row r="229">
      <c r="A229" s="130"/>
      <c r="B229" s="130"/>
      <c r="C229" s="48"/>
      <c r="D229" s="130"/>
      <c r="E229" s="130"/>
      <c r="F229" s="130"/>
      <c r="G229" s="130"/>
      <c r="H229" s="130"/>
      <c r="I229" s="130"/>
    </row>
    <row r="230">
      <c r="A230" s="130"/>
      <c r="B230" s="130"/>
      <c r="C230" s="48"/>
      <c r="D230" s="130"/>
      <c r="E230" s="130"/>
      <c r="F230" s="130"/>
      <c r="G230" s="130"/>
      <c r="H230" s="130"/>
      <c r="I230" s="130"/>
    </row>
    <row r="231">
      <c r="A231" s="130"/>
      <c r="B231" s="130"/>
      <c r="C231" s="48"/>
      <c r="D231" s="130"/>
      <c r="E231" s="130"/>
      <c r="F231" s="130"/>
      <c r="G231" s="130"/>
      <c r="H231" s="130"/>
      <c r="I231" s="130"/>
    </row>
    <row r="232">
      <c r="A232" s="130"/>
      <c r="B232" s="130"/>
      <c r="C232" s="48"/>
      <c r="D232" s="130"/>
      <c r="E232" s="130"/>
      <c r="F232" s="130"/>
      <c r="G232" s="130"/>
      <c r="H232" s="130"/>
      <c r="I232" s="130"/>
    </row>
    <row r="233">
      <c r="A233" s="130"/>
      <c r="B233" s="130"/>
      <c r="C233" s="48"/>
      <c r="D233" s="130"/>
      <c r="E233" s="130"/>
      <c r="F233" s="130"/>
      <c r="G233" s="130"/>
      <c r="H233" s="130"/>
      <c r="I233" s="130"/>
    </row>
    <row r="234">
      <c r="A234" s="130"/>
      <c r="B234" s="130"/>
      <c r="C234" s="48"/>
      <c r="D234" s="130"/>
      <c r="E234" s="130"/>
      <c r="F234" s="130"/>
      <c r="G234" s="130"/>
      <c r="H234" s="130"/>
      <c r="I234" s="130"/>
    </row>
    <row r="235">
      <c r="A235" s="130"/>
      <c r="B235" s="130"/>
      <c r="C235" s="48"/>
      <c r="D235" s="130"/>
      <c r="E235" s="130"/>
      <c r="F235" s="130"/>
      <c r="G235" s="130"/>
      <c r="H235" s="130"/>
      <c r="I235" s="130"/>
    </row>
    <row r="236">
      <c r="A236" s="130"/>
      <c r="B236" s="130"/>
      <c r="C236" s="48"/>
      <c r="D236" s="130"/>
      <c r="E236" s="130"/>
      <c r="F236" s="130"/>
      <c r="G236" s="130"/>
      <c r="H236" s="130"/>
      <c r="I236" s="130"/>
    </row>
    <row r="237">
      <c r="A237" s="130"/>
      <c r="B237" s="130"/>
      <c r="C237" s="48"/>
      <c r="D237" s="130"/>
      <c r="E237" s="130"/>
      <c r="F237" s="130"/>
      <c r="G237" s="130"/>
      <c r="H237" s="130"/>
      <c r="I237" s="130"/>
    </row>
    <row r="238">
      <c r="A238" s="130"/>
      <c r="B238" s="130"/>
      <c r="C238" s="48"/>
      <c r="D238" s="130"/>
      <c r="E238" s="130"/>
      <c r="F238" s="130"/>
      <c r="G238" s="130"/>
      <c r="H238" s="130"/>
      <c r="I238" s="130"/>
    </row>
    <row r="239">
      <c r="A239" s="130"/>
      <c r="B239" s="130"/>
      <c r="C239" s="48"/>
      <c r="D239" s="130"/>
      <c r="E239" s="130"/>
      <c r="F239" s="130"/>
      <c r="G239" s="130"/>
      <c r="H239" s="130"/>
      <c r="I239" s="130"/>
    </row>
    <row r="240">
      <c r="A240" s="130"/>
      <c r="B240" s="130"/>
      <c r="C240" s="48"/>
      <c r="D240" s="130"/>
      <c r="E240" s="130"/>
      <c r="F240" s="130"/>
      <c r="G240" s="130"/>
      <c r="H240" s="130"/>
      <c r="I240" s="130"/>
    </row>
    <row r="241">
      <c r="A241" s="130"/>
      <c r="B241" s="130"/>
      <c r="C241" s="48"/>
      <c r="D241" s="130"/>
      <c r="E241" s="130"/>
      <c r="F241" s="130"/>
      <c r="G241" s="130"/>
      <c r="H241" s="130"/>
      <c r="I241" s="130"/>
    </row>
    <row r="242">
      <c r="A242" s="130"/>
      <c r="B242" s="130"/>
      <c r="C242" s="48"/>
      <c r="D242" s="130"/>
      <c r="E242" s="130"/>
      <c r="F242" s="130"/>
      <c r="G242" s="130"/>
      <c r="H242" s="130"/>
      <c r="I242" s="130"/>
    </row>
    <row r="243">
      <c r="A243" s="130"/>
      <c r="B243" s="130"/>
      <c r="C243" s="48"/>
      <c r="D243" s="130"/>
      <c r="E243" s="130"/>
      <c r="F243" s="130"/>
      <c r="G243" s="130"/>
      <c r="H243" s="130"/>
      <c r="I243" s="130"/>
    </row>
    <row r="244">
      <c r="A244" s="130"/>
      <c r="B244" s="130"/>
      <c r="C244" s="48"/>
      <c r="D244" s="130"/>
      <c r="E244" s="130"/>
      <c r="F244" s="130"/>
      <c r="G244" s="130"/>
      <c r="H244" s="130"/>
      <c r="I244" s="130"/>
    </row>
    <row r="245">
      <c r="A245" s="130"/>
      <c r="B245" s="130"/>
      <c r="C245" s="48"/>
      <c r="D245" s="130"/>
      <c r="E245" s="130"/>
      <c r="F245" s="130"/>
      <c r="G245" s="130"/>
      <c r="H245" s="130"/>
      <c r="I245" s="130"/>
    </row>
    <row r="246">
      <c r="A246" s="130"/>
      <c r="B246" s="130"/>
      <c r="C246" s="48"/>
      <c r="D246" s="130"/>
      <c r="E246" s="130"/>
      <c r="F246" s="130"/>
      <c r="G246" s="130"/>
      <c r="H246" s="130"/>
      <c r="I246" s="130"/>
    </row>
    <row r="247">
      <c r="A247" s="130"/>
      <c r="B247" s="130"/>
      <c r="C247" s="48"/>
      <c r="D247" s="130"/>
      <c r="E247" s="130"/>
      <c r="F247" s="130"/>
      <c r="G247" s="130"/>
      <c r="H247" s="130"/>
      <c r="I247" s="130"/>
    </row>
    <row r="248">
      <c r="A248" s="130"/>
      <c r="B248" s="130"/>
      <c r="C248" s="48"/>
      <c r="D248" s="130"/>
      <c r="E248" s="130"/>
      <c r="F248" s="130"/>
      <c r="G248" s="130"/>
      <c r="H248" s="130"/>
      <c r="I248" s="130"/>
    </row>
    <row r="249">
      <c r="A249" s="130"/>
      <c r="B249" s="130"/>
      <c r="C249" s="48"/>
      <c r="D249" s="130"/>
      <c r="E249" s="130"/>
      <c r="F249" s="130"/>
      <c r="G249" s="130"/>
      <c r="H249" s="130"/>
      <c r="I249" s="130"/>
    </row>
    <row r="250">
      <c r="A250" s="130"/>
      <c r="B250" s="130"/>
      <c r="C250" s="48"/>
      <c r="D250" s="130"/>
      <c r="E250" s="130"/>
      <c r="F250" s="130"/>
      <c r="G250" s="130"/>
      <c r="H250" s="130"/>
      <c r="I250" s="130"/>
    </row>
    <row r="251">
      <c r="A251" s="130"/>
      <c r="B251" s="130"/>
      <c r="C251" s="48"/>
      <c r="D251" s="130"/>
      <c r="E251" s="130"/>
      <c r="F251" s="130"/>
      <c r="G251" s="130"/>
      <c r="H251" s="130"/>
      <c r="I251" s="130"/>
    </row>
    <row r="252">
      <c r="A252" s="130"/>
      <c r="B252" s="130"/>
      <c r="C252" s="48"/>
      <c r="D252" s="130"/>
      <c r="E252" s="130"/>
      <c r="F252" s="130"/>
      <c r="G252" s="130"/>
      <c r="H252" s="130"/>
      <c r="I252" s="130"/>
    </row>
    <row r="253">
      <c r="A253" s="130"/>
      <c r="B253" s="130"/>
      <c r="C253" s="48"/>
      <c r="D253" s="130"/>
      <c r="E253" s="130"/>
      <c r="F253" s="130"/>
      <c r="G253" s="130"/>
      <c r="H253" s="130"/>
      <c r="I253" s="130"/>
    </row>
    <row r="254">
      <c r="A254" s="130"/>
      <c r="B254" s="130"/>
      <c r="C254" s="48"/>
      <c r="D254" s="130"/>
      <c r="E254" s="130"/>
      <c r="F254" s="130"/>
      <c r="G254" s="130"/>
      <c r="H254" s="130"/>
      <c r="I254" s="130"/>
    </row>
    <row r="255">
      <c r="A255" s="130"/>
      <c r="B255" s="130"/>
      <c r="C255" s="48"/>
      <c r="D255" s="130"/>
      <c r="E255" s="130"/>
      <c r="F255" s="130"/>
      <c r="G255" s="130"/>
      <c r="H255" s="130"/>
      <c r="I255" s="130"/>
    </row>
    <row r="256">
      <c r="A256" s="130"/>
      <c r="B256" s="130"/>
      <c r="C256" s="48"/>
      <c r="D256" s="130"/>
      <c r="E256" s="130"/>
      <c r="F256" s="130"/>
      <c r="G256" s="130"/>
      <c r="H256" s="130"/>
      <c r="I256" s="130"/>
    </row>
    <row r="257">
      <c r="A257" s="130"/>
      <c r="B257" s="130"/>
      <c r="C257" s="48"/>
      <c r="D257" s="130"/>
      <c r="E257" s="130"/>
      <c r="F257" s="130"/>
      <c r="G257" s="130"/>
      <c r="H257" s="130"/>
      <c r="I257" s="130"/>
    </row>
    <row r="258">
      <c r="A258" s="130"/>
      <c r="B258" s="130"/>
      <c r="C258" s="48"/>
      <c r="D258" s="130"/>
      <c r="E258" s="130"/>
      <c r="F258" s="130"/>
      <c r="G258" s="130"/>
      <c r="H258" s="130"/>
      <c r="I258" s="130"/>
    </row>
    <row r="259">
      <c r="A259" s="130"/>
      <c r="B259" s="130"/>
      <c r="C259" s="48"/>
      <c r="D259" s="130"/>
      <c r="E259" s="130"/>
      <c r="F259" s="130"/>
      <c r="G259" s="130"/>
      <c r="H259" s="130"/>
      <c r="I259" s="130"/>
    </row>
    <row r="260">
      <c r="A260" s="130"/>
      <c r="B260" s="130"/>
      <c r="C260" s="48"/>
      <c r="D260" s="130"/>
      <c r="E260" s="130"/>
      <c r="F260" s="130"/>
      <c r="G260" s="130"/>
      <c r="H260" s="130"/>
      <c r="I260" s="130"/>
    </row>
    <row r="261">
      <c r="A261" s="130"/>
      <c r="B261" s="130"/>
      <c r="C261" s="48"/>
      <c r="D261" s="130"/>
      <c r="E261" s="130"/>
      <c r="F261" s="130"/>
      <c r="G261" s="130"/>
      <c r="H261" s="130"/>
      <c r="I261" s="130"/>
    </row>
    <row r="262">
      <c r="A262" s="130"/>
      <c r="B262" s="130"/>
      <c r="C262" s="48"/>
      <c r="D262" s="130"/>
      <c r="E262" s="130"/>
      <c r="F262" s="130"/>
      <c r="G262" s="130"/>
      <c r="H262" s="130"/>
      <c r="I262" s="130"/>
    </row>
    <row r="263">
      <c r="A263" s="130"/>
      <c r="B263" s="130"/>
      <c r="C263" s="48"/>
      <c r="D263" s="130"/>
      <c r="E263" s="130"/>
      <c r="F263" s="130"/>
      <c r="G263" s="130"/>
      <c r="H263" s="130"/>
      <c r="I263" s="130"/>
    </row>
    <row r="264">
      <c r="A264" s="130"/>
      <c r="B264" s="130"/>
      <c r="C264" s="48"/>
      <c r="D264" s="130"/>
      <c r="E264" s="130"/>
      <c r="F264" s="130"/>
      <c r="G264" s="130"/>
      <c r="H264" s="130"/>
      <c r="I264" s="130"/>
    </row>
    <row r="265">
      <c r="A265" s="130"/>
      <c r="B265" s="130"/>
      <c r="C265" s="48"/>
      <c r="D265" s="130"/>
      <c r="E265" s="130"/>
      <c r="F265" s="130"/>
      <c r="G265" s="130"/>
      <c r="H265" s="130"/>
      <c r="I265" s="130"/>
    </row>
    <row r="266">
      <c r="A266" s="130"/>
      <c r="B266" s="130"/>
      <c r="C266" s="48"/>
      <c r="D266" s="130"/>
      <c r="E266" s="130"/>
      <c r="F266" s="130"/>
      <c r="G266" s="130"/>
      <c r="H266" s="130"/>
      <c r="I266" s="130"/>
    </row>
    <row r="267">
      <c r="A267" s="130"/>
      <c r="B267" s="130"/>
      <c r="C267" s="48"/>
      <c r="D267" s="130"/>
      <c r="E267" s="130"/>
      <c r="F267" s="130"/>
      <c r="G267" s="130"/>
      <c r="H267" s="130"/>
      <c r="I267" s="130"/>
    </row>
    <row r="268">
      <c r="A268" s="130"/>
      <c r="B268" s="130"/>
      <c r="C268" s="48"/>
      <c r="D268" s="130"/>
      <c r="E268" s="130"/>
      <c r="F268" s="130"/>
      <c r="G268" s="130"/>
      <c r="H268" s="130"/>
      <c r="I268" s="130"/>
    </row>
    <row r="269">
      <c r="A269" s="130"/>
      <c r="B269" s="130"/>
      <c r="C269" s="48"/>
      <c r="D269" s="130"/>
      <c r="E269" s="130"/>
      <c r="F269" s="130"/>
      <c r="G269" s="130"/>
      <c r="H269" s="130"/>
      <c r="I269" s="130"/>
    </row>
    <row r="270">
      <c r="A270" s="130"/>
      <c r="B270" s="130"/>
      <c r="C270" s="48"/>
      <c r="D270" s="130"/>
      <c r="E270" s="130"/>
      <c r="F270" s="130"/>
      <c r="G270" s="130"/>
      <c r="H270" s="130"/>
      <c r="I270" s="130"/>
    </row>
    <row r="271">
      <c r="A271" s="130"/>
      <c r="B271" s="130"/>
      <c r="C271" s="48"/>
      <c r="D271" s="130"/>
      <c r="E271" s="130"/>
      <c r="F271" s="130"/>
      <c r="G271" s="130"/>
      <c r="H271" s="130"/>
      <c r="I271" s="130"/>
    </row>
    <row r="272">
      <c r="A272" s="130"/>
      <c r="B272" s="130"/>
      <c r="C272" s="48"/>
      <c r="D272" s="130"/>
      <c r="E272" s="130"/>
      <c r="F272" s="130"/>
      <c r="G272" s="130"/>
      <c r="H272" s="130"/>
      <c r="I272" s="130"/>
    </row>
    <row r="273">
      <c r="A273" s="130"/>
      <c r="B273" s="130"/>
      <c r="C273" s="48"/>
      <c r="D273" s="130"/>
      <c r="E273" s="130"/>
      <c r="F273" s="130"/>
      <c r="G273" s="130"/>
      <c r="H273" s="130"/>
      <c r="I273" s="130"/>
    </row>
    <row r="274">
      <c r="A274" s="130"/>
      <c r="B274" s="130"/>
      <c r="C274" s="48"/>
      <c r="D274" s="130"/>
      <c r="E274" s="130"/>
      <c r="F274" s="130"/>
      <c r="G274" s="130"/>
      <c r="H274" s="130"/>
      <c r="I274" s="130"/>
    </row>
    <row r="275">
      <c r="A275" s="130"/>
      <c r="B275" s="130"/>
      <c r="C275" s="48"/>
      <c r="D275" s="130"/>
      <c r="E275" s="130"/>
      <c r="F275" s="130"/>
      <c r="G275" s="130"/>
      <c r="H275" s="130"/>
      <c r="I275" s="130"/>
    </row>
    <row r="276">
      <c r="A276" s="130"/>
      <c r="B276" s="130"/>
      <c r="C276" s="48"/>
      <c r="D276" s="130"/>
      <c r="E276" s="130"/>
      <c r="F276" s="130"/>
      <c r="G276" s="130"/>
      <c r="H276" s="130"/>
      <c r="I276" s="130"/>
    </row>
    <row r="277">
      <c r="A277" s="130"/>
      <c r="B277" s="130"/>
      <c r="C277" s="48"/>
      <c r="D277" s="130"/>
      <c r="E277" s="130"/>
      <c r="F277" s="130"/>
      <c r="G277" s="130"/>
      <c r="H277" s="130"/>
      <c r="I277" s="130"/>
    </row>
    <row r="278">
      <c r="A278" s="130"/>
      <c r="B278" s="130"/>
      <c r="C278" s="48"/>
      <c r="D278" s="130"/>
      <c r="E278" s="130"/>
      <c r="F278" s="130"/>
      <c r="G278" s="130"/>
      <c r="H278" s="130"/>
      <c r="I278" s="130"/>
    </row>
    <row r="279">
      <c r="A279" s="130"/>
      <c r="B279" s="130"/>
      <c r="C279" s="48"/>
      <c r="D279" s="130"/>
      <c r="E279" s="130"/>
      <c r="F279" s="130"/>
      <c r="G279" s="130"/>
      <c r="H279" s="130"/>
      <c r="I279" s="130"/>
    </row>
    <row r="280">
      <c r="A280" s="130"/>
      <c r="B280" s="130"/>
      <c r="C280" s="48"/>
      <c r="D280" s="130"/>
      <c r="E280" s="130"/>
      <c r="F280" s="130"/>
      <c r="G280" s="130"/>
      <c r="H280" s="130"/>
      <c r="I280" s="130"/>
    </row>
    <row r="281">
      <c r="A281" s="130"/>
      <c r="B281" s="130"/>
      <c r="C281" s="48"/>
      <c r="D281" s="130"/>
      <c r="E281" s="130"/>
      <c r="F281" s="130"/>
      <c r="G281" s="130"/>
      <c r="H281" s="130"/>
      <c r="I281" s="130"/>
    </row>
    <row r="282">
      <c r="A282" s="130"/>
      <c r="B282" s="130"/>
      <c r="C282" s="48"/>
      <c r="D282" s="130"/>
      <c r="E282" s="130"/>
      <c r="F282" s="130"/>
      <c r="G282" s="130"/>
      <c r="H282" s="130"/>
      <c r="I282" s="130"/>
    </row>
    <row r="283">
      <c r="A283" s="130"/>
      <c r="B283" s="130"/>
      <c r="C283" s="48"/>
      <c r="D283" s="130"/>
      <c r="E283" s="130"/>
      <c r="F283" s="130"/>
      <c r="G283" s="130"/>
      <c r="H283" s="130"/>
      <c r="I283" s="130"/>
    </row>
    <row r="284">
      <c r="A284" s="130"/>
      <c r="B284" s="130"/>
      <c r="C284" s="48"/>
      <c r="D284" s="130"/>
      <c r="E284" s="130"/>
      <c r="F284" s="130"/>
      <c r="G284" s="130"/>
      <c r="H284" s="130"/>
      <c r="I284" s="130"/>
    </row>
    <row r="285">
      <c r="A285" s="130"/>
      <c r="B285" s="130"/>
      <c r="C285" s="48"/>
      <c r="D285" s="130"/>
      <c r="E285" s="130"/>
      <c r="F285" s="130"/>
      <c r="G285" s="130"/>
      <c r="H285" s="130"/>
      <c r="I285" s="130"/>
    </row>
    <row r="286">
      <c r="A286" s="130"/>
      <c r="B286" s="130"/>
      <c r="C286" s="48"/>
      <c r="D286" s="130"/>
      <c r="E286" s="130"/>
      <c r="F286" s="130"/>
      <c r="G286" s="130"/>
      <c r="H286" s="130"/>
      <c r="I286" s="130"/>
    </row>
    <row r="287">
      <c r="A287" s="130"/>
      <c r="B287" s="130"/>
      <c r="C287" s="48"/>
      <c r="D287" s="130"/>
      <c r="E287" s="130"/>
      <c r="F287" s="130"/>
      <c r="G287" s="130"/>
      <c r="H287" s="130"/>
      <c r="I287" s="130"/>
    </row>
    <row r="288">
      <c r="A288" s="130"/>
      <c r="B288" s="130"/>
      <c r="C288" s="48"/>
      <c r="D288" s="130"/>
      <c r="E288" s="130"/>
      <c r="F288" s="130"/>
      <c r="G288" s="130"/>
      <c r="H288" s="130"/>
      <c r="I288" s="130"/>
    </row>
    <row r="289">
      <c r="A289" s="130"/>
      <c r="B289" s="130"/>
      <c r="C289" s="48"/>
      <c r="D289" s="130"/>
      <c r="E289" s="130"/>
      <c r="F289" s="130"/>
      <c r="G289" s="130"/>
      <c r="H289" s="130"/>
      <c r="I289" s="130"/>
    </row>
    <row r="290">
      <c r="A290" s="130"/>
      <c r="B290" s="130"/>
      <c r="C290" s="48"/>
      <c r="D290" s="130"/>
      <c r="E290" s="130"/>
      <c r="F290" s="130"/>
      <c r="G290" s="130"/>
      <c r="H290" s="130"/>
      <c r="I290" s="130"/>
    </row>
    <row r="291">
      <c r="A291" s="130"/>
      <c r="B291" s="130"/>
      <c r="C291" s="48"/>
      <c r="D291" s="130"/>
      <c r="E291" s="130"/>
      <c r="F291" s="130"/>
      <c r="G291" s="130"/>
      <c r="H291" s="130"/>
      <c r="I291" s="130"/>
    </row>
    <row r="292">
      <c r="A292" s="130"/>
      <c r="B292" s="130"/>
      <c r="C292" s="48"/>
      <c r="D292" s="130"/>
      <c r="E292" s="130"/>
      <c r="F292" s="130"/>
      <c r="G292" s="130"/>
      <c r="H292" s="130"/>
      <c r="I292" s="130"/>
    </row>
    <row r="293">
      <c r="A293" s="130"/>
      <c r="B293" s="130"/>
      <c r="C293" s="48"/>
      <c r="D293" s="130"/>
      <c r="E293" s="130"/>
      <c r="F293" s="130"/>
      <c r="G293" s="130"/>
      <c r="H293" s="130"/>
      <c r="I293" s="130"/>
    </row>
    <row r="294">
      <c r="A294" s="130"/>
      <c r="B294" s="130"/>
      <c r="C294" s="48"/>
      <c r="D294" s="130"/>
      <c r="E294" s="130"/>
      <c r="F294" s="130"/>
      <c r="G294" s="130"/>
      <c r="H294" s="130"/>
      <c r="I294" s="130"/>
    </row>
    <row r="295">
      <c r="A295" s="130"/>
      <c r="B295" s="130"/>
      <c r="C295" s="48"/>
      <c r="D295" s="130"/>
      <c r="E295" s="130"/>
      <c r="F295" s="130"/>
      <c r="G295" s="130"/>
      <c r="H295" s="130"/>
      <c r="I295" s="130"/>
    </row>
    <row r="296">
      <c r="A296" s="130"/>
      <c r="B296" s="130"/>
      <c r="C296" s="48"/>
      <c r="D296" s="130"/>
      <c r="E296" s="130"/>
      <c r="F296" s="130"/>
      <c r="G296" s="130"/>
      <c r="H296" s="130"/>
      <c r="I296" s="130"/>
    </row>
    <row r="297">
      <c r="A297" s="130"/>
      <c r="B297" s="130"/>
      <c r="C297" s="48"/>
      <c r="D297" s="130"/>
      <c r="E297" s="130"/>
      <c r="F297" s="130"/>
      <c r="G297" s="130"/>
      <c r="H297" s="130"/>
      <c r="I297" s="130"/>
    </row>
    <row r="298">
      <c r="A298" s="130"/>
      <c r="B298" s="130"/>
      <c r="C298" s="48"/>
      <c r="D298" s="130"/>
      <c r="E298" s="130"/>
      <c r="F298" s="130"/>
      <c r="G298" s="130"/>
      <c r="H298" s="130"/>
      <c r="I298" s="130"/>
    </row>
    <row r="299">
      <c r="A299" s="130"/>
      <c r="B299" s="130"/>
      <c r="C299" s="48"/>
      <c r="D299" s="130"/>
      <c r="E299" s="130"/>
      <c r="F299" s="130"/>
      <c r="G299" s="130"/>
      <c r="H299" s="130"/>
      <c r="I299" s="130"/>
    </row>
    <row r="300">
      <c r="A300" s="130"/>
      <c r="B300" s="130"/>
      <c r="C300" s="48"/>
      <c r="D300" s="130"/>
      <c r="E300" s="130"/>
      <c r="F300" s="130"/>
      <c r="G300" s="130"/>
      <c r="H300" s="130"/>
      <c r="I300" s="130"/>
    </row>
    <row r="301">
      <c r="A301" s="130"/>
      <c r="B301" s="130"/>
      <c r="C301" s="48"/>
      <c r="D301" s="130"/>
      <c r="E301" s="130"/>
      <c r="F301" s="130"/>
      <c r="G301" s="130"/>
      <c r="H301" s="130"/>
      <c r="I301" s="130"/>
    </row>
    <row r="302">
      <c r="A302" s="130"/>
      <c r="B302" s="130"/>
      <c r="C302" s="48"/>
      <c r="D302" s="130"/>
      <c r="E302" s="130"/>
      <c r="F302" s="130"/>
      <c r="G302" s="130"/>
      <c r="H302" s="130"/>
      <c r="I302" s="130"/>
    </row>
    <row r="303">
      <c r="A303" s="130"/>
      <c r="B303" s="130"/>
      <c r="C303" s="48"/>
      <c r="D303" s="130"/>
      <c r="E303" s="130"/>
      <c r="F303" s="130"/>
      <c r="G303" s="130"/>
      <c r="H303" s="130"/>
      <c r="I303" s="130"/>
    </row>
    <row r="304">
      <c r="A304" s="130"/>
      <c r="B304" s="130"/>
      <c r="C304" s="48"/>
      <c r="D304" s="130"/>
      <c r="E304" s="130"/>
      <c r="F304" s="130"/>
      <c r="G304" s="130"/>
      <c r="H304" s="130"/>
      <c r="I304" s="130"/>
    </row>
    <row r="305">
      <c r="A305" s="130"/>
      <c r="B305" s="130"/>
      <c r="C305" s="48"/>
      <c r="D305" s="130"/>
      <c r="E305" s="130"/>
      <c r="F305" s="130"/>
      <c r="G305" s="130"/>
      <c r="H305" s="130"/>
      <c r="I305" s="130"/>
    </row>
    <row r="306">
      <c r="A306" s="130"/>
      <c r="B306" s="130"/>
      <c r="C306" s="48"/>
      <c r="D306" s="130"/>
      <c r="E306" s="130"/>
      <c r="F306" s="130"/>
      <c r="G306" s="130"/>
      <c r="H306" s="130"/>
      <c r="I306" s="130"/>
    </row>
    <row r="307">
      <c r="A307" s="130"/>
      <c r="B307" s="130"/>
      <c r="C307" s="48"/>
      <c r="D307" s="130"/>
      <c r="E307" s="130"/>
      <c r="F307" s="130"/>
      <c r="G307" s="130"/>
      <c r="H307" s="130"/>
      <c r="I307" s="130"/>
    </row>
    <row r="308">
      <c r="A308" s="130"/>
      <c r="B308" s="130"/>
      <c r="C308" s="48"/>
      <c r="D308" s="130"/>
      <c r="E308" s="130"/>
      <c r="F308" s="130"/>
      <c r="G308" s="130"/>
      <c r="H308" s="130"/>
      <c r="I308" s="130"/>
    </row>
    <row r="309">
      <c r="A309" s="130"/>
      <c r="B309" s="130"/>
      <c r="C309" s="48"/>
      <c r="D309" s="130"/>
      <c r="E309" s="130"/>
      <c r="F309" s="130"/>
      <c r="G309" s="130"/>
      <c r="H309" s="130"/>
      <c r="I309" s="130"/>
    </row>
    <row r="310">
      <c r="A310" s="130"/>
      <c r="B310" s="130"/>
      <c r="C310" s="48"/>
      <c r="D310" s="130"/>
      <c r="E310" s="130"/>
      <c r="F310" s="130"/>
      <c r="G310" s="130"/>
      <c r="H310" s="130"/>
      <c r="I310" s="130"/>
    </row>
    <row r="311">
      <c r="A311" s="130"/>
      <c r="B311" s="130"/>
      <c r="C311" s="48"/>
      <c r="D311" s="130"/>
      <c r="E311" s="130"/>
      <c r="F311" s="130"/>
      <c r="G311" s="130"/>
      <c r="H311" s="130"/>
      <c r="I311" s="130"/>
    </row>
    <row r="312">
      <c r="A312" s="130"/>
      <c r="B312" s="130"/>
      <c r="C312" s="48"/>
      <c r="D312" s="130"/>
      <c r="E312" s="130"/>
      <c r="F312" s="130"/>
      <c r="G312" s="130"/>
      <c r="H312" s="130"/>
      <c r="I312" s="130"/>
    </row>
    <row r="313">
      <c r="A313" s="130"/>
      <c r="B313" s="130"/>
      <c r="C313" s="48"/>
      <c r="D313" s="130"/>
      <c r="E313" s="130"/>
      <c r="F313" s="130"/>
      <c r="G313" s="130"/>
      <c r="H313" s="130"/>
      <c r="I313" s="130"/>
    </row>
    <row r="314">
      <c r="A314" s="130"/>
      <c r="B314" s="130"/>
      <c r="C314" s="48"/>
      <c r="D314" s="130"/>
      <c r="E314" s="130"/>
      <c r="F314" s="130"/>
      <c r="G314" s="130"/>
      <c r="H314" s="130"/>
      <c r="I314" s="130"/>
    </row>
    <row r="315">
      <c r="A315" s="130"/>
      <c r="B315" s="130"/>
      <c r="C315" s="48"/>
      <c r="D315" s="130"/>
      <c r="E315" s="130"/>
      <c r="F315" s="130"/>
      <c r="G315" s="130"/>
      <c r="H315" s="130"/>
      <c r="I315" s="130"/>
    </row>
    <row r="316">
      <c r="A316" s="130"/>
      <c r="B316" s="130"/>
      <c r="C316" s="48"/>
      <c r="D316" s="130"/>
      <c r="E316" s="130"/>
      <c r="F316" s="130"/>
      <c r="G316" s="130"/>
      <c r="H316" s="130"/>
      <c r="I316" s="130"/>
    </row>
    <row r="317">
      <c r="A317" s="130"/>
      <c r="B317" s="130"/>
      <c r="C317" s="48"/>
      <c r="D317" s="130"/>
      <c r="E317" s="130"/>
      <c r="F317" s="130"/>
      <c r="G317" s="130"/>
      <c r="H317" s="130"/>
      <c r="I317" s="130"/>
    </row>
    <row r="318">
      <c r="A318" s="130"/>
      <c r="B318" s="130"/>
      <c r="C318" s="48"/>
      <c r="D318" s="130"/>
      <c r="E318" s="130"/>
      <c r="F318" s="130"/>
      <c r="G318" s="130"/>
      <c r="H318" s="130"/>
      <c r="I318" s="130"/>
    </row>
    <row r="319">
      <c r="A319" s="130"/>
      <c r="B319" s="130"/>
      <c r="C319" s="48"/>
      <c r="D319" s="130"/>
      <c r="E319" s="130"/>
      <c r="F319" s="130"/>
      <c r="G319" s="130"/>
      <c r="H319" s="130"/>
      <c r="I319" s="130"/>
    </row>
    <row r="320">
      <c r="A320" s="130"/>
      <c r="B320" s="130"/>
      <c r="C320" s="48"/>
      <c r="D320" s="130"/>
      <c r="E320" s="130"/>
      <c r="F320" s="130"/>
      <c r="G320" s="130"/>
      <c r="H320" s="130"/>
      <c r="I320" s="130"/>
    </row>
    <row r="321">
      <c r="A321" s="130"/>
      <c r="B321" s="130"/>
      <c r="C321" s="48"/>
      <c r="D321" s="130"/>
      <c r="E321" s="130"/>
      <c r="F321" s="130"/>
      <c r="G321" s="130"/>
      <c r="H321" s="130"/>
      <c r="I321" s="130"/>
    </row>
    <row r="322">
      <c r="A322" s="130"/>
      <c r="B322" s="130"/>
      <c r="C322" s="48"/>
      <c r="D322" s="130"/>
      <c r="E322" s="130"/>
      <c r="F322" s="130"/>
      <c r="G322" s="130"/>
      <c r="H322" s="130"/>
      <c r="I322" s="130"/>
    </row>
    <row r="323">
      <c r="A323" s="130"/>
      <c r="B323" s="130"/>
      <c r="C323" s="48"/>
      <c r="D323" s="130"/>
      <c r="E323" s="130"/>
      <c r="F323" s="130"/>
      <c r="G323" s="130"/>
      <c r="H323" s="130"/>
      <c r="I323" s="130"/>
    </row>
    <row r="324">
      <c r="A324" s="130"/>
      <c r="B324" s="130"/>
      <c r="C324" s="48"/>
      <c r="D324" s="130"/>
      <c r="E324" s="130"/>
      <c r="F324" s="130"/>
      <c r="G324" s="130"/>
      <c r="H324" s="130"/>
      <c r="I324" s="130"/>
    </row>
    <row r="325">
      <c r="A325" s="130"/>
      <c r="B325" s="130"/>
      <c r="C325" s="48"/>
      <c r="D325" s="130"/>
      <c r="E325" s="130"/>
      <c r="F325" s="130"/>
      <c r="G325" s="130"/>
      <c r="H325" s="130"/>
      <c r="I325" s="130"/>
    </row>
    <row r="326">
      <c r="A326" s="130"/>
      <c r="B326" s="130"/>
      <c r="C326" s="48"/>
      <c r="D326" s="130"/>
      <c r="E326" s="130"/>
      <c r="F326" s="130"/>
      <c r="G326" s="130"/>
      <c r="H326" s="130"/>
      <c r="I326" s="130"/>
    </row>
    <row r="327">
      <c r="A327" s="130"/>
      <c r="B327" s="130"/>
      <c r="C327" s="48"/>
      <c r="D327" s="130"/>
      <c r="E327" s="130"/>
      <c r="F327" s="130"/>
      <c r="G327" s="130"/>
      <c r="H327" s="130"/>
      <c r="I327" s="130"/>
    </row>
    <row r="328">
      <c r="A328" s="130"/>
      <c r="B328" s="130"/>
      <c r="C328" s="48"/>
      <c r="D328" s="130"/>
      <c r="E328" s="130"/>
      <c r="F328" s="130"/>
      <c r="G328" s="130"/>
      <c r="H328" s="130"/>
      <c r="I328" s="130"/>
    </row>
    <row r="329">
      <c r="A329" s="130"/>
      <c r="B329" s="130"/>
      <c r="C329" s="48"/>
      <c r="D329" s="130"/>
      <c r="E329" s="130"/>
      <c r="F329" s="130"/>
      <c r="G329" s="130"/>
      <c r="H329" s="130"/>
      <c r="I329" s="130"/>
    </row>
    <row r="330">
      <c r="A330" s="130"/>
      <c r="B330" s="130"/>
      <c r="C330" s="48"/>
      <c r="D330" s="130"/>
      <c r="E330" s="130"/>
      <c r="F330" s="130"/>
      <c r="G330" s="130"/>
      <c r="H330" s="130"/>
      <c r="I330" s="130"/>
    </row>
    <row r="331">
      <c r="A331" s="130"/>
      <c r="B331" s="130"/>
      <c r="C331" s="48"/>
      <c r="D331" s="130"/>
      <c r="E331" s="130"/>
      <c r="F331" s="130"/>
      <c r="G331" s="130"/>
      <c r="H331" s="130"/>
      <c r="I331" s="130"/>
    </row>
    <row r="332">
      <c r="A332" s="130"/>
      <c r="B332" s="130"/>
      <c r="C332" s="48"/>
      <c r="D332" s="130"/>
      <c r="E332" s="130"/>
      <c r="F332" s="130"/>
      <c r="G332" s="130"/>
      <c r="H332" s="130"/>
      <c r="I332" s="130"/>
    </row>
    <row r="333">
      <c r="A333" s="130"/>
      <c r="B333" s="130"/>
      <c r="C333" s="48"/>
      <c r="D333" s="130"/>
      <c r="E333" s="130"/>
      <c r="F333" s="130"/>
      <c r="G333" s="130"/>
      <c r="H333" s="130"/>
      <c r="I333" s="130"/>
    </row>
    <row r="334">
      <c r="A334" s="130"/>
      <c r="B334" s="130"/>
      <c r="C334" s="48"/>
      <c r="D334" s="130"/>
      <c r="E334" s="130"/>
      <c r="F334" s="130"/>
      <c r="G334" s="130"/>
      <c r="H334" s="130"/>
      <c r="I334" s="130"/>
    </row>
    <row r="335">
      <c r="A335" s="130"/>
      <c r="B335" s="130"/>
      <c r="C335" s="48"/>
      <c r="D335" s="130"/>
      <c r="E335" s="130"/>
      <c r="F335" s="130"/>
      <c r="G335" s="130"/>
      <c r="H335" s="130"/>
      <c r="I335" s="130"/>
    </row>
    <row r="336">
      <c r="A336" s="130"/>
      <c r="B336" s="130"/>
      <c r="C336" s="48"/>
      <c r="D336" s="130"/>
      <c r="E336" s="130"/>
      <c r="F336" s="130"/>
      <c r="G336" s="130"/>
      <c r="H336" s="130"/>
      <c r="I336" s="130"/>
    </row>
    <row r="337">
      <c r="A337" s="130"/>
      <c r="B337" s="130"/>
      <c r="C337" s="48"/>
      <c r="D337" s="130"/>
      <c r="E337" s="130"/>
      <c r="F337" s="130"/>
      <c r="G337" s="130"/>
      <c r="H337" s="130"/>
      <c r="I337" s="130"/>
    </row>
    <row r="338">
      <c r="A338" s="130"/>
      <c r="B338" s="130"/>
      <c r="C338" s="48"/>
      <c r="D338" s="130"/>
      <c r="E338" s="130"/>
      <c r="F338" s="130"/>
      <c r="G338" s="130"/>
      <c r="H338" s="130"/>
      <c r="I338" s="130"/>
    </row>
    <row r="339">
      <c r="A339" s="130"/>
      <c r="B339" s="130"/>
      <c r="C339" s="48"/>
      <c r="D339" s="130"/>
      <c r="E339" s="130"/>
      <c r="F339" s="130"/>
      <c r="G339" s="130"/>
      <c r="H339" s="130"/>
      <c r="I339" s="130"/>
    </row>
    <row r="340">
      <c r="A340" s="130"/>
      <c r="B340" s="130"/>
      <c r="C340" s="48"/>
      <c r="D340" s="130"/>
      <c r="E340" s="130"/>
      <c r="F340" s="130"/>
      <c r="G340" s="130"/>
      <c r="H340" s="130"/>
      <c r="I340" s="130"/>
    </row>
    <row r="341">
      <c r="A341" s="130"/>
      <c r="B341" s="130"/>
      <c r="C341" s="48"/>
      <c r="D341" s="130"/>
      <c r="E341" s="130"/>
      <c r="F341" s="130"/>
      <c r="G341" s="130"/>
      <c r="H341" s="130"/>
      <c r="I341" s="130"/>
    </row>
    <row r="342">
      <c r="A342" s="130"/>
      <c r="B342" s="130"/>
      <c r="C342" s="48"/>
      <c r="D342" s="130"/>
      <c r="E342" s="130"/>
      <c r="F342" s="130"/>
      <c r="G342" s="130"/>
      <c r="H342" s="130"/>
      <c r="I342" s="130"/>
    </row>
    <row r="343">
      <c r="A343" s="130"/>
      <c r="B343" s="130"/>
      <c r="C343" s="48"/>
      <c r="D343" s="130"/>
      <c r="E343" s="130"/>
      <c r="F343" s="130"/>
      <c r="G343" s="130"/>
      <c r="H343" s="130"/>
      <c r="I343" s="130"/>
    </row>
    <row r="344">
      <c r="A344" s="130"/>
      <c r="B344" s="130"/>
      <c r="C344" s="48"/>
      <c r="D344" s="130"/>
      <c r="E344" s="130"/>
      <c r="F344" s="130"/>
      <c r="G344" s="130"/>
      <c r="H344" s="130"/>
      <c r="I344" s="130"/>
    </row>
    <row r="345">
      <c r="A345" s="130"/>
      <c r="B345" s="130"/>
      <c r="C345" s="48"/>
      <c r="D345" s="130"/>
      <c r="E345" s="130"/>
      <c r="F345" s="130"/>
      <c r="G345" s="130"/>
      <c r="H345" s="130"/>
      <c r="I345" s="130"/>
    </row>
    <row r="346">
      <c r="A346" s="130"/>
      <c r="B346" s="130"/>
      <c r="C346" s="48"/>
      <c r="D346" s="130"/>
      <c r="E346" s="130"/>
      <c r="F346" s="130"/>
      <c r="G346" s="130"/>
      <c r="H346" s="130"/>
      <c r="I346" s="130"/>
    </row>
    <row r="347">
      <c r="A347" s="130"/>
      <c r="B347" s="130"/>
      <c r="C347" s="48"/>
      <c r="D347" s="130"/>
      <c r="E347" s="130"/>
      <c r="F347" s="130"/>
      <c r="G347" s="130"/>
      <c r="H347" s="130"/>
      <c r="I347" s="130"/>
    </row>
    <row r="348">
      <c r="A348" s="130"/>
      <c r="B348" s="130"/>
      <c r="C348" s="48"/>
      <c r="D348" s="130"/>
      <c r="E348" s="130"/>
      <c r="F348" s="130"/>
      <c r="G348" s="130"/>
      <c r="H348" s="130"/>
      <c r="I348" s="130"/>
    </row>
    <row r="349">
      <c r="A349" s="130"/>
      <c r="B349" s="130"/>
      <c r="C349" s="48"/>
      <c r="D349" s="130"/>
      <c r="E349" s="130"/>
      <c r="F349" s="130"/>
      <c r="G349" s="130"/>
      <c r="H349" s="130"/>
      <c r="I349" s="130"/>
    </row>
    <row r="350">
      <c r="A350" s="130"/>
      <c r="B350" s="130"/>
      <c r="C350" s="48"/>
      <c r="D350" s="130"/>
      <c r="E350" s="130"/>
      <c r="F350" s="130"/>
      <c r="G350" s="130"/>
      <c r="H350" s="130"/>
      <c r="I350" s="130"/>
    </row>
    <row r="351">
      <c r="A351" s="130"/>
      <c r="B351" s="130"/>
      <c r="C351" s="48"/>
      <c r="D351" s="130"/>
      <c r="E351" s="130"/>
      <c r="F351" s="130"/>
      <c r="G351" s="130"/>
      <c r="H351" s="130"/>
      <c r="I351" s="130"/>
    </row>
    <row r="352">
      <c r="A352" s="130"/>
      <c r="B352" s="130"/>
      <c r="C352" s="48"/>
      <c r="D352" s="130"/>
      <c r="E352" s="130"/>
      <c r="F352" s="130"/>
      <c r="G352" s="130"/>
      <c r="H352" s="130"/>
      <c r="I352" s="130"/>
    </row>
    <row r="353">
      <c r="A353" s="130"/>
      <c r="B353" s="130"/>
      <c r="C353" s="48"/>
      <c r="D353" s="130"/>
      <c r="E353" s="130"/>
      <c r="F353" s="130"/>
      <c r="G353" s="130"/>
      <c r="H353" s="130"/>
      <c r="I353" s="130"/>
    </row>
    <row r="354">
      <c r="A354" s="130"/>
      <c r="B354" s="130"/>
      <c r="C354" s="48"/>
      <c r="D354" s="130"/>
      <c r="E354" s="130"/>
      <c r="F354" s="130"/>
      <c r="G354" s="130"/>
      <c r="H354" s="130"/>
      <c r="I354" s="130"/>
    </row>
    <row r="355">
      <c r="A355" s="130"/>
      <c r="B355" s="130"/>
      <c r="C355" s="48"/>
      <c r="D355" s="130"/>
      <c r="E355" s="130"/>
      <c r="F355" s="130"/>
      <c r="G355" s="130"/>
      <c r="H355" s="130"/>
      <c r="I355" s="130"/>
    </row>
    <row r="356">
      <c r="A356" s="130"/>
      <c r="B356" s="130"/>
      <c r="C356" s="48"/>
      <c r="D356" s="130"/>
      <c r="E356" s="130"/>
      <c r="F356" s="130"/>
      <c r="G356" s="130"/>
      <c r="H356" s="130"/>
      <c r="I356" s="130"/>
    </row>
    <row r="357">
      <c r="A357" s="130"/>
      <c r="B357" s="130"/>
      <c r="C357" s="48"/>
      <c r="D357" s="130"/>
      <c r="E357" s="130"/>
      <c r="F357" s="130"/>
      <c r="G357" s="130"/>
      <c r="H357" s="130"/>
      <c r="I357" s="130"/>
    </row>
    <row r="358">
      <c r="A358" s="130"/>
      <c r="B358" s="130"/>
      <c r="C358" s="48"/>
      <c r="D358" s="130"/>
      <c r="E358" s="130"/>
      <c r="F358" s="130"/>
      <c r="G358" s="130"/>
      <c r="H358" s="130"/>
      <c r="I358" s="130"/>
    </row>
    <row r="359">
      <c r="A359" s="130"/>
      <c r="B359" s="130"/>
      <c r="C359" s="48"/>
      <c r="D359" s="130"/>
      <c r="E359" s="130"/>
      <c r="F359" s="130"/>
      <c r="G359" s="130"/>
      <c r="H359" s="130"/>
      <c r="I359" s="130"/>
    </row>
    <row r="360">
      <c r="A360" s="130"/>
      <c r="B360" s="130"/>
      <c r="C360" s="48"/>
      <c r="D360" s="130"/>
      <c r="E360" s="130"/>
      <c r="F360" s="130"/>
      <c r="G360" s="130"/>
      <c r="H360" s="130"/>
      <c r="I360" s="130"/>
    </row>
    <row r="361">
      <c r="A361" s="130"/>
      <c r="B361" s="130"/>
      <c r="C361" s="48"/>
      <c r="D361" s="130"/>
      <c r="E361" s="130"/>
      <c r="F361" s="130"/>
      <c r="G361" s="130"/>
      <c r="H361" s="130"/>
      <c r="I361" s="130"/>
    </row>
    <row r="362">
      <c r="A362" s="130"/>
      <c r="B362" s="130"/>
      <c r="C362" s="48"/>
      <c r="D362" s="130"/>
      <c r="E362" s="130"/>
      <c r="F362" s="130"/>
      <c r="G362" s="130"/>
      <c r="H362" s="130"/>
      <c r="I362" s="130"/>
    </row>
    <row r="363">
      <c r="A363" s="130"/>
      <c r="B363" s="130"/>
      <c r="C363" s="48"/>
      <c r="D363" s="130"/>
      <c r="E363" s="130"/>
      <c r="F363" s="130"/>
      <c r="G363" s="130"/>
      <c r="H363" s="130"/>
      <c r="I363" s="130"/>
    </row>
    <row r="364">
      <c r="A364" s="130"/>
      <c r="B364" s="130"/>
      <c r="C364" s="48"/>
      <c r="D364" s="130"/>
      <c r="E364" s="130"/>
      <c r="F364" s="130"/>
      <c r="G364" s="130"/>
      <c r="H364" s="130"/>
      <c r="I364" s="130"/>
    </row>
    <row r="365">
      <c r="A365" s="130"/>
      <c r="B365" s="130"/>
      <c r="C365" s="48"/>
      <c r="D365" s="130"/>
      <c r="E365" s="130"/>
      <c r="F365" s="130"/>
      <c r="G365" s="130"/>
      <c r="H365" s="130"/>
      <c r="I365" s="130"/>
    </row>
    <row r="366">
      <c r="A366" s="130"/>
      <c r="B366" s="130"/>
      <c r="C366" s="48"/>
      <c r="D366" s="130"/>
      <c r="E366" s="130"/>
      <c r="F366" s="130"/>
      <c r="G366" s="130"/>
      <c r="H366" s="130"/>
      <c r="I366" s="130"/>
    </row>
    <row r="367">
      <c r="A367" s="130"/>
      <c r="B367" s="130"/>
      <c r="C367" s="48"/>
      <c r="D367" s="130"/>
      <c r="E367" s="130"/>
      <c r="F367" s="130"/>
      <c r="G367" s="130"/>
      <c r="H367" s="130"/>
      <c r="I367" s="130"/>
    </row>
    <row r="368">
      <c r="A368" s="130"/>
      <c r="B368" s="130"/>
      <c r="C368" s="48"/>
      <c r="D368" s="130"/>
      <c r="E368" s="130"/>
      <c r="F368" s="130"/>
      <c r="G368" s="130"/>
      <c r="H368" s="130"/>
      <c r="I368" s="130"/>
    </row>
    <row r="369">
      <c r="A369" s="130"/>
      <c r="B369" s="130"/>
      <c r="C369" s="48"/>
      <c r="D369" s="130"/>
      <c r="E369" s="130"/>
      <c r="F369" s="130"/>
      <c r="G369" s="130"/>
      <c r="H369" s="130"/>
      <c r="I369" s="130"/>
    </row>
    <row r="370">
      <c r="A370" s="130"/>
      <c r="B370" s="130"/>
      <c r="C370" s="48"/>
      <c r="D370" s="130"/>
      <c r="E370" s="130"/>
      <c r="F370" s="130"/>
      <c r="G370" s="130"/>
      <c r="H370" s="130"/>
      <c r="I370" s="130"/>
    </row>
    <row r="371">
      <c r="A371" s="130"/>
      <c r="B371" s="130"/>
      <c r="C371" s="48"/>
      <c r="D371" s="130"/>
      <c r="E371" s="130"/>
      <c r="F371" s="130"/>
      <c r="G371" s="130"/>
      <c r="H371" s="130"/>
      <c r="I371" s="130"/>
    </row>
    <row r="372">
      <c r="A372" s="130"/>
      <c r="B372" s="130"/>
      <c r="C372" s="48"/>
      <c r="D372" s="130"/>
      <c r="E372" s="130"/>
      <c r="F372" s="130"/>
      <c r="G372" s="130"/>
      <c r="H372" s="130"/>
      <c r="I372" s="130"/>
    </row>
    <row r="373">
      <c r="A373" s="130"/>
      <c r="B373" s="130"/>
      <c r="C373" s="48"/>
      <c r="D373" s="130"/>
      <c r="E373" s="130"/>
      <c r="F373" s="130"/>
      <c r="G373" s="130"/>
      <c r="H373" s="130"/>
      <c r="I373" s="130"/>
    </row>
    <row r="374">
      <c r="A374" s="130"/>
      <c r="B374" s="130"/>
      <c r="C374" s="48"/>
      <c r="D374" s="130"/>
      <c r="E374" s="130"/>
      <c r="F374" s="130"/>
      <c r="G374" s="130"/>
      <c r="H374" s="130"/>
      <c r="I374" s="130"/>
    </row>
    <row r="375">
      <c r="A375" s="130"/>
      <c r="B375" s="130"/>
      <c r="C375" s="48"/>
      <c r="D375" s="130"/>
      <c r="E375" s="130"/>
      <c r="F375" s="130"/>
      <c r="G375" s="130"/>
      <c r="H375" s="130"/>
      <c r="I375" s="130"/>
    </row>
    <row r="376">
      <c r="A376" s="130"/>
      <c r="B376" s="130"/>
      <c r="C376" s="48"/>
      <c r="D376" s="130"/>
      <c r="E376" s="130"/>
      <c r="F376" s="130"/>
      <c r="G376" s="130"/>
      <c r="H376" s="130"/>
      <c r="I376" s="130"/>
    </row>
    <row r="377">
      <c r="A377" s="130"/>
      <c r="B377" s="130"/>
      <c r="C377" s="48"/>
      <c r="D377" s="130"/>
      <c r="E377" s="130"/>
      <c r="F377" s="130"/>
      <c r="G377" s="130"/>
      <c r="H377" s="130"/>
      <c r="I377" s="130"/>
    </row>
    <row r="378">
      <c r="A378" s="130"/>
      <c r="B378" s="130"/>
      <c r="C378" s="48"/>
      <c r="D378" s="130"/>
      <c r="E378" s="130"/>
      <c r="F378" s="130"/>
      <c r="G378" s="130"/>
      <c r="H378" s="130"/>
      <c r="I378" s="130"/>
    </row>
    <row r="379">
      <c r="A379" s="130"/>
      <c r="B379" s="130"/>
      <c r="C379" s="48"/>
      <c r="D379" s="130"/>
      <c r="E379" s="130"/>
      <c r="F379" s="130"/>
      <c r="G379" s="130"/>
      <c r="H379" s="130"/>
      <c r="I379" s="130"/>
    </row>
    <row r="380">
      <c r="A380" s="130"/>
      <c r="B380" s="130"/>
      <c r="C380" s="48"/>
      <c r="D380" s="130"/>
      <c r="E380" s="130"/>
      <c r="F380" s="130"/>
      <c r="G380" s="130"/>
      <c r="H380" s="130"/>
      <c r="I380" s="130"/>
    </row>
    <row r="381">
      <c r="A381" s="130"/>
      <c r="B381" s="130"/>
      <c r="C381" s="48"/>
      <c r="D381" s="130"/>
      <c r="E381" s="130"/>
      <c r="F381" s="130"/>
      <c r="G381" s="130"/>
      <c r="H381" s="130"/>
      <c r="I381" s="130"/>
    </row>
    <row r="382">
      <c r="A382" s="130"/>
      <c r="B382" s="130"/>
      <c r="C382" s="48"/>
      <c r="D382" s="130"/>
      <c r="E382" s="130"/>
      <c r="F382" s="130"/>
      <c r="G382" s="130"/>
      <c r="H382" s="130"/>
      <c r="I382" s="130"/>
    </row>
    <row r="383">
      <c r="A383" s="130"/>
      <c r="B383" s="130"/>
      <c r="C383" s="48"/>
      <c r="D383" s="130"/>
      <c r="E383" s="130"/>
      <c r="F383" s="130"/>
      <c r="G383" s="130"/>
      <c r="H383" s="130"/>
      <c r="I383" s="130"/>
    </row>
    <row r="384">
      <c r="A384" s="130"/>
      <c r="B384" s="130"/>
      <c r="C384" s="48"/>
      <c r="D384" s="130"/>
      <c r="E384" s="130"/>
      <c r="F384" s="130"/>
      <c r="G384" s="130"/>
      <c r="H384" s="130"/>
      <c r="I384" s="130"/>
    </row>
    <row r="385">
      <c r="A385" s="130"/>
      <c r="B385" s="130"/>
      <c r="C385" s="48"/>
      <c r="D385" s="130"/>
      <c r="E385" s="130"/>
      <c r="F385" s="130"/>
      <c r="G385" s="130"/>
      <c r="H385" s="130"/>
      <c r="I385" s="130"/>
    </row>
    <row r="386">
      <c r="A386" s="130"/>
      <c r="B386" s="130"/>
      <c r="C386" s="48"/>
      <c r="D386" s="130"/>
      <c r="E386" s="130"/>
      <c r="F386" s="130"/>
      <c r="G386" s="130"/>
      <c r="H386" s="130"/>
      <c r="I386" s="130"/>
    </row>
    <row r="387">
      <c r="A387" s="130"/>
      <c r="B387" s="130"/>
      <c r="C387" s="48"/>
      <c r="D387" s="130"/>
      <c r="E387" s="130"/>
      <c r="F387" s="130"/>
      <c r="G387" s="130"/>
      <c r="H387" s="130"/>
      <c r="I387" s="130"/>
    </row>
    <row r="388">
      <c r="A388" s="130"/>
      <c r="B388" s="130"/>
      <c r="C388" s="48"/>
      <c r="D388" s="130"/>
      <c r="E388" s="130"/>
      <c r="F388" s="130"/>
      <c r="G388" s="130"/>
      <c r="H388" s="130"/>
      <c r="I388" s="130"/>
    </row>
    <row r="389">
      <c r="A389" s="130"/>
      <c r="B389" s="130"/>
      <c r="C389" s="48"/>
      <c r="D389" s="130"/>
      <c r="E389" s="130"/>
      <c r="F389" s="130"/>
      <c r="G389" s="130"/>
      <c r="H389" s="130"/>
      <c r="I389" s="130"/>
    </row>
    <row r="390">
      <c r="A390" s="130"/>
      <c r="B390" s="130"/>
      <c r="C390" s="48"/>
      <c r="D390" s="130"/>
      <c r="E390" s="130"/>
      <c r="F390" s="130"/>
      <c r="G390" s="130"/>
      <c r="H390" s="130"/>
      <c r="I390" s="130"/>
    </row>
    <row r="391">
      <c r="A391" s="130"/>
      <c r="B391" s="130"/>
      <c r="C391" s="48"/>
      <c r="D391" s="130"/>
      <c r="E391" s="130"/>
      <c r="F391" s="130"/>
      <c r="G391" s="130"/>
      <c r="H391" s="130"/>
      <c r="I391" s="130"/>
    </row>
    <row r="392">
      <c r="A392" s="130"/>
      <c r="B392" s="130"/>
      <c r="C392" s="48"/>
      <c r="D392" s="130"/>
      <c r="E392" s="130"/>
      <c r="F392" s="130"/>
      <c r="G392" s="130"/>
      <c r="H392" s="130"/>
      <c r="I392" s="130"/>
    </row>
    <row r="393">
      <c r="A393" s="130"/>
      <c r="B393" s="130"/>
      <c r="C393" s="48"/>
      <c r="D393" s="130"/>
      <c r="E393" s="130"/>
      <c r="F393" s="130"/>
      <c r="G393" s="130"/>
      <c r="H393" s="130"/>
      <c r="I393" s="130"/>
    </row>
    <row r="394">
      <c r="A394" s="130"/>
      <c r="B394" s="130"/>
      <c r="C394" s="48"/>
      <c r="D394" s="130"/>
      <c r="E394" s="130"/>
      <c r="F394" s="130"/>
      <c r="G394" s="130"/>
      <c r="H394" s="130"/>
      <c r="I394" s="130"/>
    </row>
    <row r="395">
      <c r="A395" s="130"/>
      <c r="B395" s="130"/>
      <c r="C395" s="48"/>
      <c r="D395" s="130"/>
      <c r="E395" s="130"/>
      <c r="F395" s="130"/>
      <c r="G395" s="130"/>
      <c r="H395" s="130"/>
      <c r="I395" s="130"/>
    </row>
    <row r="396">
      <c r="A396" s="130"/>
      <c r="B396" s="130"/>
      <c r="C396" s="48"/>
      <c r="D396" s="130"/>
      <c r="E396" s="130"/>
      <c r="F396" s="130"/>
      <c r="G396" s="130"/>
      <c r="H396" s="130"/>
      <c r="I396" s="130"/>
    </row>
    <row r="397">
      <c r="A397" s="130"/>
      <c r="B397" s="130"/>
      <c r="C397" s="48"/>
      <c r="D397" s="130"/>
      <c r="E397" s="130"/>
      <c r="F397" s="130"/>
      <c r="G397" s="130"/>
      <c r="H397" s="130"/>
      <c r="I397" s="130"/>
    </row>
    <row r="398">
      <c r="A398" s="130"/>
      <c r="B398" s="130"/>
      <c r="C398" s="48"/>
      <c r="D398" s="130"/>
      <c r="E398" s="130"/>
      <c r="F398" s="130"/>
      <c r="G398" s="130"/>
      <c r="H398" s="130"/>
      <c r="I398" s="130"/>
    </row>
    <row r="399">
      <c r="A399" s="130"/>
      <c r="B399" s="130"/>
      <c r="C399" s="48"/>
      <c r="D399" s="130"/>
      <c r="E399" s="130"/>
      <c r="F399" s="130"/>
      <c r="G399" s="130"/>
      <c r="H399" s="130"/>
      <c r="I399" s="130"/>
    </row>
    <row r="400">
      <c r="A400" s="130"/>
      <c r="B400" s="130"/>
      <c r="C400" s="48"/>
      <c r="D400" s="130"/>
      <c r="E400" s="130"/>
      <c r="F400" s="130"/>
      <c r="G400" s="130"/>
      <c r="H400" s="130"/>
      <c r="I400" s="130"/>
    </row>
    <row r="401">
      <c r="A401" s="130"/>
      <c r="B401" s="130"/>
      <c r="C401" s="48"/>
      <c r="D401" s="130"/>
      <c r="E401" s="130"/>
      <c r="F401" s="130"/>
      <c r="G401" s="130"/>
      <c r="H401" s="130"/>
      <c r="I401" s="130"/>
    </row>
    <row r="402">
      <c r="A402" s="130"/>
      <c r="B402" s="130"/>
      <c r="C402" s="48"/>
      <c r="D402" s="130"/>
      <c r="E402" s="130"/>
      <c r="F402" s="130"/>
      <c r="G402" s="130"/>
      <c r="H402" s="130"/>
      <c r="I402" s="130"/>
    </row>
    <row r="403">
      <c r="A403" s="130"/>
      <c r="B403" s="130"/>
      <c r="C403" s="48"/>
      <c r="D403" s="130"/>
      <c r="E403" s="130"/>
      <c r="F403" s="130"/>
      <c r="G403" s="130"/>
      <c r="H403" s="130"/>
      <c r="I403" s="130"/>
    </row>
    <row r="404">
      <c r="A404" s="130"/>
      <c r="B404" s="130"/>
      <c r="C404" s="48"/>
      <c r="D404" s="130"/>
      <c r="E404" s="130"/>
      <c r="F404" s="130"/>
      <c r="G404" s="130"/>
      <c r="H404" s="130"/>
      <c r="I404" s="130"/>
    </row>
    <row r="405">
      <c r="A405" s="130"/>
      <c r="B405" s="130"/>
      <c r="C405" s="48"/>
      <c r="D405" s="130"/>
      <c r="E405" s="130"/>
      <c r="F405" s="130"/>
      <c r="G405" s="130"/>
      <c r="H405" s="130"/>
      <c r="I405" s="130"/>
    </row>
    <row r="406">
      <c r="A406" s="130"/>
      <c r="B406" s="130"/>
      <c r="C406" s="48"/>
      <c r="D406" s="130"/>
      <c r="E406" s="130"/>
      <c r="F406" s="130"/>
      <c r="G406" s="130"/>
      <c r="H406" s="130"/>
      <c r="I406" s="130"/>
    </row>
    <row r="407">
      <c r="A407" s="130"/>
      <c r="B407" s="130"/>
      <c r="C407" s="48"/>
      <c r="D407" s="130"/>
      <c r="E407" s="130"/>
      <c r="F407" s="130"/>
      <c r="G407" s="130"/>
      <c r="H407" s="130"/>
      <c r="I407" s="130"/>
    </row>
    <row r="408">
      <c r="A408" s="130"/>
      <c r="B408" s="130"/>
      <c r="C408" s="48"/>
      <c r="D408" s="130"/>
      <c r="E408" s="130"/>
      <c r="F408" s="130"/>
      <c r="G408" s="130"/>
      <c r="H408" s="130"/>
      <c r="I408" s="130"/>
    </row>
    <row r="409">
      <c r="A409" s="130"/>
      <c r="B409" s="130"/>
      <c r="C409" s="48"/>
      <c r="D409" s="130"/>
      <c r="E409" s="130"/>
      <c r="F409" s="130"/>
      <c r="G409" s="130"/>
      <c r="H409" s="130"/>
      <c r="I409" s="130"/>
    </row>
    <row r="410">
      <c r="A410" s="130"/>
      <c r="B410" s="130"/>
      <c r="C410" s="48"/>
      <c r="D410" s="130"/>
      <c r="E410" s="130"/>
      <c r="F410" s="130"/>
      <c r="G410" s="130"/>
      <c r="H410" s="130"/>
      <c r="I410" s="130"/>
    </row>
    <row r="411">
      <c r="A411" s="130"/>
      <c r="B411" s="130"/>
      <c r="C411" s="48"/>
      <c r="D411" s="130"/>
      <c r="E411" s="130"/>
      <c r="F411" s="130"/>
      <c r="G411" s="130"/>
      <c r="H411" s="130"/>
      <c r="I411" s="130"/>
    </row>
    <row r="412">
      <c r="A412" s="130"/>
      <c r="B412" s="130"/>
      <c r="C412" s="48"/>
      <c r="D412" s="130"/>
      <c r="E412" s="130"/>
      <c r="F412" s="130"/>
      <c r="G412" s="130"/>
      <c r="H412" s="130"/>
      <c r="I412" s="130"/>
    </row>
    <row r="413">
      <c r="A413" s="130"/>
      <c r="B413" s="130"/>
      <c r="C413" s="48"/>
      <c r="D413" s="130"/>
      <c r="E413" s="130"/>
      <c r="F413" s="130"/>
      <c r="G413" s="130"/>
      <c r="H413" s="130"/>
      <c r="I413" s="130"/>
    </row>
    <row r="414">
      <c r="A414" s="130"/>
      <c r="B414" s="130"/>
      <c r="C414" s="48"/>
      <c r="D414" s="130"/>
      <c r="E414" s="130"/>
      <c r="F414" s="130"/>
      <c r="G414" s="130"/>
      <c r="H414" s="130"/>
      <c r="I414" s="130"/>
    </row>
    <row r="415">
      <c r="A415" s="130"/>
      <c r="B415" s="130"/>
      <c r="C415" s="48"/>
      <c r="D415" s="130"/>
      <c r="E415" s="130"/>
      <c r="F415" s="130"/>
      <c r="G415" s="130"/>
      <c r="H415" s="130"/>
      <c r="I415" s="130"/>
    </row>
    <row r="416">
      <c r="A416" s="130"/>
      <c r="B416" s="130"/>
      <c r="C416" s="48"/>
      <c r="D416" s="130"/>
      <c r="E416" s="130"/>
      <c r="F416" s="130"/>
      <c r="G416" s="130"/>
      <c r="H416" s="130"/>
      <c r="I416" s="130"/>
    </row>
    <row r="417">
      <c r="A417" s="130"/>
      <c r="B417" s="130"/>
      <c r="C417" s="48"/>
      <c r="D417" s="130"/>
      <c r="E417" s="130"/>
      <c r="F417" s="130"/>
      <c r="G417" s="130"/>
      <c r="H417" s="130"/>
      <c r="I417" s="130"/>
    </row>
    <row r="418">
      <c r="A418" s="130"/>
      <c r="B418" s="130"/>
      <c r="C418" s="48"/>
      <c r="D418" s="130"/>
      <c r="E418" s="130"/>
      <c r="F418" s="130"/>
      <c r="G418" s="130"/>
      <c r="H418" s="130"/>
      <c r="I418" s="130"/>
    </row>
    <row r="419">
      <c r="A419" s="130"/>
      <c r="B419" s="130"/>
      <c r="C419" s="48"/>
      <c r="D419" s="130"/>
      <c r="E419" s="130"/>
      <c r="F419" s="130"/>
      <c r="G419" s="130"/>
      <c r="H419" s="130"/>
      <c r="I419" s="130"/>
    </row>
    <row r="420">
      <c r="A420" s="130"/>
      <c r="B420" s="130"/>
      <c r="C420" s="48"/>
      <c r="D420" s="130"/>
      <c r="E420" s="130"/>
      <c r="F420" s="130"/>
      <c r="G420" s="130"/>
      <c r="H420" s="130"/>
      <c r="I420" s="130"/>
    </row>
    <row r="421">
      <c r="A421" s="130"/>
      <c r="B421" s="130"/>
      <c r="C421" s="48"/>
      <c r="D421" s="130"/>
      <c r="E421" s="130"/>
      <c r="F421" s="130"/>
      <c r="G421" s="130"/>
      <c r="H421" s="130"/>
      <c r="I421" s="130"/>
    </row>
    <row r="422">
      <c r="A422" s="130"/>
      <c r="B422" s="130"/>
      <c r="C422" s="48"/>
      <c r="D422" s="130"/>
      <c r="E422" s="130"/>
      <c r="F422" s="130"/>
      <c r="G422" s="130"/>
      <c r="H422" s="130"/>
      <c r="I422" s="130"/>
    </row>
    <row r="423">
      <c r="A423" s="130"/>
      <c r="B423" s="130"/>
      <c r="C423" s="48"/>
      <c r="D423" s="130"/>
      <c r="E423" s="130"/>
      <c r="F423" s="130"/>
      <c r="G423" s="130"/>
      <c r="H423" s="130"/>
      <c r="I423" s="130"/>
    </row>
    <row r="424">
      <c r="A424" s="130"/>
      <c r="B424" s="130"/>
      <c r="C424" s="48"/>
      <c r="D424" s="130"/>
      <c r="E424" s="130"/>
      <c r="F424" s="130"/>
      <c r="G424" s="130"/>
      <c r="H424" s="130"/>
      <c r="I424" s="130"/>
    </row>
    <row r="425">
      <c r="A425" s="130"/>
      <c r="B425" s="130"/>
      <c r="C425" s="48"/>
      <c r="D425" s="130"/>
      <c r="E425" s="130"/>
      <c r="F425" s="130"/>
      <c r="G425" s="130"/>
      <c r="H425" s="130"/>
      <c r="I425" s="130"/>
    </row>
    <row r="426">
      <c r="A426" s="130"/>
      <c r="B426" s="130"/>
      <c r="C426" s="48"/>
      <c r="D426" s="130"/>
      <c r="E426" s="130"/>
      <c r="F426" s="130"/>
      <c r="G426" s="130"/>
      <c r="H426" s="130"/>
      <c r="I426" s="130"/>
    </row>
    <row r="427">
      <c r="A427" s="130"/>
      <c r="B427" s="130"/>
      <c r="C427" s="48"/>
      <c r="D427" s="130"/>
      <c r="E427" s="130"/>
      <c r="F427" s="130"/>
      <c r="G427" s="130"/>
      <c r="H427" s="130"/>
      <c r="I427" s="130"/>
    </row>
    <row r="428">
      <c r="A428" s="130"/>
      <c r="B428" s="130"/>
      <c r="C428" s="48"/>
      <c r="D428" s="130"/>
      <c r="E428" s="130"/>
      <c r="F428" s="130"/>
      <c r="G428" s="130"/>
      <c r="H428" s="130"/>
      <c r="I428" s="130"/>
    </row>
    <row r="429">
      <c r="A429" s="130"/>
      <c r="B429" s="130"/>
      <c r="C429" s="48"/>
      <c r="D429" s="130"/>
      <c r="E429" s="130"/>
      <c r="F429" s="130"/>
      <c r="G429" s="130"/>
      <c r="H429" s="130"/>
      <c r="I429" s="130"/>
    </row>
    <row r="430">
      <c r="A430" s="130"/>
      <c r="B430" s="130"/>
      <c r="C430" s="48"/>
      <c r="D430" s="130"/>
      <c r="E430" s="130"/>
      <c r="F430" s="130"/>
      <c r="G430" s="130"/>
      <c r="H430" s="130"/>
      <c r="I430" s="130"/>
    </row>
    <row r="431">
      <c r="A431" s="130"/>
      <c r="B431" s="130"/>
      <c r="C431" s="48"/>
      <c r="D431" s="130"/>
      <c r="E431" s="130"/>
      <c r="F431" s="130"/>
      <c r="G431" s="130"/>
      <c r="H431" s="130"/>
      <c r="I431" s="130"/>
    </row>
    <row r="432">
      <c r="A432" s="130"/>
      <c r="B432" s="130"/>
      <c r="C432" s="48"/>
      <c r="D432" s="130"/>
      <c r="E432" s="130"/>
      <c r="F432" s="130"/>
      <c r="G432" s="130"/>
      <c r="H432" s="130"/>
      <c r="I432" s="130"/>
    </row>
    <row r="433">
      <c r="A433" s="130"/>
      <c r="B433" s="130"/>
      <c r="C433" s="48"/>
      <c r="D433" s="130"/>
      <c r="E433" s="130"/>
      <c r="F433" s="130"/>
      <c r="G433" s="130"/>
      <c r="H433" s="130"/>
      <c r="I433" s="130"/>
    </row>
    <row r="434">
      <c r="A434" s="130"/>
      <c r="B434" s="130"/>
      <c r="C434" s="48"/>
      <c r="D434" s="130"/>
      <c r="E434" s="130"/>
      <c r="F434" s="130"/>
      <c r="G434" s="130"/>
      <c r="H434" s="130"/>
      <c r="I434" s="130"/>
    </row>
    <row r="435">
      <c r="A435" s="130"/>
      <c r="B435" s="130"/>
      <c r="C435" s="48"/>
      <c r="D435" s="130"/>
      <c r="E435" s="130"/>
      <c r="F435" s="130"/>
      <c r="G435" s="130"/>
      <c r="H435" s="130"/>
      <c r="I435" s="130"/>
    </row>
    <row r="436">
      <c r="A436" s="130"/>
      <c r="B436" s="130"/>
      <c r="C436" s="48"/>
      <c r="D436" s="130"/>
      <c r="E436" s="130"/>
      <c r="F436" s="130"/>
      <c r="G436" s="130"/>
      <c r="H436" s="130"/>
      <c r="I436" s="130"/>
    </row>
    <row r="437">
      <c r="A437" s="130"/>
      <c r="B437" s="130"/>
      <c r="C437" s="48"/>
      <c r="D437" s="130"/>
      <c r="E437" s="130"/>
      <c r="F437" s="130"/>
      <c r="G437" s="130"/>
      <c r="H437" s="130"/>
      <c r="I437" s="130"/>
    </row>
    <row r="438">
      <c r="A438" s="130"/>
      <c r="B438" s="130"/>
      <c r="C438" s="48"/>
      <c r="D438" s="130"/>
      <c r="E438" s="130"/>
      <c r="F438" s="130"/>
      <c r="G438" s="130"/>
      <c r="H438" s="130"/>
      <c r="I438" s="130"/>
    </row>
    <row r="439">
      <c r="A439" s="130"/>
      <c r="B439" s="130"/>
      <c r="C439" s="48"/>
      <c r="D439" s="130"/>
      <c r="E439" s="130"/>
      <c r="F439" s="130"/>
      <c r="G439" s="130"/>
      <c r="H439" s="130"/>
      <c r="I439" s="130"/>
    </row>
    <row r="440">
      <c r="A440" s="130"/>
      <c r="B440" s="130"/>
      <c r="C440" s="48"/>
      <c r="D440" s="130"/>
      <c r="E440" s="130"/>
      <c r="F440" s="130"/>
      <c r="G440" s="130"/>
      <c r="H440" s="130"/>
      <c r="I440" s="130"/>
    </row>
    <row r="441">
      <c r="A441" s="130"/>
      <c r="B441" s="130"/>
      <c r="C441" s="48"/>
      <c r="D441" s="130"/>
      <c r="E441" s="130"/>
      <c r="F441" s="130"/>
      <c r="G441" s="130"/>
      <c r="H441" s="130"/>
      <c r="I441" s="130"/>
    </row>
    <row r="442">
      <c r="A442" s="130"/>
      <c r="B442" s="130"/>
      <c r="C442" s="48"/>
      <c r="D442" s="130"/>
      <c r="E442" s="130"/>
      <c r="F442" s="130"/>
      <c r="G442" s="130"/>
      <c r="H442" s="130"/>
      <c r="I442" s="130"/>
    </row>
    <row r="443">
      <c r="A443" s="130"/>
      <c r="B443" s="130"/>
      <c r="C443" s="48"/>
      <c r="D443" s="130"/>
      <c r="E443" s="130"/>
      <c r="F443" s="130"/>
      <c r="G443" s="130"/>
      <c r="H443" s="130"/>
      <c r="I443" s="130"/>
    </row>
    <row r="444">
      <c r="A444" s="130"/>
      <c r="B444" s="130"/>
      <c r="C444" s="48"/>
      <c r="D444" s="130"/>
      <c r="E444" s="130"/>
      <c r="F444" s="130"/>
      <c r="G444" s="130"/>
      <c r="H444" s="130"/>
      <c r="I444" s="130"/>
    </row>
    <row r="445">
      <c r="A445" s="130"/>
      <c r="B445" s="130"/>
      <c r="C445" s="48"/>
      <c r="D445" s="130"/>
      <c r="E445" s="130"/>
      <c r="F445" s="130"/>
      <c r="G445" s="130"/>
      <c r="H445" s="130"/>
      <c r="I445" s="130"/>
    </row>
    <row r="446">
      <c r="A446" s="130"/>
      <c r="B446" s="130"/>
      <c r="C446" s="48"/>
      <c r="D446" s="130"/>
      <c r="E446" s="130"/>
      <c r="F446" s="130"/>
      <c r="G446" s="130"/>
      <c r="H446" s="130"/>
      <c r="I446" s="130"/>
    </row>
    <row r="447">
      <c r="A447" s="130"/>
      <c r="B447" s="130"/>
      <c r="C447" s="48"/>
      <c r="D447" s="130"/>
      <c r="E447" s="130"/>
      <c r="F447" s="130"/>
      <c r="G447" s="130"/>
      <c r="H447" s="130"/>
      <c r="I447" s="130"/>
    </row>
    <row r="448">
      <c r="A448" s="130"/>
      <c r="B448" s="130"/>
      <c r="C448" s="48"/>
      <c r="D448" s="130"/>
      <c r="E448" s="130"/>
      <c r="F448" s="130"/>
      <c r="G448" s="130"/>
      <c r="H448" s="130"/>
      <c r="I448" s="130"/>
    </row>
    <row r="449">
      <c r="A449" s="130"/>
      <c r="B449" s="130"/>
      <c r="C449" s="48"/>
      <c r="D449" s="130"/>
      <c r="E449" s="130"/>
      <c r="F449" s="130"/>
      <c r="G449" s="130"/>
      <c r="H449" s="130"/>
      <c r="I449" s="130"/>
    </row>
    <row r="450">
      <c r="A450" s="130"/>
      <c r="B450" s="130"/>
      <c r="C450" s="48"/>
      <c r="D450" s="130"/>
      <c r="E450" s="130"/>
      <c r="F450" s="130"/>
      <c r="G450" s="130"/>
      <c r="H450" s="130"/>
      <c r="I450" s="130"/>
    </row>
    <row r="451">
      <c r="A451" s="130"/>
      <c r="B451" s="130"/>
      <c r="C451" s="48"/>
      <c r="D451" s="130"/>
      <c r="E451" s="130"/>
      <c r="F451" s="130"/>
      <c r="G451" s="130"/>
      <c r="H451" s="130"/>
      <c r="I451" s="130"/>
    </row>
    <row r="452">
      <c r="A452" s="130"/>
      <c r="B452" s="130"/>
      <c r="C452" s="48"/>
      <c r="D452" s="130"/>
      <c r="E452" s="130"/>
      <c r="F452" s="130"/>
      <c r="G452" s="130"/>
      <c r="H452" s="130"/>
      <c r="I452" s="130"/>
    </row>
    <row r="453">
      <c r="A453" s="130"/>
      <c r="B453" s="130"/>
      <c r="C453" s="48"/>
      <c r="D453" s="130"/>
      <c r="E453" s="130"/>
      <c r="F453" s="130"/>
      <c r="G453" s="130"/>
      <c r="H453" s="130"/>
      <c r="I453" s="130"/>
    </row>
    <row r="454">
      <c r="A454" s="130"/>
      <c r="B454" s="130"/>
      <c r="C454" s="48"/>
      <c r="D454" s="130"/>
      <c r="E454" s="130"/>
      <c r="F454" s="130"/>
      <c r="G454" s="130"/>
      <c r="H454" s="130"/>
      <c r="I454" s="130"/>
    </row>
    <row r="455">
      <c r="A455" s="130"/>
      <c r="B455" s="130"/>
      <c r="C455" s="48"/>
      <c r="D455" s="130"/>
      <c r="E455" s="130"/>
      <c r="F455" s="130"/>
      <c r="G455" s="130"/>
      <c r="H455" s="130"/>
      <c r="I455" s="130"/>
    </row>
    <row r="456">
      <c r="A456" s="130"/>
      <c r="B456" s="130"/>
      <c r="C456" s="48"/>
      <c r="D456" s="130"/>
      <c r="E456" s="130"/>
      <c r="F456" s="130"/>
      <c r="G456" s="130"/>
      <c r="H456" s="130"/>
      <c r="I456" s="130"/>
    </row>
    <row r="457">
      <c r="A457" s="130"/>
      <c r="B457" s="130"/>
      <c r="C457" s="48"/>
      <c r="D457" s="130"/>
      <c r="E457" s="130"/>
      <c r="F457" s="130"/>
      <c r="G457" s="130"/>
      <c r="H457" s="130"/>
      <c r="I457" s="130"/>
    </row>
    <row r="458">
      <c r="A458" s="130"/>
      <c r="B458" s="130"/>
      <c r="C458" s="48"/>
      <c r="D458" s="130"/>
      <c r="E458" s="130"/>
      <c r="F458" s="130"/>
      <c r="G458" s="130"/>
      <c r="H458" s="130"/>
      <c r="I458" s="130"/>
    </row>
    <row r="459">
      <c r="A459" s="130"/>
      <c r="B459" s="130"/>
      <c r="C459" s="48"/>
      <c r="D459" s="130"/>
      <c r="E459" s="130"/>
      <c r="F459" s="130"/>
      <c r="G459" s="130"/>
      <c r="H459" s="130"/>
      <c r="I459" s="130"/>
    </row>
    <row r="460">
      <c r="A460" s="130"/>
      <c r="B460" s="130"/>
      <c r="C460" s="48"/>
      <c r="D460" s="130"/>
      <c r="E460" s="130"/>
      <c r="F460" s="130"/>
      <c r="G460" s="130"/>
      <c r="H460" s="130"/>
      <c r="I460" s="130"/>
    </row>
    <row r="461">
      <c r="A461" s="130"/>
      <c r="B461" s="130"/>
      <c r="C461" s="48"/>
      <c r="D461" s="130"/>
      <c r="E461" s="130"/>
      <c r="F461" s="130"/>
      <c r="G461" s="130"/>
      <c r="H461" s="130"/>
      <c r="I461" s="130"/>
    </row>
    <row r="462">
      <c r="A462" s="130"/>
      <c r="B462" s="130"/>
      <c r="C462" s="48"/>
      <c r="D462" s="130"/>
      <c r="E462" s="130"/>
      <c r="F462" s="130"/>
      <c r="G462" s="130"/>
      <c r="H462" s="130"/>
      <c r="I462" s="130"/>
    </row>
    <row r="463">
      <c r="A463" s="130"/>
      <c r="B463" s="130"/>
      <c r="C463" s="48"/>
      <c r="D463" s="130"/>
      <c r="E463" s="130"/>
      <c r="F463" s="130"/>
      <c r="G463" s="130"/>
      <c r="H463" s="130"/>
      <c r="I463" s="130"/>
    </row>
    <row r="464">
      <c r="A464" s="130"/>
      <c r="B464" s="130"/>
      <c r="C464" s="48"/>
      <c r="D464" s="130"/>
      <c r="E464" s="130"/>
      <c r="F464" s="130"/>
      <c r="G464" s="130"/>
      <c r="H464" s="130"/>
      <c r="I464" s="130"/>
    </row>
    <row r="465">
      <c r="A465" s="130"/>
      <c r="B465" s="130"/>
      <c r="C465" s="48"/>
      <c r="D465" s="130"/>
      <c r="E465" s="130"/>
      <c r="F465" s="130"/>
      <c r="G465" s="130"/>
      <c r="H465" s="130"/>
      <c r="I465" s="130"/>
    </row>
    <row r="466">
      <c r="A466" s="130"/>
      <c r="B466" s="130"/>
      <c r="C466" s="48"/>
      <c r="D466" s="130"/>
      <c r="E466" s="130"/>
      <c r="F466" s="130"/>
      <c r="G466" s="130"/>
      <c r="H466" s="130"/>
      <c r="I466" s="130"/>
    </row>
    <row r="467">
      <c r="A467" s="130"/>
      <c r="B467" s="130"/>
      <c r="C467" s="48"/>
      <c r="D467" s="130"/>
      <c r="E467" s="130"/>
      <c r="F467" s="130"/>
      <c r="G467" s="130"/>
      <c r="H467" s="130"/>
      <c r="I467" s="130"/>
    </row>
    <row r="468">
      <c r="A468" s="130"/>
      <c r="B468" s="130"/>
      <c r="C468" s="48"/>
      <c r="D468" s="130"/>
      <c r="E468" s="130"/>
      <c r="F468" s="130"/>
      <c r="G468" s="130"/>
      <c r="H468" s="130"/>
      <c r="I468" s="130"/>
    </row>
    <row r="469">
      <c r="A469" s="130"/>
      <c r="B469" s="130"/>
      <c r="C469" s="48"/>
      <c r="D469" s="130"/>
      <c r="E469" s="130"/>
      <c r="F469" s="130"/>
      <c r="G469" s="130"/>
      <c r="H469" s="130"/>
      <c r="I469" s="130"/>
    </row>
    <row r="470">
      <c r="A470" s="130"/>
      <c r="B470" s="130"/>
      <c r="C470" s="48"/>
      <c r="D470" s="130"/>
      <c r="E470" s="130"/>
      <c r="F470" s="130"/>
      <c r="G470" s="130"/>
      <c r="H470" s="130"/>
      <c r="I470" s="130"/>
    </row>
    <row r="471">
      <c r="A471" s="130"/>
      <c r="B471" s="130"/>
      <c r="C471" s="48"/>
      <c r="D471" s="130"/>
      <c r="E471" s="130"/>
      <c r="F471" s="130"/>
      <c r="G471" s="130"/>
      <c r="H471" s="130"/>
      <c r="I471" s="130"/>
    </row>
    <row r="472">
      <c r="A472" s="130"/>
      <c r="B472" s="130"/>
      <c r="C472" s="48"/>
      <c r="D472" s="130"/>
      <c r="E472" s="130"/>
      <c r="F472" s="130"/>
      <c r="G472" s="130"/>
      <c r="H472" s="130"/>
      <c r="I472" s="130"/>
    </row>
    <row r="473">
      <c r="A473" s="130"/>
      <c r="B473" s="130"/>
      <c r="C473" s="48"/>
      <c r="D473" s="130"/>
      <c r="E473" s="130"/>
      <c r="F473" s="130"/>
      <c r="G473" s="130"/>
      <c r="H473" s="130"/>
      <c r="I473" s="130"/>
    </row>
    <row r="474">
      <c r="A474" s="130"/>
      <c r="B474" s="130"/>
      <c r="C474" s="48"/>
      <c r="D474" s="130"/>
      <c r="E474" s="130"/>
      <c r="F474" s="130"/>
      <c r="G474" s="130"/>
      <c r="H474" s="130"/>
      <c r="I474" s="130"/>
    </row>
    <row r="475">
      <c r="A475" s="130"/>
      <c r="B475" s="130"/>
      <c r="C475" s="48"/>
      <c r="D475" s="130"/>
      <c r="E475" s="130"/>
      <c r="F475" s="130"/>
      <c r="G475" s="130"/>
      <c r="H475" s="130"/>
      <c r="I475" s="130"/>
    </row>
    <row r="476">
      <c r="A476" s="130"/>
      <c r="B476" s="130"/>
      <c r="C476" s="48"/>
      <c r="D476" s="130"/>
      <c r="E476" s="130"/>
      <c r="F476" s="130"/>
      <c r="G476" s="130"/>
      <c r="H476" s="130"/>
      <c r="I476" s="130"/>
    </row>
    <row r="477">
      <c r="A477" s="130"/>
      <c r="B477" s="130"/>
      <c r="C477" s="48"/>
      <c r="D477" s="130"/>
      <c r="E477" s="130"/>
      <c r="F477" s="130"/>
      <c r="G477" s="130"/>
      <c r="H477" s="130"/>
      <c r="I477" s="130"/>
    </row>
    <row r="478">
      <c r="A478" s="130"/>
      <c r="B478" s="130"/>
      <c r="C478" s="48"/>
      <c r="D478" s="130"/>
      <c r="E478" s="130"/>
      <c r="F478" s="130"/>
      <c r="G478" s="130"/>
      <c r="H478" s="130"/>
      <c r="I478" s="130"/>
    </row>
    <row r="479">
      <c r="A479" s="130"/>
      <c r="B479" s="130"/>
      <c r="C479" s="48"/>
      <c r="D479" s="130"/>
      <c r="E479" s="130"/>
      <c r="F479" s="130"/>
      <c r="G479" s="130"/>
      <c r="H479" s="130"/>
      <c r="I479" s="130"/>
    </row>
    <row r="480">
      <c r="A480" s="130"/>
      <c r="B480" s="130"/>
      <c r="C480" s="48"/>
      <c r="D480" s="130"/>
      <c r="E480" s="130"/>
      <c r="F480" s="130"/>
      <c r="G480" s="130"/>
      <c r="H480" s="130"/>
      <c r="I480" s="130"/>
    </row>
    <row r="481">
      <c r="A481" s="130"/>
      <c r="B481" s="130"/>
      <c r="C481" s="48"/>
      <c r="D481" s="130"/>
      <c r="E481" s="130"/>
      <c r="F481" s="130"/>
      <c r="G481" s="130"/>
      <c r="H481" s="130"/>
      <c r="I481" s="130"/>
    </row>
    <row r="482">
      <c r="A482" s="130"/>
      <c r="B482" s="130"/>
      <c r="C482" s="48"/>
      <c r="D482" s="130"/>
      <c r="E482" s="130"/>
      <c r="F482" s="130"/>
      <c r="G482" s="130"/>
      <c r="H482" s="130"/>
      <c r="I482" s="130"/>
    </row>
    <row r="483">
      <c r="A483" s="130"/>
      <c r="B483" s="130"/>
      <c r="C483" s="48"/>
      <c r="D483" s="130"/>
      <c r="E483" s="130"/>
      <c r="F483" s="130"/>
      <c r="G483" s="130"/>
      <c r="H483" s="130"/>
      <c r="I483" s="130"/>
    </row>
    <row r="484">
      <c r="A484" s="130"/>
      <c r="B484" s="130"/>
      <c r="C484" s="48"/>
      <c r="D484" s="130"/>
      <c r="E484" s="130"/>
      <c r="F484" s="130"/>
      <c r="G484" s="130"/>
      <c r="H484" s="130"/>
      <c r="I484" s="130"/>
    </row>
    <row r="485">
      <c r="A485" s="130"/>
      <c r="B485" s="130"/>
      <c r="C485" s="48"/>
      <c r="D485" s="130"/>
      <c r="E485" s="130"/>
      <c r="F485" s="130"/>
      <c r="G485" s="130"/>
      <c r="H485" s="130"/>
      <c r="I485" s="130"/>
    </row>
    <row r="486">
      <c r="A486" s="130"/>
      <c r="B486" s="130"/>
      <c r="C486" s="48"/>
      <c r="D486" s="130"/>
      <c r="E486" s="130"/>
      <c r="F486" s="130"/>
      <c r="G486" s="130"/>
      <c r="H486" s="130"/>
      <c r="I486" s="130"/>
    </row>
    <row r="487">
      <c r="A487" s="130"/>
      <c r="B487" s="130"/>
      <c r="C487" s="48"/>
      <c r="D487" s="130"/>
      <c r="E487" s="130"/>
      <c r="F487" s="130"/>
      <c r="G487" s="130"/>
      <c r="H487" s="130"/>
      <c r="I487" s="130"/>
    </row>
    <row r="488">
      <c r="A488" s="130"/>
      <c r="B488" s="130"/>
      <c r="C488" s="48"/>
      <c r="D488" s="130"/>
      <c r="E488" s="130"/>
      <c r="F488" s="130"/>
      <c r="G488" s="130"/>
      <c r="H488" s="130"/>
      <c r="I488" s="130"/>
    </row>
    <row r="489">
      <c r="A489" s="130"/>
      <c r="B489" s="130"/>
      <c r="C489" s="48"/>
      <c r="D489" s="130"/>
      <c r="E489" s="130"/>
      <c r="F489" s="130"/>
      <c r="G489" s="130"/>
      <c r="H489" s="130"/>
      <c r="I489" s="130"/>
    </row>
    <row r="490">
      <c r="A490" s="130"/>
      <c r="B490" s="130"/>
      <c r="C490" s="48"/>
      <c r="D490" s="130"/>
      <c r="E490" s="130"/>
      <c r="F490" s="130"/>
      <c r="G490" s="130"/>
      <c r="H490" s="130"/>
      <c r="I490" s="130"/>
    </row>
    <row r="491">
      <c r="A491" s="130"/>
      <c r="B491" s="130"/>
      <c r="C491" s="48"/>
      <c r="D491" s="130"/>
      <c r="E491" s="130"/>
      <c r="F491" s="130"/>
      <c r="G491" s="130"/>
      <c r="H491" s="130"/>
      <c r="I491" s="130"/>
    </row>
    <row r="492">
      <c r="A492" s="130"/>
      <c r="B492" s="130"/>
      <c r="C492" s="48"/>
      <c r="D492" s="130"/>
      <c r="E492" s="130"/>
      <c r="F492" s="130"/>
      <c r="G492" s="130"/>
      <c r="H492" s="130"/>
      <c r="I492" s="130"/>
    </row>
    <row r="493">
      <c r="A493" s="130"/>
      <c r="B493" s="130"/>
      <c r="C493" s="48"/>
      <c r="D493" s="130"/>
      <c r="E493" s="130"/>
      <c r="F493" s="130"/>
      <c r="G493" s="130"/>
      <c r="H493" s="130"/>
      <c r="I493" s="130"/>
    </row>
    <row r="494">
      <c r="A494" s="130"/>
      <c r="B494" s="130"/>
      <c r="C494" s="48"/>
      <c r="D494" s="130"/>
      <c r="E494" s="130"/>
      <c r="F494" s="130"/>
      <c r="G494" s="130"/>
      <c r="H494" s="130"/>
      <c r="I494" s="130"/>
    </row>
    <row r="495">
      <c r="A495" s="130"/>
      <c r="B495" s="130"/>
      <c r="C495" s="48"/>
      <c r="D495" s="130"/>
      <c r="E495" s="130"/>
      <c r="F495" s="130"/>
      <c r="G495" s="130"/>
      <c r="H495" s="130"/>
      <c r="I495" s="130"/>
    </row>
    <row r="496">
      <c r="A496" s="130"/>
      <c r="B496" s="130"/>
      <c r="C496" s="48"/>
      <c r="D496" s="130"/>
      <c r="E496" s="130"/>
      <c r="F496" s="130"/>
      <c r="G496" s="130"/>
      <c r="H496" s="130"/>
      <c r="I496" s="130"/>
    </row>
    <row r="497">
      <c r="A497" s="130"/>
      <c r="B497" s="130"/>
      <c r="C497" s="48"/>
      <c r="D497" s="130"/>
      <c r="E497" s="130"/>
      <c r="F497" s="130"/>
      <c r="G497" s="130"/>
      <c r="H497" s="130"/>
      <c r="I497" s="130"/>
    </row>
    <row r="498">
      <c r="A498" s="130"/>
      <c r="B498" s="130"/>
      <c r="C498" s="48"/>
      <c r="D498" s="130"/>
      <c r="E498" s="130"/>
      <c r="F498" s="130"/>
      <c r="G498" s="130"/>
      <c r="H498" s="130"/>
      <c r="I498" s="130"/>
    </row>
    <row r="499">
      <c r="A499" s="130"/>
      <c r="B499" s="130"/>
      <c r="C499" s="48"/>
      <c r="D499" s="130"/>
      <c r="E499" s="130"/>
      <c r="F499" s="130"/>
      <c r="G499" s="130"/>
      <c r="H499" s="130"/>
      <c r="I499" s="130"/>
    </row>
    <row r="500">
      <c r="A500" s="130"/>
      <c r="B500" s="130"/>
      <c r="C500" s="48"/>
      <c r="D500" s="130"/>
      <c r="E500" s="130"/>
      <c r="F500" s="130"/>
      <c r="G500" s="130"/>
      <c r="H500" s="130"/>
      <c r="I500" s="130"/>
    </row>
    <row r="501">
      <c r="A501" s="130"/>
      <c r="B501" s="130"/>
      <c r="C501" s="48"/>
      <c r="D501" s="130"/>
      <c r="E501" s="130"/>
      <c r="F501" s="130"/>
      <c r="G501" s="130"/>
      <c r="H501" s="130"/>
      <c r="I501" s="130"/>
    </row>
    <row r="502">
      <c r="A502" s="130"/>
      <c r="B502" s="130"/>
      <c r="C502" s="48"/>
      <c r="D502" s="130"/>
      <c r="E502" s="130"/>
      <c r="F502" s="130"/>
      <c r="G502" s="130"/>
      <c r="H502" s="130"/>
      <c r="I502" s="130"/>
    </row>
    <row r="503">
      <c r="A503" s="130"/>
      <c r="B503" s="130"/>
      <c r="C503" s="48"/>
      <c r="D503" s="130"/>
      <c r="E503" s="130"/>
      <c r="F503" s="130"/>
      <c r="G503" s="130"/>
      <c r="H503" s="130"/>
      <c r="I503" s="130"/>
    </row>
    <row r="504">
      <c r="A504" s="130"/>
      <c r="B504" s="130"/>
      <c r="C504" s="48"/>
      <c r="D504" s="130"/>
      <c r="E504" s="130"/>
      <c r="F504" s="130"/>
      <c r="G504" s="130"/>
      <c r="H504" s="130"/>
      <c r="I504" s="130"/>
    </row>
    <row r="505">
      <c r="A505" s="130"/>
      <c r="B505" s="130"/>
      <c r="C505" s="48"/>
      <c r="D505" s="130"/>
      <c r="E505" s="130"/>
      <c r="F505" s="130"/>
      <c r="G505" s="130"/>
      <c r="H505" s="130"/>
      <c r="I505" s="130"/>
    </row>
    <row r="506">
      <c r="A506" s="130"/>
      <c r="B506" s="130"/>
      <c r="C506" s="48"/>
      <c r="D506" s="130"/>
      <c r="E506" s="130"/>
      <c r="F506" s="130"/>
      <c r="G506" s="130"/>
      <c r="H506" s="130"/>
      <c r="I506" s="130"/>
    </row>
    <row r="507">
      <c r="A507" s="130"/>
      <c r="B507" s="130"/>
      <c r="C507" s="48"/>
      <c r="D507" s="130"/>
      <c r="E507" s="130"/>
      <c r="F507" s="130"/>
      <c r="G507" s="130"/>
      <c r="H507" s="130"/>
      <c r="I507" s="130"/>
    </row>
    <row r="508">
      <c r="A508" s="130"/>
      <c r="B508" s="130"/>
      <c r="C508" s="48"/>
      <c r="D508" s="130"/>
      <c r="E508" s="130"/>
      <c r="F508" s="130"/>
      <c r="G508" s="130"/>
      <c r="H508" s="130"/>
      <c r="I508" s="130"/>
    </row>
    <row r="509">
      <c r="A509" s="130"/>
      <c r="B509" s="130"/>
      <c r="C509" s="48"/>
      <c r="D509" s="130"/>
      <c r="E509" s="130"/>
      <c r="F509" s="130"/>
      <c r="G509" s="130"/>
      <c r="H509" s="130"/>
      <c r="I509" s="130"/>
    </row>
    <row r="510">
      <c r="A510" s="130"/>
      <c r="B510" s="130"/>
      <c r="C510" s="48"/>
      <c r="D510" s="130"/>
      <c r="E510" s="130"/>
      <c r="F510" s="130"/>
      <c r="G510" s="130"/>
      <c r="H510" s="130"/>
      <c r="I510" s="130"/>
    </row>
    <row r="511">
      <c r="A511" s="130"/>
      <c r="B511" s="130"/>
      <c r="C511" s="48"/>
      <c r="D511" s="130"/>
      <c r="E511" s="130"/>
      <c r="F511" s="130"/>
      <c r="G511" s="130"/>
      <c r="H511" s="130"/>
      <c r="I511" s="130"/>
    </row>
    <row r="512">
      <c r="A512" s="130"/>
      <c r="B512" s="130"/>
      <c r="C512" s="48"/>
      <c r="D512" s="130"/>
      <c r="E512" s="130"/>
      <c r="F512" s="130"/>
      <c r="G512" s="130"/>
      <c r="H512" s="130"/>
      <c r="I512" s="130"/>
    </row>
    <row r="513">
      <c r="A513" s="130"/>
      <c r="B513" s="130"/>
      <c r="C513" s="48"/>
      <c r="D513" s="130"/>
      <c r="E513" s="130"/>
      <c r="F513" s="130"/>
      <c r="G513" s="130"/>
      <c r="H513" s="130"/>
      <c r="I513" s="130"/>
    </row>
    <row r="514">
      <c r="A514" s="130"/>
      <c r="B514" s="130"/>
      <c r="C514" s="48"/>
      <c r="D514" s="130"/>
      <c r="E514" s="130"/>
      <c r="F514" s="130"/>
      <c r="G514" s="130"/>
      <c r="H514" s="130"/>
      <c r="I514" s="130"/>
    </row>
    <row r="515">
      <c r="A515" s="130"/>
      <c r="B515" s="130"/>
      <c r="C515" s="48"/>
      <c r="D515" s="130"/>
      <c r="E515" s="130"/>
      <c r="F515" s="130"/>
      <c r="G515" s="130"/>
      <c r="H515" s="130"/>
      <c r="I515" s="130"/>
    </row>
    <row r="516">
      <c r="A516" s="130"/>
      <c r="B516" s="130"/>
      <c r="C516" s="48"/>
      <c r="D516" s="130"/>
      <c r="E516" s="130"/>
      <c r="F516" s="130"/>
      <c r="G516" s="130"/>
      <c r="H516" s="130"/>
      <c r="I516" s="130"/>
    </row>
    <row r="517">
      <c r="A517" s="130"/>
      <c r="B517" s="130"/>
      <c r="C517" s="48"/>
      <c r="D517" s="130"/>
      <c r="E517" s="130"/>
      <c r="F517" s="130"/>
      <c r="G517" s="130"/>
      <c r="H517" s="130"/>
      <c r="I517" s="130"/>
    </row>
    <row r="518">
      <c r="A518" s="130"/>
      <c r="B518" s="130"/>
      <c r="C518" s="48"/>
      <c r="D518" s="130"/>
      <c r="E518" s="130"/>
      <c r="F518" s="130"/>
      <c r="G518" s="130"/>
      <c r="H518" s="130"/>
      <c r="I518" s="130"/>
    </row>
    <row r="519">
      <c r="A519" s="130"/>
      <c r="B519" s="130"/>
      <c r="C519" s="48"/>
      <c r="D519" s="130"/>
      <c r="E519" s="130"/>
      <c r="F519" s="130"/>
      <c r="G519" s="130"/>
      <c r="H519" s="130"/>
      <c r="I519" s="130"/>
    </row>
    <row r="520">
      <c r="A520" s="130"/>
      <c r="B520" s="130"/>
      <c r="C520" s="48"/>
      <c r="D520" s="130"/>
      <c r="E520" s="130"/>
      <c r="F520" s="130"/>
      <c r="G520" s="130"/>
      <c r="H520" s="130"/>
      <c r="I520" s="130"/>
    </row>
    <row r="521">
      <c r="A521" s="130"/>
      <c r="B521" s="130"/>
      <c r="C521" s="48"/>
      <c r="D521" s="130"/>
      <c r="E521" s="130"/>
      <c r="F521" s="130"/>
      <c r="G521" s="130"/>
      <c r="H521" s="130"/>
      <c r="I521" s="130"/>
    </row>
    <row r="522">
      <c r="A522" s="130"/>
      <c r="B522" s="130"/>
      <c r="C522" s="48"/>
      <c r="D522" s="130"/>
      <c r="E522" s="130"/>
      <c r="F522" s="130"/>
      <c r="G522" s="130"/>
      <c r="H522" s="130"/>
      <c r="I522" s="130"/>
    </row>
    <row r="523">
      <c r="A523" s="130"/>
      <c r="B523" s="130"/>
      <c r="C523" s="48"/>
      <c r="D523" s="130"/>
      <c r="E523" s="130"/>
      <c r="F523" s="130"/>
      <c r="G523" s="130"/>
      <c r="H523" s="130"/>
      <c r="I523" s="130"/>
    </row>
    <row r="524">
      <c r="A524" s="130"/>
      <c r="B524" s="130"/>
      <c r="C524" s="48"/>
      <c r="D524" s="130"/>
      <c r="E524" s="130"/>
      <c r="F524" s="130"/>
      <c r="G524" s="130"/>
      <c r="H524" s="130"/>
      <c r="I524" s="130"/>
    </row>
    <row r="525">
      <c r="A525" s="130"/>
      <c r="B525" s="130"/>
      <c r="C525" s="48"/>
      <c r="D525" s="130"/>
      <c r="E525" s="130"/>
      <c r="F525" s="130"/>
      <c r="G525" s="130"/>
      <c r="H525" s="130"/>
      <c r="I525" s="130"/>
    </row>
    <row r="526">
      <c r="A526" s="130"/>
      <c r="B526" s="130"/>
      <c r="C526" s="48"/>
      <c r="D526" s="130"/>
      <c r="E526" s="130"/>
      <c r="F526" s="130"/>
      <c r="G526" s="130"/>
      <c r="H526" s="130"/>
      <c r="I526" s="130"/>
    </row>
    <row r="527">
      <c r="A527" s="130"/>
      <c r="B527" s="130"/>
      <c r="C527" s="48"/>
      <c r="D527" s="130"/>
      <c r="E527" s="130"/>
      <c r="F527" s="130"/>
      <c r="G527" s="130"/>
      <c r="H527" s="130"/>
      <c r="I527" s="130"/>
    </row>
    <row r="528">
      <c r="A528" s="130"/>
      <c r="B528" s="130"/>
      <c r="C528" s="48"/>
      <c r="D528" s="130"/>
      <c r="E528" s="130"/>
      <c r="F528" s="130"/>
      <c r="G528" s="130"/>
      <c r="H528" s="130"/>
      <c r="I528" s="130"/>
    </row>
    <row r="529">
      <c r="A529" s="130"/>
      <c r="B529" s="130"/>
      <c r="C529" s="48"/>
      <c r="D529" s="130"/>
      <c r="E529" s="130"/>
      <c r="F529" s="130"/>
      <c r="G529" s="130"/>
      <c r="H529" s="130"/>
      <c r="I529" s="130"/>
    </row>
    <row r="530">
      <c r="A530" s="130"/>
      <c r="B530" s="130"/>
      <c r="C530" s="48"/>
      <c r="D530" s="130"/>
      <c r="E530" s="130"/>
      <c r="F530" s="130"/>
      <c r="G530" s="130"/>
      <c r="H530" s="130"/>
      <c r="I530" s="130"/>
    </row>
    <row r="531">
      <c r="A531" s="130"/>
      <c r="B531" s="130"/>
      <c r="C531" s="48"/>
      <c r="D531" s="130"/>
      <c r="E531" s="130"/>
      <c r="F531" s="130"/>
      <c r="G531" s="130"/>
      <c r="H531" s="130"/>
      <c r="I531" s="130"/>
    </row>
    <row r="532">
      <c r="A532" s="130"/>
      <c r="B532" s="130"/>
      <c r="C532" s="48"/>
      <c r="D532" s="130"/>
      <c r="E532" s="130"/>
      <c r="F532" s="130"/>
      <c r="G532" s="130"/>
      <c r="H532" s="130"/>
      <c r="I532" s="130"/>
    </row>
    <row r="533">
      <c r="A533" s="130"/>
      <c r="B533" s="130"/>
      <c r="C533" s="48"/>
      <c r="D533" s="130"/>
      <c r="E533" s="130"/>
      <c r="F533" s="130"/>
      <c r="G533" s="130"/>
      <c r="H533" s="130"/>
      <c r="I533" s="130"/>
    </row>
    <row r="534">
      <c r="A534" s="130"/>
      <c r="B534" s="130"/>
      <c r="C534" s="48"/>
      <c r="D534" s="130"/>
      <c r="E534" s="130"/>
      <c r="F534" s="130"/>
      <c r="G534" s="130"/>
      <c r="H534" s="130"/>
      <c r="I534" s="130"/>
    </row>
    <row r="535">
      <c r="A535" s="130"/>
      <c r="B535" s="130"/>
      <c r="C535" s="48"/>
      <c r="D535" s="130"/>
      <c r="E535" s="130"/>
      <c r="F535" s="130"/>
      <c r="G535" s="130"/>
      <c r="H535" s="130"/>
      <c r="I535" s="130"/>
    </row>
    <row r="536">
      <c r="A536" s="130"/>
      <c r="B536" s="130"/>
      <c r="C536" s="48"/>
      <c r="D536" s="130"/>
      <c r="E536" s="130"/>
      <c r="F536" s="130"/>
      <c r="G536" s="130"/>
      <c r="H536" s="130"/>
      <c r="I536" s="130"/>
    </row>
    <row r="537">
      <c r="A537" s="130"/>
      <c r="B537" s="130"/>
      <c r="C537" s="48"/>
      <c r="D537" s="130"/>
      <c r="E537" s="130"/>
      <c r="F537" s="130"/>
      <c r="G537" s="130"/>
      <c r="H537" s="130"/>
      <c r="I537" s="130"/>
    </row>
    <row r="538">
      <c r="A538" s="130"/>
      <c r="B538" s="130"/>
      <c r="C538" s="48"/>
      <c r="D538" s="130"/>
      <c r="E538" s="130"/>
      <c r="F538" s="130"/>
      <c r="G538" s="130"/>
      <c r="H538" s="130"/>
      <c r="I538" s="130"/>
    </row>
    <row r="539">
      <c r="A539" s="130"/>
      <c r="B539" s="130"/>
      <c r="C539" s="48"/>
      <c r="D539" s="130"/>
      <c r="E539" s="130"/>
      <c r="F539" s="130"/>
      <c r="G539" s="130"/>
      <c r="H539" s="130"/>
      <c r="I539" s="130"/>
    </row>
    <row r="540">
      <c r="A540" s="130"/>
      <c r="B540" s="130"/>
      <c r="C540" s="48"/>
      <c r="D540" s="130"/>
      <c r="E540" s="130"/>
      <c r="F540" s="130"/>
      <c r="G540" s="130"/>
      <c r="H540" s="130"/>
      <c r="I540" s="130"/>
    </row>
    <row r="541">
      <c r="A541" s="130"/>
      <c r="B541" s="130"/>
      <c r="C541" s="48"/>
      <c r="D541" s="130"/>
      <c r="E541" s="130"/>
      <c r="F541" s="130"/>
      <c r="G541" s="130"/>
      <c r="H541" s="130"/>
      <c r="I541" s="130"/>
    </row>
    <row r="542">
      <c r="A542" s="130"/>
      <c r="B542" s="130"/>
      <c r="C542" s="48"/>
      <c r="D542" s="130"/>
      <c r="E542" s="130"/>
      <c r="F542" s="130"/>
      <c r="G542" s="130"/>
      <c r="H542" s="130"/>
      <c r="I542" s="130"/>
    </row>
    <row r="543">
      <c r="A543" s="130"/>
      <c r="B543" s="130"/>
      <c r="C543" s="48"/>
      <c r="D543" s="130"/>
      <c r="E543" s="130"/>
      <c r="F543" s="130"/>
      <c r="G543" s="130"/>
      <c r="H543" s="130"/>
      <c r="I543" s="130"/>
    </row>
    <row r="544">
      <c r="A544" s="130"/>
      <c r="B544" s="130"/>
      <c r="C544" s="48"/>
      <c r="D544" s="130"/>
      <c r="E544" s="130"/>
      <c r="F544" s="130"/>
      <c r="G544" s="130"/>
      <c r="H544" s="130"/>
      <c r="I544" s="130"/>
    </row>
    <row r="545">
      <c r="A545" s="130"/>
      <c r="B545" s="130"/>
      <c r="C545" s="48"/>
      <c r="D545" s="130"/>
      <c r="E545" s="130"/>
      <c r="F545" s="130"/>
      <c r="G545" s="130"/>
      <c r="H545" s="130"/>
      <c r="I545" s="130"/>
    </row>
    <row r="546">
      <c r="A546" s="130"/>
      <c r="B546" s="130"/>
      <c r="C546" s="48"/>
      <c r="D546" s="130"/>
      <c r="E546" s="130"/>
      <c r="F546" s="130"/>
      <c r="G546" s="130"/>
      <c r="H546" s="130"/>
      <c r="I546" s="130"/>
    </row>
    <row r="547">
      <c r="A547" s="130"/>
      <c r="B547" s="130"/>
      <c r="C547" s="48"/>
      <c r="D547" s="130"/>
      <c r="E547" s="130"/>
      <c r="F547" s="130"/>
      <c r="G547" s="130"/>
      <c r="H547" s="130"/>
      <c r="I547" s="130"/>
    </row>
    <row r="548">
      <c r="A548" s="130"/>
      <c r="B548" s="130"/>
      <c r="C548" s="48"/>
      <c r="D548" s="130"/>
      <c r="E548" s="130"/>
      <c r="F548" s="130"/>
      <c r="G548" s="130"/>
      <c r="H548" s="130"/>
      <c r="I548" s="130"/>
    </row>
    <row r="549">
      <c r="A549" s="130"/>
      <c r="B549" s="130"/>
      <c r="C549" s="48"/>
      <c r="D549" s="130"/>
      <c r="E549" s="130"/>
      <c r="F549" s="130"/>
      <c r="G549" s="130"/>
      <c r="H549" s="130"/>
      <c r="I549" s="130"/>
    </row>
    <row r="550">
      <c r="A550" s="130"/>
      <c r="B550" s="130"/>
      <c r="C550" s="48"/>
      <c r="D550" s="130"/>
      <c r="E550" s="130"/>
      <c r="F550" s="130"/>
      <c r="G550" s="130"/>
      <c r="H550" s="130"/>
      <c r="I550" s="130"/>
    </row>
    <row r="551">
      <c r="A551" s="130"/>
      <c r="B551" s="130"/>
      <c r="C551" s="48"/>
      <c r="D551" s="130"/>
      <c r="E551" s="130"/>
      <c r="F551" s="130"/>
      <c r="G551" s="130"/>
      <c r="H551" s="130"/>
      <c r="I551" s="130"/>
    </row>
    <row r="552">
      <c r="A552" s="130"/>
      <c r="B552" s="130"/>
      <c r="C552" s="48"/>
      <c r="D552" s="130"/>
      <c r="E552" s="130"/>
      <c r="F552" s="130"/>
      <c r="G552" s="130"/>
      <c r="H552" s="130"/>
      <c r="I552" s="130"/>
    </row>
    <row r="553">
      <c r="A553" s="130"/>
      <c r="B553" s="130"/>
      <c r="C553" s="48"/>
      <c r="D553" s="130"/>
      <c r="E553" s="130"/>
      <c r="F553" s="130"/>
      <c r="G553" s="130"/>
      <c r="H553" s="130"/>
      <c r="I553" s="130"/>
    </row>
    <row r="554">
      <c r="A554" s="130"/>
      <c r="B554" s="130"/>
      <c r="C554" s="48"/>
      <c r="D554" s="130"/>
      <c r="E554" s="130"/>
      <c r="F554" s="130"/>
      <c r="G554" s="130"/>
      <c r="H554" s="130"/>
      <c r="I554" s="130"/>
    </row>
    <row r="555">
      <c r="A555" s="130"/>
      <c r="B555" s="130"/>
      <c r="C555" s="48"/>
      <c r="D555" s="130"/>
      <c r="E555" s="130"/>
      <c r="F555" s="130"/>
      <c r="G555" s="130"/>
      <c r="H555" s="130"/>
      <c r="I555" s="130"/>
    </row>
    <row r="556">
      <c r="A556" s="130"/>
      <c r="B556" s="130"/>
      <c r="C556" s="48"/>
      <c r="D556" s="130"/>
      <c r="E556" s="130"/>
      <c r="F556" s="130"/>
      <c r="G556" s="130"/>
      <c r="H556" s="130"/>
      <c r="I556" s="130"/>
    </row>
    <row r="557">
      <c r="A557" s="130"/>
      <c r="B557" s="130"/>
      <c r="C557" s="48"/>
      <c r="D557" s="130"/>
      <c r="E557" s="130"/>
      <c r="F557" s="130"/>
      <c r="G557" s="130"/>
      <c r="H557" s="130"/>
      <c r="I557" s="130"/>
    </row>
    <row r="558">
      <c r="A558" s="130"/>
      <c r="B558" s="130"/>
      <c r="C558" s="48"/>
      <c r="D558" s="130"/>
      <c r="E558" s="130"/>
      <c r="F558" s="130"/>
      <c r="G558" s="130"/>
      <c r="H558" s="130"/>
      <c r="I558" s="130"/>
    </row>
    <row r="559">
      <c r="A559" s="130"/>
      <c r="B559" s="130"/>
      <c r="C559" s="48"/>
      <c r="D559" s="130"/>
      <c r="E559" s="130"/>
      <c r="F559" s="130"/>
      <c r="G559" s="130"/>
      <c r="H559" s="130"/>
      <c r="I559" s="130"/>
    </row>
    <row r="560">
      <c r="A560" s="130"/>
      <c r="B560" s="130"/>
      <c r="C560" s="48"/>
      <c r="D560" s="130"/>
      <c r="E560" s="130"/>
      <c r="F560" s="130"/>
      <c r="G560" s="130"/>
      <c r="H560" s="130"/>
      <c r="I560" s="130"/>
    </row>
    <row r="561">
      <c r="A561" s="130"/>
      <c r="B561" s="130"/>
      <c r="C561" s="48"/>
      <c r="D561" s="130"/>
      <c r="E561" s="130"/>
      <c r="F561" s="130"/>
      <c r="G561" s="130"/>
      <c r="H561" s="130"/>
      <c r="I561" s="130"/>
    </row>
    <row r="562">
      <c r="A562" s="130"/>
      <c r="B562" s="130"/>
      <c r="C562" s="48"/>
      <c r="D562" s="130"/>
      <c r="E562" s="130"/>
      <c r="F562" s="130"/>
      <c r="G562" s="130"/>
      <c r="H562" s="130"/>
      <c r="I562" s="130"/>
    </row>
    <row r="563">
      <c r="A563" s="130"/>
      <c r="B563" s="130"/>
      <c r="C563" s="48"/>
      <c r="D563" s="130"/>
      <c r="E563" s="130"/>
      <c r="F563" s="130"/>
      <c r="G563" s="130"/>
      <c r="H563" s="130"/>
      <c r="I563" s="130"/>
    </row>
    <row r="564">
      <c r="A564" s="130"/>
      <c r="B564" s="130"/>
      <c r="C564" s="48"/>
      <c r="D564" s="130"/>
      <c r="E564" s="130"/>
      <c r="F564" s="130"/>
      <c r="G564" s="130"/>
      <c r="H564" s="130"/>
      <c r="I564" s="130"/>
    </row>
    <row r="565">
      <c r="A565" s="130"/>
      <c r="B565" s="130"/>
      <c r="C565" s="48"/>
      <c r="D565" s="130"/>
      <c r="E565" s="130"/>
      <c r="F565" s="130"/>
      <c r="G565" s="130"/>
      <c r="H565" s="130"/>
      <c r="I565" s="130"/>
    </row>
    <row r="566">
      <c r="A566" s="130"/>
      <c r="B566" s="130"/>
      <c r="C566" s="48"/>
      <c r="D566" s="130"/>
      <c r="E566" s="130"/>
      <c r="F566" s="130"/>
      <c r="G566" s="130"/>
      <c r="H566" s="130"/>
      <c r="I566" s="130"/>
    </row>
    <row r="567">
      <c r="A567" s="130"/>
      <c r="B567" s="130"/>
      <c r="C567" s="48"/>
      <c r="D567" s="130"/>
      <c r="E567" s="130"/>
      <c r="F567" s="130"/>
      <c r="G567" s="130"/>
      <c r="H567" s="130"/>
      <c r="I567" s="130"/>
    </row>
    <row r="568">
      <c r="A568" s="130"/>
      <c r="B568" s="130"/>
      <c r="C568" s="48"/>
      <c r="D568" s="130"/>
      <c r="E568" s="130"/>
      <c r="F568" s="130"/>
      <c r="G568" s="130"/>
      <c r="H568" s="130"/>
      <c r="I568" s="130"/>
    </row>
    <row r="569">
      <c r="A569" s="130"/>
      <c r="B569" s="130"/>
      <c r="C569" s="48"/>
      <c r="D569" s="130"/>
      <c r="E569" s="130"/>
      <c r="F569" s="130"/>
      <c r="G569" s="130"/>
      <c r="H569" s="130"/>
      <c r="I569" s="130"/>
    </row>
    <row r="570">
      <c r="A570" s="130"/>
      <c r="B570" s="130"/>
      <c r="C570" s="48"/>
      <c r="D570" s="130"/>
      <c r="E570" s="130"/>
      <c r="F570" s="130"/>
      <c r="G570" s="130"/>
      <c r="H570" s="130"/>
      <c r="I570" s="130"/>
    </row>
    <row r="571">
      <c r="A571" s="130"/>
      <c r="B571" s="130"/>
      <c r="C571" s="48"/>
      <c r="D571" s="130"/>
      <c r="E571" s="130"/>
      <c r="F571" s="130"/>
      <c r="G571" s="130"/>
      <c r="H571" s="130"/>
      <c r="I571" s="130"/>
    </row>
    <row r="572">
      <c r="A572" s="130"/>
      <c r="B572" s="130"/>
      <c r="C572" s="48"/>
      <c r="D572" s="130"/>
      <c r="E572" s="130"/>
      <c r="F572" s="130"/>
      <c r="G572" s="130"/>
      <c r="H572" s="130"/>
      <c r="I572" s="130"/>
    </row>
    <row r="573">
      <c r="A573" s="130"/>
      <c r="B573" s="130"/>
      <c r="C573" s="48"/>
      <c r="D573" s="130"/>
      <c r="E573" s="130"/>
      <c r="F573" s="130"/>
      <c r="G573" s="130"/>
      <c r="H573" s="130"/>
      <c r="I573" s="130"/>
    </row>
    <row r="574">
      <c r="A574" s="130"/>
      <c r="B574" s="130"/>
      <c r="C574" s="48"/>
      <c r="D574" s="130"/>
      <c r="E574" s="130"/>
      <c r="F574" s="130"/>
      <c r="G574" s="130"/>
      <c r="H574" s="130"/>
      <c r="I574" s="130"/>
    </row>
    <row r="575">
      <c r="A575" s="130"/>
      <c r="B575" s="130"/>
      <c r="C575" s="48"/>
      <c r="D575" s="130"/>
      <c r="E575" s="130"/>
      <c r="F575" s="130"/>
      <c r="G575" s="130"/>
      <c r="H575" s="130"/>
      <c r="I575" s="130"/>
    </row>
    <row r="576">
      <c r="A576" s="130"/>
      <c r="B576" s="130"/>
      <c r="C576" s="48"/>
      <c r="D576" s="130"/>
      <c r="E576" s="130"/>
      <c r="F576" s="130"/>
      <c r="G576" s="130"/>
      <c r="H576" s="130"/>
      <c r="I576" s="130"/>
    </row>
    <row r="577">
      <c r="A577" s="130"/>
      <c r="B577" s="130"/>
      <c r="C577" s="48"/>
      <c r="D577" s="130"/>
      <c r="E577" s="130"/>
      <c r="F577" s="130"/>
      <c r="G577" s="130"/>
      <c r="H577" s="130"/>
      <c r="I577" s="130"/>
    </row>
    <row r="578">
      <c r="A578" s="130"/>
      <c r="B578" s="130"/>
      <c r="C578" s="48"/>
      <c r="D578" s="130"/>
      <c r="E578" s="130"/>
      <c r="F578" s="130"/>
      <c r="G578" s="130"/>
      <c r="H578" s="130"/>
      <c r="I578" s="130"/>
    </row>
    <row r="579">
      <c r="A579" s="130"/>
      <c r="B579" s="130"/>
      <c r="C579" s="48"/>
      <c r="D579" s="130"/>
      <c r="E579" s="130"/>
      <c r="F579" s="130"/>
      <c r="G579" s="130"/>
      <c r="H579" s="130"/>
      <c r="I579" s="130"/>
    </row>
    <row r="580">
      <c r="A580" s="130"/>
      <c r="B580" s="130"/>
      <c r="C580" s="48"/>
      <c r="D580" s="130"/>
      <c r="E580" s="130"/>
      <c r="F580" s="130"/>
      <c r="G580" s="130"/>
      <c r="H580" s="130"/>
      <c r="I580" s="130"/>
    </row>
    <row r="581">
      <c r="A581" s="130"/>
      <c r="B581" s="130"/>
      <c r="C581" s="48"/>
      <c r="D581" s="130"/>
      <c r="E581" s="130"/>
      <c r="F581" s="130"/>
      <c r="G581" s="130"/>
      <c r="H581" s="130"/>
      <c r="I581" s="130"/>
    </row>
    <row r="582">
      <c r="A582" s="130"/>
      <c r="B582" s="130"/>
      <c r="C582" s="48"/>
      <c r="D582" s="130"/>
      <c r="E582" s="130"/>
      <c r="F582" s="130"/>
      <c r="G582" s="130"/>
      <c r="H582" s="130"/>
      <c r="I582" s="130"/>
    </row>
    <row r="583">
      <c r="A583" s="130"/>
      <c r="B583" s="130"/>
      <c r="C583" s="48"/>
      <c r="D583" s="130"/>
      <c r="E583" s="130"/>
      <c r="F583" s="130"/>
      <c r="G583" s="130"/>
      <c r="H583" s="130"/>
      <c r="I583" s="130"/>
    </row>
    <row r="584">
      <c r="A584" s="130"/>
      <c r="B584" s="130"/>
      <c r="C584" s="48"/>
      <c r="D584" s="130"/>
      <c r="E584" s="130"/>
      <c r="F584" s="130"/>
      <c r="G584" s="130"/>
      <c r="H584" s="130"/>
      <c r="I584" s="130"/>
    </row>
    <row r="585">
      <c r="A585" s="130"/>
      <c r="B585" s="130"/>
      <c r="C585" s="48"/>
      <c r="D585" s="130"/>
      <c r="E585" s="130"/>
      <c r="F585" s="130"/>
      <c r="G585" s="130"/>
      <c r="H585" s="130"/>
      <c r="I585" s="130"/>
    </row>
    <row r="586">
      <c r="A586" s="130"/>
      <c r="B586" s="130"/>
      <c r="C586" s="48"/>
      <c r="D586" s="130"/>
      <c r="E586" s="130"/>
      <c r="F586" s="130"/>
      <c r="G586" s="130"/>
      <c r="H586" s="130"/>
      <c r="I586" s="130"/>
    </row>
    <row r="587">
      <c r="A587" s="130"/>
      <c r="B587" s="130"/>
      <c r="C587" s="48"/>
      <c r="D587" s="130"/>
      <c r="E587" s="130"/>
      <c r="F587" s="130"/>
      <c r="G587" s="130"/>
      <c r="H587" s="130"/>
      <c r="I587" s="130"/>
    </row>
    <row r="588">
      <c r="A588" s="130"/>
      <c r="B588" s="130"/>
      <c r="C588" s="48"/>
      <c r="D588" s="130"/>
      <c r="E588" s="130"/>
      <c r="F588" s="130"/>
      <c r="G588" s="130"/>
      <c r="H588" s="130"/>
      <c r="I588" s="130"/>
    </row>
    <row r="589">
      <c r="A589" s="130"/>
      <c r="B589" s="130"/>
      <c r="C589" s="48"/>
      <c r="D589" s="130"/>
      <c r="E589" s="130"/>
      <c r="F589" s="130"/>
      <c r="G589" s="130"/>
      <c r="H589" s="130"/>
      <c r="I589" s="130"/>
    </row>
    <row r="590">
      <c r="A590" s="130"/>
      <c r="B590" s="130"/>
      <c r="C590" s="48"/>
      <c r="D590" s="130"/>
      <c r="E590" s="130"/>
      <c r="F590" s="130"/>
      <c r="G590" s="130"/>
      <c r="H590" s="130"/>
      <c r="I590" s="130"/>
    </row>
    <row r="591">
      <c r="A591" s="130"/>
      <c r="B591" s="130"/>
      <c r="C591" s="48"/>
      <c r="D591" s="130"/>
      <c r="E591" s="130"/>
      <c r="F591" s="130"/>
      <c r="G591" s="130"/>
      <c r="H591" s="130"/>
      <c r="I591" s="130"/>
    </row>
    <row r="592">
      <c r="A592" s="130"/>
      <c r="B592" s="130"/>
      <c r="C592" s="48"/>
      <c r="D592" s="130"/>
      <c r="E592" s="130"/>
      <c r="F592" s="130"/>
      <c r="G592" s="130"/>
      <c r="H592" s="130"/>
      <c r="I592" s="130"/>
    </row>
    <row r="593">
      <c r="A593" s="130"/>
      <c r="B593" s="130"/>
      <c r="C593" s="48"/>
      <c r="D593" s="130"/>
      <c r="E593" s="130"/>
      <c r="F593" s="130"/>
      <c r="G593" s="130"/>
      <c r="H593" s="130"/>
      <c r="I593" s="130"/>
    </row>
    <row r="594">
      <c r="A594" s="130"/>
      <c r="B594" s="130"/>
      <c r="C594" s="48"/>
      <c r="D594" s="130"/>
      <c r="E594" s="130"/>
      <c r="F594" s="130"/>
      <c r="G594" s="130"/>
      <c r="H594" s="130"/>
      <c r="I594" s="130"/>
    </row>
    <row r="595">
      <c r="A595" s="130"/>
      <c r="B595" s="130"/>
      <c r="C595" s="48"/>
      <c r="D595" s="130"/>
      <c r="E595" s="130"/>
      <c r="F595" s="130"/>
      <c r="G595" s="130"/>
      <c r="H595" s="130"/>
      <c r="I595" s="130"/>
    </row>
    <row r="596">
      <c r="A596" s="130"/>
      <c r="B596" s="130"/>
      <c r="C596" s="48"/>
      <c r="D596" s="130"/>
      <c r="E596" s="130"/>
      <c r="F596" s="130"/>
      <c r="G596" s="130"/>
      <c r="H596" s="130"/>
      <c r="I596" s="130"/>
    </row>
    <row r="597">
      <c r="A597" s="130"/>
      <c r="B597" s="130"/>
      <c r="C597" s="48"/>
      <c r="D597" s="130"/>
      <c r="E597" s="130"/>
      <c r="F597" s="130"/>
      <c r="G597" s="130"/>
      <c r="H597" s="130"/>
      <c r="I597" s="130"/>
    </row>
    <row r="598">
      <c r="A598" s="130"/>
      <c r="B598" s="130"/>
      <c r="C598" s="48"/>
      <c r="D598" s="130"/>
      <c r="E598" s="130"/>
      <c r="F598" s="130"/>
      <c r="G598" s="130"/>
      <c r="H598" s="130"/>
      <c r="I598" s="130"/>
    </row>
    <row r="599">
      <c r="A599" s="130"/>
      <c r="B599" s="130"/>
      <c r="C599" s="48"/>
      <c r="D599" s="130"/>
      <c r="E599" s="130"/>
      <c r="F599" s="130"/>
      <c r="G599" s="130"/>
      <c r="H599" s="130"/>
      <c r="I599" s="130"/>
    </row>
    <row r="600">
      <c r="A600" s="130"/>
      <c r="B600" s="130"/>
      <c r="C600" s="48"/>
      <c r="D600" s="130"/>
      <c r="E600" s="130"/>
      <c r="F600" s="130"/>
      <c r="G600" s="130"/>
      <c r="H600" s="130"/>
      <c r="I600" s="130"/>
    </row>
    <row r="601">
      <c r="A601" s="130"/>
      <c r="B601" s="130"/>
      <c r="C601" s="48"/>
      <c r="D601" s="130"/>
      <c r="E601" s="130"/>
      <c r="F601" s="130"/>
      <c r="G601" s="130"/>
      <c r="H601" s="130"/>
      <c r="I601" s="130"/>
    </row>
    <row r="602">
      <c r="A602" s="130"/>
      <c r="B602" s="130"/>
      <c r="C602" s="48"/>
      <c r="D602" s="130"/>
      <c r="E602" s="130"/>
      <c r="F602" s="130"/>
      <c r="G602" s="130"/>
      <c r="H602" s="130"/>
      <c r="I602" s="130"/>
    </row>
    <row r="603">
      <c r="A603" s="130"/>
      <c r="B603" s="130"/>
      <c r="C603" s="48"/>
      <c r="D603" s="130"/>
      <c r="E603" s="130"/>
      <c r="F603" s="130"/>
      <c r="G603" s="130"/>
      <c r="H603" s="130"/>
      <c r="I603" s="130"/>
    </row>
    <row r="604">
      <c r="A604" s="130"/>
      <c r="B604" s="130"/>
      <c r="C604" s="48"/>
      <c r="D604" s="130"/>
      <c r="E604" s="130"/>
      <c r="F604" s="130"/>
      <c r="G604" s="130"/>
      <c r="H604" s="130"/>
      <c r="I604" s="130"/>
    </row>
    <row r="605">
      <c r="A605" s="130"/>
      <c r="B605" s="130"/>
      <c r="C605" s="48"/>
      <c r="D605" s="130"/>
      <c r="E605" s="130"/>
      <c r="F605" s="130"/>
      <c r="G605" s="130"/>
      <c r="H605" s="130"/>
      <c r="I605" s="130"/>
    </row>
    <row r="606">
      <c r="A606" s="130"/>
      <c r="B606" s="130"/>
      <c r="C606" s="48"/>
      <c r="D606" s="130"/>
      <c r="E606" s="130"/>
      <c r="F606" s="130"/>
      <c r="G606" s="130"/>
      <c r="H606" s="130"/>
      <c r="I606" s="130"/>
    </row>
    <row r="607">
      <c r="A607" s="130"/>
      <c r="B607" s="130"/>
      <c r="C607" s="48"/>
      <c r="D607" s="130"/>
      <c r="E607" s="130"/>
      <c r="F607" s="130"/>
      <c r="G607" s="130"/>
      <c r="H607" s="130"/>
      <c r="I607" s="130"/>
    </row>
    <row r="608">
      <c r="A608" s="130"/>
      <c r="B608" s="130"/>
      <c r="C608" s="48"/>
      <c r="D608" s="130"/>
      <c r="E608" s="130"/>
      <c r="F608" s="130"/>
      <c r="G608" s="130"/>
      <c r="H608" s="130"/>
      <c r="I608" s="130"/>
    </row>
    <row r="609">
      <c r="A609" s="130"/>
      <c r="B609" s="130"/>
      <c r="C609" s="48"/>
      <c r="D609" s="130"/>
      <c r="E609" s="130"/>
      <c r="F609" s="130"/>
      <c r="G609" s="130"/>
      <c r="H609" s="130"/>
      <c r="I609" s="130"/>
    </row>
    <row r="610">
      <c r="A610" s="130"/>
      <c r="B610" s="130"/>
      <c r="C610" s="48"/>
      <c r="D610" s="130"/>
      <c r="E610" s="130"/>
      <c r="F610" s="130"/>
      <c r="G610" s="130"/>
      <c r="H610" s="130"/>
      <c r="I610" s="130"/>
    </row>
    <row r="611">
      <c r="A611" s="130"/>
      <c r="B611" s="130"/>
      <c r="C611" s="48"/>
      <c r="D611" s="130"/>
      <c r="E611" s="130"/>
      <c r="F611" s="130"/>
      <c r="G611" s="130"/>
      <c r="H611" s="130"/>
      <c r="I611" s="130"/>
    </row>
    <row r="612">
      <c r="A612" s="130"/>
      <c r="B612" s="130"/>
      <c r="C612" s="48"/>
      <c r="D612" s="130"/>
      <c r="E612" s="130"/>
      <c r="F612" s="130"/>
      <c r="G612" s="130"/>
      <c r="H612" s="130"/>
      <c r="I612" s="130"/>
    </row>
    <row r="613">
      <c r="A613" s="130"/>
      <c r="B613" s="130"/>
      <c r="C613" s="48"/>
      <c r="D613" s="130"/>
      <c r="E613" s="130"/>
      <c r="F613" s="130"/>
      <c r="G613" s="130"/>
      <c r="H613" s="130"/>
      <c r="I613" s="130"/>
    </row>
    <row r="614">
      <c r="A614" s="130"/>
      <c r="B614" s="130"/>
      <c r="C614" s="48"/>
      <c r="D614" s="130"/>
      <c r="E614" s="130"/>
      <c r="F614" s="130"/>
      <c r="G614" s="130"/>
      <c r="H614" s="130"/>
      <c r="I614" s="130"/>
    </row>
    <row r="615">
      <c r="A615" s="130"/>
      <c r="B615" s="130"/>
      <c r="C615" s="48"/>
      <c r="D615" s="130"/>
      <c r="E615" s="130"/>
      <c r="F615" s="130"/>
      <c r="G615" s="130"/>
      <c r="H615" s="130"/>
      <c r="I615" s="130"/>
    </row>
    <row r="616">
      <c r="A616" s="130"/>
      <c r="B616" s="130"/>
      <c r="C616" s="48"/>
      <c r="D616" s="130"/>
      <c r="E616" s="130"/>
      <c r="F616" s="130"/>
      <c r="G616" s="130"/>
      <c r="H616" s="130"/>
      <c r="I616" s="130"/>
    </row>
    <row r="617">
      <c r="A617" s="130"/>
      <c r="B617" s="130"/>
      <c r="C617" s="48"/>
      <c r="D617" s="130"/>
      <c r="E617" s="130"/>
      <c r="F617" s="130"/>
      <c r="G617" s="130"/>
      <c r="H617" s="130"/>
      <c r="I617" s="130"/>
    </row>
    <row r="618">
      <c r="A618" s="130"/>
      <c r="B618" s="130"/>
      <c r="C618" s="48"/>
      <c r="D618" s="130"/>
      <c r="E618" s="130"/>
      <c r="F618" s="130"/>
      <c r="G618" s="130"/>
      <c r="H618" s="130"/>
      <c r="I618" s="130"/>
    </row>
    <row r="619">
      <c r="A619" s="130"/>
      <c r="B619" s="130"/>
      <c r="C619" s="48"/>
      <c r="D619" s="130"/>
      <c r="E619" s="130"/>
      <c r="F619" s="130"/>
      <c r="G619" s="130"/>
      <c r="H619" s="130"/>
      <c r="I619" s="130"/>
    </row>
    <row r="620">
      <c r="A620" s="130"/>
      <c r="B620" s="130"/>
      <c r="C620" s="48"/>
      <c r="D620" s="130"/>
      <c r="E620" s="130"/>
      <c r="F620" s="130"/>
      <c r="G620" s="130"/>
      <c r="H620" s="130"/>
      <c r="I620" s="130"/>
    </row>
    <row r="621">
      <c r="A621" s="130"/>
      <c r="B621" s="130"/>
      <c r="C621" s="48"/>
      <c r="D621" s="130"/>
      <c r="E621" s="130"/>
      <c r="F621" s="130"/>
      <c r="G621" s="130"/>
      <c r="H621" s="130"/>
      <c r="I621" s="130"/>
    </row>
    <row r="622">
      <c r="A622" s="130"/>
      <c r="B622" s="130"/>
      <c r="C622" s="48"/>
      <c r="D622" s="130"/>
      <c r="E622" s="130"/>
      <c r="F622" s="130"/>
      <c r="G622" s="130"/>
      <c r="H622" s="130"/>
      <c r="I622" s="130"/>
    </row>
    <row r="623">
      <c r="A623" s="130"/>
      <c r="B623" s="130"/>
      <c r="C623" s="48"/>
      <c r="D623" s="130"/>
      <c r="E623" s="130"/>
      <c r="F623" s="130"/>
      <c r="G623" s="130"/>
      <c r="H623" s="130"/>
      <c r="I623" s="130"/>
    </row>
    <row r="624">
      <c r="A624" s="130"/>
      <c r="B624" s="130"/>
      <c r="C624" s="48"/>
      <c r="D624" s="130"/>
      <c r="E624" s="130"/>
      <c r="F624" s="130"/>
      <c r="G624" s="130"/>
      <c r="H624" s="130"/>
      <c r="I624" s="130"/>
    </row>
    <row r="625">
      <c r="A625" s="130"/>
      <c r="B625" s="130"/>
      <c r="C625" s="48"/>
      <c r="D625" s="130"/>
      <c r="E625" s="130"/>
      <c r="F625" s="130"/>
      <c r="G625" s="130"/>
      <c r="H625" s="130"/>
      <c r="I625" s="130"/>
    </row>
    <row r="626">
      <c r="A626" s="130"/>
      <c r="B626" s="130"/>
      <c r="C626" s="48"/>
      <c r="D626" s="130"/>
      <c r="E626" s="130"/>
      <c r="F626" s="130"/>
      <c r="G626" s="130"/>
      <c r="H626" s="130"/>
      <c r="I626" s="130"/>
    </row>
    <row r="627">
      <c r="A627" s="130"/>
      <c r="B627" s="130"/>
      <c r="C627" s="48"/>
      <c r="D627" s="130"/>
      <c r="E627" s="130"/>
      <c r="F627" s="130"/>
      <c r="G627" s="130"/>
      <c r="H627" s="130"/>
      <c r="I627" s="130"/>
    </row>
    <row r="628">
      <c r="A628" s="130"/>
      <c r="B628" s="130"/>
      <c r="C628" s="48"/>
      <c r="D628" s="130"/>
      <c r="E628" s="130"/>
      <c r="F628" s="130"/>
      <c r="G628" s="130"/>
      <c r="H628" s="130"/>
      <c r="I628" s="130"/>
    </row>
    <row r="629">
      <c r="A629" s="130"/>
      <c r="B629" s="130"/>
      <c r="C629" s="48"/>
      <c r="D629" s="130"/>
      <c r="E629" s="130"/>
      <c r="F629" s="130"/>
      <c r="G629" s="130"/>
      <c r="H629" s="130"/>
      <c r="I629" s="130"/>
    </row>
    <row r="630">
      <c r="A630" s="130"/>
      <c r="B630" s="130"/>
      <c r="C630" s="48"/>
      <c r="D630" s="130"/>
      <c r="E630" s="130"/>
      <c r="F630" s="130"/>
      <c r="G630" s="130"/>
      <c r="H630" s="130"/>
      <c r="I630" s="130"/>
    </row>
    <row r="631">
      <c r="A631" s="130"/>
      <c r="B631" s="130"/>
      <c r="C631" s="48"/>
      <c r="D631" s="130"/>
      <c r="E631" s="130"/>
      <c r="F631" s="130"/>
      <c r="G631" s="130"/>
      <c r="H631" s="130"/>
      <c r="I631" s="130"/>
    </row>
    <row r="632">
      <c r="A632" s="130"/>
      <c r="B632" s="130"/>
      <c r="C632" s="48"/>
      <c r="D632" s="130"/>
      <c r="E632" s="130"/>
      <c r="F632" s="130"/>
      <c r="G632" s="130"/>
      <c r="H632" s="130"/>
      <c r="I632" s="130"/>
    </row>
    <row r="633">
      <c r="A633" s="130"/>
      <c r="B633" s="130"/>
      <c r="C633" s="48"/>
      <c r="D633" s="130"/>
      <c r="E633" s="130"/>
      <c r="F633" s="130"/>
      <c r="G633" s="130"/>
      <c r="H633" s="130"/>
      <c r="I633" s="130"/>
    </row>
    <row r="634">
      <c r="A634" s="130"/>
      <c r="B634" s="130"/>
      <c r="C634" s="48"/>
      <c r="D634" s="130"/>
      <c r="E634" s="130"/>
      <c r="F634" s="130"/>
      <c r="G634" s="130"/>
      <c r="H634" s="130"/>
      <c r="I634" s="130"/>
    </row>
    <row r="635">
      <c r="A635" s="130"/>
      <c r="B635" s="130"/>
      <c r="C635" s="48"/>
      <c r="D635" s="130"/>
      <c r="E635" s="130"/>
      <c r="F635" s="130"/>
      <c r="G635" s="130"/>
      <c r="H635" s="130"/>
      <c r="I635" s="130"/>
    </row>
    <row r="636">
      <c r="A636" s="130"/>
      <c r="B636" s="130"/>
      <c r="C636" s="48"/>
      <c r="D636" s="130"/>
      <c r="E636" s="130"/>
      <c r="F636" s="130"/>
      <c r="G636" s="130"/>
      <c r="H636" s="130"/>
      <c r="I636" s="130"/>
    </row>
    <row r="637">
      <c r="A637" s="130"/>
      <c r="B637" s="130"/>
      <c r="C637" s="48"/>
      <c r="D637" s="130"/>
      <c r="E637" s="130"/>
      <c r="F637" s="130"/>
      <c r="G637" s="130"/>
      <c r="H637" s="130"/>
      <c r="I637" s="130"/>
    </row>
    <row r="638">
      <c r="A638" s="130"/>
      <c r="B638" s="130"/>
      <c r="C638" s="48"/>
      <c r="D638" s="130"/>
      <c r="E638" s="130"/>
      <c r="F638" s="130"/>
      <c r="G638" s="130"/>
      <c r="H638" s="130"/>
      <c r="I638" s="130"/>
    </row>
    <row r="639">
      <c r="A639" s="130"/>
      <c r="B639" s="130"/>
      <c r="C639" s="48"/>
      <c r="D639" s="130"/>
      <c r="E639" s="130"/>
      <c r="F639" s="130"/>
      <c r="G639" s="130"/>
      <c r="H639" s="130"/>
      <c r="I639" s="130"/>
    </row>
    <row r="640">
      <c r="A640" s="130"/>
      <c r="B640" s="130"/>
      <c r="C640" s="48"/>
      <c r="D640" s="130"/>
      <c r="E640" s="130"/>
      <c r="F640" s="130"/>
      <c r="G640" s="130"/>
      <c r="H640" s="130"/>
      <c r="I640" s="130"/>
    </row>
    <row r="641">
      <c r="A641" s="130"/>
      <c r="B641" s="130"/>
      <c r="C641" s="48"/>
      <c r="D641" s="130"/>
      <c r="E641" s="130"/>
      <c r="F641" s="130"/>
      <c r="G641" s="130"/>
      <c r="H641" s="130"/>
      <c r="I641" s="130"/>
    </row>
    <row r="642">
      <c r="A642" s="130"/>
      <c r="B642" s="130"/>
      <c r="C642" s="48"/>
      <c r="D642" s="130"/>
      <c r="E642" s="130"/>
      <c r="F642" s="130"/>
      <c r="G642" s="130"/>
      <c r="H642" s="130"/>
      <c r="I642" s="130"/>
    </row>
    <row r="643">
      <c r="A643" s="130"/>
      <c r="B643" s="130"/>
      <c r="C643" s="48"/>
      <c r="D643" s="130"/>
      <c r="E643" s="130"/>
      <c r="F643" s="130"/>
      <c r="G643" s="130"/>
      <c r="H643" s="130"/>
      <c r="I643" s="130"/>
    </row>
    <row r="644">
      <c r="A644" s="130"/>
      <c r="B644" s="130"/>
      <c r="C644" s="48"/>
      <c r="D644" s="130"/>
      <c r="E644" s="130"/>
      <c r="F644" s="130"/>
      <c r="G644" s="130"/>
      <c r="H644" s="130"/>
      <c r="I644" s="130"/>
    </row>
    <row r="645">
      <c r="A645" s="130"/>
      <c r="B645" s="130"/>
      <c r="C645" s="48"/>
      <c r="D645" s="130"/>
      <c r="E645" s="130"/>
      <c r="F645" s="130"/>
      <c r="G645" s="130"/>
      <c r="H645" s="130"/>
      <c r="I645" s="130"/>
    </row>
    <row r="646">
      <c r="A646" s="130"/>
      <c r="B646" s="130"/>
      <c r="C646" s="48"/>
      <c r="D646" s="130"/>
      <c r="E646" s="130"/>
      <c r="F646" s="130"/>
      <c r="G646" s="130"/>
      <c r="H646" s="130"/>
      <c r="I646" s="130"/>
    </row>
    <row r="647">
      <c r="A647" s="130"/>
      <c r="B647" s="130"/>
      <c r="C647" s="48"/>
      <c r="D647" s="130"/>
      <c r="E647" s="130"/>
      <c r="F647" s="130"/>
      <c r="G647" s="130"/>
      <c r="H647" s="130"/>
      <c r="I647" s="130"/>
    </row>
    <row r="648">
      <c r="A648" s="130"/>
      <c r="B648" s="130"/>
      <c r="C648" s="48"/>
      <c r="D648" s="130"/>
      <c r="E648" s="130"/>
      <c r="F648" s="130"/>
      <c r="G648" s="130"/>
      <c r="H648" s="130"/>
      <c r="I648" s="130"/>
    </row>
    <row r="649">
      <c r="A649" s="130"/>
      <c r="B649" s="130"/>
      <c r="C649" s="48"/>
      <c r="D649" s="130"/>
      <c r="E649" s="130"/>
      <c r="F649" s="130"/>
      <c r="G649" s="130"/>
      <c r="H649" s="130"/>
      <c r="I649" s="130"/>
    </row>
    <row r="650">
      <c r="A650" s="130"/>
      <c r="B650" s="130"/>
      <c r="C650" s="48"/>
      <c r="D650" s="130"/>
      <c r="E650" s="130"/>
      <c r="F650" s="130"/>
      <c r="G650" s="130"/>
      <c r="H650" s="130"/>
      <c r="I650" s="130"/>
    </row>
    <row r="651">
      <c r="A651" s="130"/>
      <c r="B651" s="130"/>
      <c r="C651" s="48"/>
      <c r="D651" s="130"/>
      <c r="E651" s="130"/>
      <c r="F651" s="130"/>
      <c r="G651" s="130"/>
      <c r="H651" s="130"/>
      <c r="I651" s="130"/>
    </row>
    <row r="652">
      <c r="A652" s="130"/>
      <c r="B652" s="130"/>
      <c r="C652" s="48"/>
      <c r="D652" s="130"/>
      <c r="E652" s="130"/>
      <c r="F652" s="130"/>
      <c r="G652" s="130"/>
      <c r="H652" s="130"/>
      <c r="I652" s="130"/>
    </row>
    <row r="653">
      <c r="A653" s="130"/>
      <c r="B653" s="130"/>
      <c r="C653" s="48"/>
      <c r="D653" s="130"/>
      <c r="E653" s="130"/>
      <c r="F653" s="130"/>
      <c r="G653" s="130"/>
      <c r="H653" s="130"/>
      <c r="I653" s="130"/>
    </row>
    <row r="654">
      <c r="A654" s="130"/>
      <c r="B654" s="130"/>
      <c r="C654" s="48"/>
      <c r="D654" s="130"/>
      <c r="E654" s="130"/>
      <c r="F654" s="130"/>
      <c r="G654" s="130"/>
      <c r="H654" s="130"/>
      <c r="I654" s="130"/>
    </row>
    <row r="655">
      <c r="A655" s="130"/>
      <c r="B655" s="130"/>
      <c r="C655" s="48"/>
      <c r="D655" s="130"/>
      <c r="E655" s="130"/>
      <c r="F655" s="130"/>
      <c r="G655" s="130"/>
      <c r="H655" s="130"/>
      <c r="I655" s="130"/>
    </row>
    <row r="656">
      <c r="A656" s="130"/>
      <c r="B656" s="130"/>
      <c r="C656" s="48"/>
      <c r="D656" s="130"/>
      <c r="E656" s="130"/>
      <c r="F656" s="130"/>
      <c r="G656" s="130"/>
      <c r="H656" s="130"/>
      <c r="I656" s="130"/>
    </row>
    <row r="657">
      <c r="A657" s="130"/>
      <c r="B657" s="130"/>
      <c r="C657" s="48"/>
      <c r="D657" s="130"/>
      <c r="E657" s="130"/>
      <c r="F657" s="130"/>
      <c r="G657" s="130"/>
      <c r="H657" s="130"/>
      <c r="I657" s="130"/>
    </row>
    <row r="658">
      <c r="A658" s="130"/>
      <c r="B658" s="130"/>
      <c r="C658" s="48"/>
      <c r="D658" s="130"/>
      <c r="E658" s="130"/>
      <c r="F658" s="130"/>
      <c r="G658" s="130"/>
      <c r="H658" s="130"/>
      <c r="I658" s="130"/>
    </row>
    <row r="659">
      <c r="A659" s="130"/>
      <c r="B659" s="130"/>
      <c r="C659" s="48"/>
      <c r="D659" s="130"/>
      <c r="E659" s="130"/>
      <c r="F659" s="130"/>
      <c r="G659" s="130"/>
      <c r="H659" s="130"/>
      <c r="I659" s="130"/>
    </row>
    <row r="660">
      <c r="A660" s="130"/>
      <c r="B660" s="130"/>
      <c r="C660" s="48"/>
      <c r="D660" s="130"/>
      <c r="E660" s="130"/>
      <c r="F660" s="130"/>
      <c r="G660" s="130"/>
      <c r="H660" s="130"/>
      <c r="I660" s="130"/>
    </row>
    <row r="661">
      <c r="A661" s="130"/>
      <c r="B661" s="130"/>
      <c r="C661" s="48"/>
      <c r="D661" s="130"/>
      <c r="E661" s="130"/>
      <c r="F661" s="130"/>
      <c r="G661" s="130"/>
      <c r="H661" s="130"/>
      <c r="I661" s="130"/>
    </row>
    <row r="662">
      <c r="A662" s="130"/>
      <c r="B662" s="130"/>
      <c r="C662" s="48"/>
      <c r="D662" s="130"/>
      <c r="E662" s="130"/>
      <c r="F662" s="130"/>
      <c r="G662" s="130"/>
      <c r="H662" s="130"/>
      <c r="I662" s="130"/>
    </row>
    <row r="663">
      <c r="A663" s="130"/>
      <c r="B663" s="130"/>
      <c r="C663" s="48"/>
      <c r="D663" s="130"/>
      <c r="E663" s="130"/>
      <c r="F663" s="130"/>
      <c r="G663" s="130"/>
      <c r="H663" s="130"/>
      <c r="I663" s="130"/>
    </row>
    <row r="664">
      <c r="A664" s="130"/>
      <c r="B664" s="130"/>
      <c r="C664" s="48"/>
      <c r="D664" s="130"/>
      <c r="E664" s="130"/>
      <c r="F664" s="130"/>
      <c r="G664" s="130"/>
      <c r="H664" s="130"/>
      <c r="I664" s="130"/>
    </row>
    <row r="665">
      <c r="A665" s="130"/>
      <c r="B665" s="130"/>
      <c r="C665" s="48"/>
      <c r="D665" s="130"/>
      <c r="E665" s="130"/>
      <c r="F665" s="130"/>
      <c r="G665" s="130"/>
      <c r="H665" s="130"/>
      <c r="I665" s="130"/>
    </row>
    <row r="666">
      <c r="A666" s="130"/>
      <c r="B666" s="130"/>
      <c r="C666" s="48"/>
      <c r="D666" s="130"/>
      <c r="E666" s="130"/>
      <c r="F666" s="130"/>
      <c r="G666" s="130"/>
      <c r="H666" s="130"/>
      <c r="I666" s="130"/>
    </row>
    <row r="667">
      <c r="A667" s="130"/>
      <c r="B667" s="130"/>
      <c r="C667" s="48"/>
      <c r="D667" s="130"/>
      <c r="E667" s="130"/>
      <c r="F667" s="130"/>
      <c r="G667" s="130"/>
      <c r="H667" s="130"/>
      <c r="I667" s="130"/>
    </row>
    <row r="668">
      <c r="A668" s="130"/>
      <c r="B668" s="130"/>
      <c r="C668" s="48"/>
      <c r="D668" s="130"/>
      <c r="E668" s="130"/>
      <c r="F668" s="130"/>
      <c r="G668" s="130"/>
      <c r="H668" s="130"/>
      <c r="I668" s="130"/>
    </row>
    <row r="669">
      <c r="A669" s="130"/>
      <c r="B669" s="130"/>
      <c r="C669" s="48"/>
      <c r="D669" s="130"/>
      <c r="E669" s="130"/>
      <c r="F669" s="130"/>
      <c r="G669" s="130"/>
      <c r="H669" s="130"/>
      <c r="I669" s="130"/>
    </row>
    <row r="670">
      <c r="A670" s="130"/>
      <c r="B670" s="130"/>
      <c r="C670" s="48"/>
      <c r="D670" s="130"/>
      <c r="E670" s="130"/>
      <c r="F670" s="130"/>
      <c r="G670" s="130"/>
      <c r="H670" s="130"/>
      <c r="I670" s="130"/>
    </row>
    <row r="671">
      <c r="A671" s="130"/>
      <c r="B671" s="130"/>
      <c r="C671" s="48"/>
      <c r="D671" s="130"/>
      <c r="E671" s="130"/>
      <c r="F671" s="130"/>
      <c r="G671" s="130"/>
      <c r="H671" s="130"/>
      <c r="I671" s="130"/>
    </row>
    <row r="672">
      <c r="A672" s="130"/>
      <c r="B672" s="130"/>
      <c r="C672" s="48"/>
      <c r="D672" s="130"/>
      <c r="E672" s="130"/>
      <c r="F672" s="130"/>
      <c r="G672" s="130"/>
      <c r="H672" s="130"/>
      <c r="I672" s="130"/>
    </row>
    <row r="673">
      <c r="A673" s="130"/>
      <c r="B673" s="130"/>
      <c r="C673" s="48"/>
      <c r="D673" s="130"/>
      <c r="E673" s="130"/>
      <c r="F673" s="130"/>
      <c r="G673" s="130"/>
      <c r="H673" s="130"/>
      <c r="I673" s="130"/>
    </row>
    <row r="674">
      <c r="A674" s="130"/>
      <c r="B674" s="130"/>
      <c r="C674" s="48"/>
      <c r="D674" s="130"/>
      <c r="E674" s="130"/>
      <c r="F674" s="130"/>
      <c r="G674" s="130"/>
      <c r="H674" s="130"/>
      <c r="I674" s="130"/>
    </row>
    <row r="675">
      <c r="A675" s="130"/>
      <c r="B675" s="130"/>
      <c r="C675" s="48"/>
      <c r="D675" s="130"/>
      <c r="E675" s="130"/>
      <c r="F675" s="130"/>
      <c r="G675" s="130"/>
      <c r="H675" s="130"/>
      <c r="I675" s="130"/>
    </row>
    <row r="676">
      <c r="A676" s="130"/>
      <c r="B676" s="130"/>
      <c r="C676" s="48"/>
      <c r="D676" s="130"/>
      <c r="E676" s="130"/>
      <c r="F676" s="130"/>
      <c r="G676" s="130"/>
      <c r="H676" s="130"/>
      <c r="I676" s="130"/>
    </row>
    <row r="677">
      <c r="A677" s="130"/>
      <c r="B677" s="130"/>
      <c r="C677" s="48"/>
      <c r="D677" s="130"/>
      <c r="E677" s="130"/>
      <c r="F677" s="130"/>
      <c r="G677" s="130"/>
      <c r="H677" s="130"/>
      <c r="I677" s="130"/>
    </row>
    <row r="678">
      <c r="A678" s="130"/>
      <c r="B678" s="130"/>
      <c r="C678" s="48"/>
      <c r="D678" s="130"/>
      <c r="E678" s="130"/>
      <c r="F678" s="130"/>
      <c r="G678" s="130"/>
      <c r="H678" s="130"/>
      <c r="I678" s="130"/>
    </row>
    <row r="679">
      <c r="A679" s="130"/>
      <c r="B679" s="130"/>
      <c r="C679" s="48"/>
      <c r="D679" s="130"/>
      <c r="E679" s="130"/>
      <c r="F679" s="130"/>
      <c r="G679" s="130"/>
      <c r="H679" s="130"/>
      <c r="I679" s="130"/>
    </row>
    <row r="680">
      <c r="A680" s="130"/>
      <c r="B680" s="130"/>
      <c r="C680" s="48"/>
      <c r="D680" s="130"/>
      <c r="E680" s="130"/>
      <c r="F680" s="130"/>
      <c r="G680" s="130"/>
      <c r="H680" s="130"/>
      <c r="I680" s="130"/>
    </row>
    <row r="681">
      <c r="A681" s="130"/>
      <c r="B681" s="130"/>
      <c r="C681" s="48"/>
      <c r="D681" s="130"/>
      <c r="E681" s="130"/>
      <c r="F681" s="130"/>
      <c r="G681" s="130"/>
      <c r="H681" s="130"/>
      <c r="I681" s="130"/>
    </row>
    <row r="682">
      <c r="A682" s="130"/>
      <c r="B682" s="130"/>
      <c r="C682" s="48"/>
      <c r="D682" s="130"/>
      <c r="E682" s="130"/>
      <c r="F682" s="130"/>
      <c r="G682" s="130"/>
      <c r="H682" s="130"/>
      <c r="I682" s="130"/>
    </row>
    <row r="683">
      <c r="A683" s="130"/>
      <c r="B683" s="130"/>
      <c r="C683" s="48"/>
      <c r="D683" s="130"/>
      <c r="E683" s="130"/>
      <c r="F683" s="130"/>
      <c r="G683" s="130"/>
      <c r="H683" s="130"/>
      <c r="I683" s="130"/>
    </row>
    <row r="684">
      <c r="A684" s="130"/>
      <c r="B684" s="130"/>
      <c r="C684" s="48"/>
      <c r="D684" s="130"/>
      <c r="E684" s="130"/>
      <c r="F684" s="130"/>
      <c r="G684" s="130"/>
      <c r="H684" s="130"/>
      <c r="I684" s="130"/>
    </row>
    <row r="685">
      <c r="A685" s="130"/>
      <c r="B685" s="130"/>
      <c r="C685" s="48"/>
      <c r="D685" s="130"/>
      <c r="E685" s="130"/>
      <c r="F685" s="130"/>
      <c r="G685" s="130"/>
      <c r="H685" s="130"/>
      <c r="I685" s="130"/>
    </row>
    <row r="686">
      <c r="A686" s="130"/>
      <c r="B686" s="130"/>
      <c r="C686" s="48"/>
      <c r="D686" s="130"/>
      <c r="E686" s="130"/>
      <c r="F686" s="130"/>
      <c r="G686" s="130"/>
      <c r="H686" s="130"/>
      <c r="I686" s="130"/>
    </row>
    <row r="687">
      <c r="A687" s="130"/>
      <c r="B687" s="130"/>
      <c r="C687" s="48"/>
      <c r="D687" s="130"/>
      <c r="E687" s="130"/>
      <c r="F687" s="130"/>
      <c r="G687" s="130"/>
      <c r="H687" s="130"/>
      <c r="I687" s="130"/>
    </row>
    <row r="688">
      <c r="A688" s="130"/>
      <c r="B688" s="130"/>
      <c r="C688" s="48"/>
      <c r="D688" s="130"/>
      <c r="E688" s="130"/>
      <c r="F688" s="130"/>
      <c r="G688" s="130"/>
      <c r="H688" s="130"/>
      <c r="I688" s="130"/>
    </row>
    <row r="689">
      <c r="A689" s="130"/>
      <c r="B689" s="130"/>
      <c r="C689" s="48"/>
      <c r="D689" s="130"/>
      <c r="E689" s="130"/>
      <c r="F689" s="130"/>
      <c r="G689" s="130"/>
      <c r="H689" s="130"/>
      <c r="I689" s="130"/>
    </row>
    <row r="690">
      <c r="A690" s="130"/>
      <c r="B690" s="130"/>
      <c r="C690" s="48"/>
      <c r="D690" s="130"/>
      <c r="E690" s="130"/>
      <c r="F690" s="130"/>
      <c r="G690" s="130"/>
      <c r="H690" s="130"/>
      <c r="I690" s="130"/>
    </row>
    <row r="691">
      <c r="A691" s="130"/>
      <c r="B691" s="130"/>
      <c r="C691" s="48"/>
      <c r="D691" s="130"/>
      <c r="E691" s="130"/>
      <c r="F691" s="130"/>
      <c r="G691" s="130"/>
      <c r="H691" s="130"/>
      <c r="I691" s="130"/>
    </row>
    <row r="692">
      <c r="A692" s="130"/>
      <c r="B692" s="130"/>
      <c r="C692" s="48"/>
      <c r="D692" s="130"/>
      <c r="E692" s="130"/>
      <c r="F692" s="130"/>
      <c r="G692" s="130"/>
      <c r="H692" s="130"/>
      <c r="I692" s="130"/>
    </row>
    <row r="693">
      <c r="A693" s="130"/>
      <c r="B693" s="130"/>
      <c r="C693" s="48"/>
      <c r="D693" s="130"/>
      <c r="E693" s="130"/>
      <c r="F693" s="130"/>
      <c r="G693" s="130"/>
      <c r="H693" s="130"/>
      <c r="I693" s="130"/>
    </row>
    <row r="694">
      <c r="A694" s="130"/>
      <c r="B694" s="130"/>
      <c r="C694" s="48"/>
      <c r="D694" s="130"/>
      <c r="E694" s="130"/>
      <c r="F694" s="130"/>
      <c r="G694" s="130"/>
      <c r="H694" s="130"/>
      <c r="I694" s="130"/>
    </row>
    <row r="695">
      <c r="A695" s="130"/>
      <c r="B695" s="130"/>
      <c r="C695" s="48"/>
      <c r="D695" s="130"/>
      <c r="E695" s="130"/>
      <c r="F695" s="130"/>
      <c r="G695" s="130"/>
      <c r="H695" s="130"/>
      <c r="I695" s="130"/>
    </row>
    <row r="696">
      <c r="A696" s="130"/>
      <c r="B696" s="130"/>
      <c r="C696" s="48"/>
      <c r="D696" s="130"/>
      <c r="E696" s="130"/>
      <c r="F696" s="130"/>
      <c r="G696" s="130"/>
      <c r="H696" s="130"/>
      <c r="I696" s="130"/>
    </row>
    <row r="697">
      <c r="A697" s="130"/>
      <c r="B697" s="130"/>
      <c r="C697" s="48"/>
      <c r="D697" s="130"/>
      <c r="E697" s="130"/>
      <c r="F697" s="130"/>
      <c r="G697" s="130"/>
      <c r="H697" s="130"/>
      <c r="I697" s="130"/>
    </row>
    <row r="698">
      <c r="A698" s="130"/>
      <c r="B698" s="130"/>
      <c r="C698" s="48"/>
      <c r="D698" s="130"/>
      <c r="E698" s="130"/>
      <c r="F698" s="130"/>
      <c r="G698" s="130"/>
      <c r="H698" s="130"/>
      <c r="I698" s="130"/>
    </row>
    <row r="699">
      <c r="A699" s="130"/>
      <c r="B699" s="130"/>
      <c r="C699" s="48"/>
      <c r="D699" s="130"/>
      <c r="E699" s="130"/>
      <c r="F699" s="130"/>
      <c r="G699" s="130"/>
      <c r="H699" s="130"/>
      <c r="I699" s="130"/>
    </row>
    <row r="700">
      <c r="A700" s="130"/>
      <c r="B700" s="130"/>
      <c r="C700" s="48"/>
      <c r="D700" s="130"/>
      <c r="E700" s="130"/>
      <c r="F700" s="130"/>
      <c r="G700" s="130"/>
      <c r="H700" s="130"/>
      <c r="I700" s="130"/>
    </row>
    <row r="701">
      <c r="A701" s="130"/>
      <c r="B701" s="130"/>
      <c r="C701" s="48"/>
      <c r="D701" s="130"/>
      <c r="E701" s="130"/>
      <c r="F701" s="130"/>
      <c r="G701" s="130"/>
      <c r="H701" s="130"/>
      <c r="I701" s="130"/>
    </row>
    <row r="702">
      <c r="A702" s="130"/>
      <c r="B702" s="130"/>
      <c r="C702" s="48"/>
      <c r="D702" s="130"/>
      <c r="E702" s="130"/>
      <c r="F702" s="130"/>
      <c r="G702" s="130"/>
      <c r="H702" s="130"/>
      <c r="I702" s="130"/>
    </row>
    <row r="703">
      <c r="A703" s="130"/>
      <c r="B703" s="130"/>
      <c r="C703" s="48"/>
      <c r="D703" s="130"/>
      <c r="E703" s="130"/>
      <c r="F703" s="130"/>
      <c r="G703" s="130"/>
      <c r="H703" s="130"/>
      <c r="I703" s="130"/>
    </row>
    <row r="704">
      <c r="A704" s="130"/>
      <c r="B704" s="130"/>
      <c r="C704" s="48"/>
      <c r="D704" s="130"/>
      <c r="E704" s="130"/>
      <c r="F704" s="130"/>
      <c r="G704" s="130"/>
      <c r="H704" s="130"/>
      <c r="I704" s="130"/>
    </row>
    <row r="705">
      <c r="A705" s="130"/>
      <c r="B705" s="130"/>
      <c r="C705" s="48"/>
      <c r="D705" s="130"/>
      <c r="E705" s="130"/>
      <c r="F705" s="130"/>
      <c r="G705" s="130"/>
      <c r="H705" s="130"/>
      <c r="I705" s="130"/>
    </row>
    <row r="706">
      <c r="A706" s="130"/>
      <c r="B706" s="130"/>
      <c r="C706" s="48"/>
      <c r="D706" s="130"/>
      <c r="E706" s="130"/>
      <c r="F706" s="130"/>
      <c r="G706" s="130"/>
      <c r="H706" s="130"/>
      <c r="I706" s="130"/>
    </row>
    <row r="707">
      <c r="A707" s="130"/>
      <c r="B707" s="130"/>
      <c r="C707" s="48"/>
      <c r="D707" s="130"/>
      <c r="E707" s="130"/>
      <c r="F707" s="130"/>
      <c r="G707" s="130"/>
      <c r="H707" s="130"/>
      <c r="I707" s="130"/>
    </row>
    <row r="708">
      <c r="A708" s="130"/>
      <c r="B708" s="130"/>
      <c r="C708" s="48"/>
      <c r="D708" s="130"/>
      <c r="E708" s="130"/>
      <c r="F708" s="130"/>
      <c r="G708" s="130"/>
      <c r="H708" s="130"/>
      <c r="I708" s="130"/>
    </row>
    <row r="709">
      <c r="A709" s="130"/>
      <c r="B709" s="130"/>
      <c r="C709" s="48"/>
      <c r="D709" s="130"/>
      <c r="E709" s="130"/>
      <c r="F709" s="130"/>
      <c r="G709" s="130"/>
      <c r="H709" s="130"/>
      <c r="I709" s="130"/>
    </row>
    <row r="710">
      <c r="A710" s="130"/>
      <c r="B710" s="130"/>
      <c r="C710" s="48"/>
      <c r="D710" s="130"/>
      <c r="E710" s="130"/>
      <c r="F710" s="130"/>
      <c r="G710" s="130"/>
      <c r="H710" s="130"/>
      <c r="I710" s="130"/>
    </row>
    <row r="711">
      <c r="A711" s="130"/>
      <c r="B711" s="130"/>
      <c r="C711" s="48"/>
      <c r="D711" s="130"/>
      <c r="E711" s="130"/>
      <c r="F711" s="130"/>
      <c r="G711" s="130"/>
      <c r="H711" s="130"/>
      <c r="I711" s="130"/>
    </row>
    <row r="712">
      <c r="A712" s="130"/>
      <c r="B712" s="130"/>
      <c r="C712" s="48"/>
      <c r="D712" s="130"/>
      <c r="E712" s="130"/>
      <c r="F712" s="130"/>
      <c r="G712" s="130"/>
      <c r="H712" s="130"/>
      <c r="I712" s="130"/>
    </row>
    <row r="713">
      <c r="A713" s="130"/>
      <c r="B713" s="130"/>
      <c r="C713" s="48"/>
      <c r="D713" s="130"/>
      <c r="E713" s="130"/>
      <c r="F713" s="130"/>
      <c r="G713" s="130"/>
      <c r="H713" s="130"/>
      <c r="I713" s="130"/>
    </row>
    <row r="714">
      <c r="A714" s="130"/>
      <c r="B714" s="130"/>
      <c r="C714" s="48"/>
      <c r="D714" s="130"/>
      <c r="E714" s="130"/>
      <c r="F714" s="130"/>
      <c r="G714" s="130"/>
      <c r="H714" s="130"/>
      <c r="I714" s="130"/>
    </row>
    <row r="715">
      <c r="A715" s="130"/>
      <c r="B715" s="130"/>
      <c r="C715" s="48"/>
      <c r="D715" s="130"/>
      <c r="E715" s="130"/>
      <c r="F715" s="130"/>
      <c r="G715" s="130"/>
      <c r="H715" s="130"/>
      <c r="I715" s="130"/>
    </row>
    <row r="716">
      <c r="A716" s="130"/>
      <c r="B716" s="130"/>
      <c r="C716" s="48"/>
      <c r="D716" s="130"/>
      <c r="E716" s="130"/>
      <c r="F716" s="130"/>
      <c r="G716" s="130"/>
      <c r="H716" s="130"/>
      <c r="I716" s="130"/>
    </row>
    <row r="717">
      <c r="A717" s="130"/>
      <c r="B717" s="130"/>
      <c r="C717" s="48"/>
      <c r="D717" s="130"/>
      <c r="E717" s="130"/>
      <c r="F717" s="130"/>
      <c r="G717" s="130"/>
      <c r="H717" s="130"/>
      <c r="I717" s="130"/>
    </row>
    <row r="718">
      <c r="A718" s="130"/>
      <c r="B718" s="130"/>
      <c r="C718" s="48"/>
      <c r="D718" s="130"/>
      <c r="E718" s="130"/>
      <c r="F718" s="130"/>
      <c r="G718" s="130"/>
      <c r="H718" s="130"/>
      <c r="I718" s="130"/>
    </row>
    <row r="719">
      <c r="A719" s="130"/>
      <c r="B719" s="130"/>
      <c r="C719" s="48"/>
      <c r="D719" s="130"/>
      <c r="E719" s="130"/>
      <c r="F719" s="130"/>
      <c r="G719" s="130"/>
      <c r="H719" s="130"/>
      <c r="I719" s="130"/>
    </row>
    <row r="720">
      <c r="A720" s="130"/>
      <c r="B720" s="130"/>
      <c r="C720" s="48"/>
      <c r="D720" s="130"/>
      <c r="E720" s="130"/>
      <c r="F720" s="130"/>
      <c r="G720" s="130"/>
      <c r="H720" s="130"/>
      <c r="I720" s="130"/>
    </row>
    <row r="721">
      <c r="A721" s="130"/>
      <c r="B721" s="130"/>
      <c r="C721" s="48"/>
      <c r="D721" s="130"/>
      <c r="E721" s="130"/>
      <c r="F721" s="130"/>
      <c r="G721" s="130"/>
      <c r="H721" s="130"/>
      <c r="I721" s="130"/>
    </row>
    <row r="722">
      <c r="A722" s="130"/>
      <c r="B722" s="130"/>
      <c r="C722" s="48"/>
      <c r="D722" s="130"/>
      <c r="E722" s="130"/>
      <c r="F722" s="130"/>
      <c r="G722" s="130"/>
      <c r="H722" s="130"/>
      <c r="I722" s="130"/>
    </row>
    <row r="723">
      <c r="A723" s="130"/>
      <c r="B723" s="130"/>
      <c r="C723" s="48"/>
      <c r="D723" s="130"/>
      <c r="E723" s="130"/>
      <c r="F723" s="130"/>
      <c r="G723" s="130"/>
      <c r="H723" s="130"/>
      <c r="I723" s="130"/>
    </row>
    <row r="724">
      <c r="A724" s="130"/>
      <c r="B724" s="130"/>
      <c r="C724" s="48"/>
      <c r="D724" s="130"/>
      <c r="E724" s="130"/>
      <c r="F724" s="130"/>
      <c r="G724" s="130"/>
      <c r="H724" s="130"/>
      <c r="I724" s="130"/>
    </row>
    <row r="725">
      <c r="A725" s="130"/>
      <c r="B725" s="130"/>
      <c r="C725" s="48"/>
      <c r="D725" s="130"/>
      <c r="E725" s="130"/>
      <c r="F725" s="130"/>
      <c r="G725" s="130"/>
      <c r="H725" s="130"/>
      <c r="I725" s="130"/>
    </row>
    <row r="726">
      <c r="A726" s="130"/>
      <c r="B726" s="130"/>
      <c r="C726" s="48"/>
      <c r="D726" s="130"/>
      <c r="E726" s="130"/>
      <c r="F726" s="130"/>
      <c r="G726" s="130"/>
      <c r="H726" s="130"/>
      <c r="I726" s="130"/>
    </row>
    <row r="727">
      <c r="A727" s="130"/>
      <c r="B727" s="130"/>
      <c r="C727" s="48"/>
      <c r="D727" s="130"/>
      <c r="E727" s="130"/>
      <c r="F727" s="130"/>
      <c r="G727" s="130"/>
      <c r="H727" s="130"/>
      <c r="I727" s="130"/>
    </row>
    <row r="728">
      <c r="A728" s="130"/>
      <c r="B728" s="130"/>
      <c r="C728" s="48"/>
      <c r="D728" s="130"/>
      <c r="E728" s="130"/>
      <c r="F728" s="130"/>
      <c r="G728" s="130"/>
      <c r="H728" s="130"/>
      <c r="I728" s="130"/>
    </row>
    <row r="729">
      <c r="A729" s="130"/>
      <c r="B729" s="130"/>
      <c r="C729" s="48"/>
      <c r="D729" s="130"/>
      <c r="E729" s="130"/>
      <c r="F729" s="130"/>
      <c r="G729" s="130"/>
      <c r="H729" s="130"/>
      <c r="I729" s="130"/>
    </row>
    <row r="730">
      <c r="A730" s="130"/>
      <c r="B730" s="130"/>
      <c r="C730" s="48"/>
      <c r="D730" s="130"/>
      <c r="E730" s="130"/>
      <c r="F730" s="130"/>
      <c r="G730" s="130"/>
      <c r="H730" s="130"/>
      <c r="I730" s="130"/>
    </row>
    <row r="731">
      <c r="A731" s="130"/>
      <c r="B731" s="130"/>
      <c r="C731" s="48"/>
      <c r="D731" s="130"/>
      <c r="E731" s="130"/>
      <c r="F731" s="130"/>
      <c r="G731" s="130"/>
      <c r="H731" s="130"/>
      <c r="I731" s="130"/>
    </row>
    <row r="732">
      <c r="A732" s="130"/>
      <c r="B732" s="130"/>
      <c r="C732" s="48"/>
      <c r="D732" s="130"/>
      <c r="E732" s="130"/>
      <c r="F732" s="130"/>
      <c r="G732" s="130"/>
      <c r="H732" s="130"/>
      <c r="I732" s="130"/>
    </row>
    <row r="733">
      <c r="A733" s="130"/>
      <c r="B733" s="130"/>
      <c r="C733" s="48"/>
      <c r="D733" s="130"/>
      <c r="E733" s="130"/>
      <c r="F733" s="130"/>
      <c r="G733" s="130"/>
      <c r="H733" s="130"/>
      <c r="I733" s="130"/>
    </row>
    <row r="734">
      <c r="A734" s="130"/>
      <c r="B734" s="130"/>
      <c r="C734" s="48"/>
      <c r="D734" s="130"/>
      <c r="E734" s="130"/>
      <c r="F734" s="130"/>
      <c r="G734" s="130"/>
      <c r="H734" s="130"/>
      <c r="I734" s="130"/>
    </row>
    <row r="735">
      <c r="A735" s="130"/>
      <c r="B735" s="130"/>
      <c r="C735" s="48"/>
      <c r="D735" s="130"/>
      <c r="E735" s="130"/>
      <c r="F735" s="130"/>
      <c r="G735" s="130"/>
      <c r="H735" s="130"/>
      <c r="I735" s="130"/>
    </row>
    <row r="736">
      <c r="A736" s="130"/>
      <c r="B736" s="130"/>
      <c r="C736" s="48"/>
      <c r="D736" s="130"/>
      <c r="E736" s="130"/>
      <c r="F736" s="130"/>
      <c r="G736" s="130"/>
      <c r="H736" s="130"/>
      <c r="I736" s="130"/>
    </row>
    <row r="737">
      <c r="A737" s="130"/>
      <c r="B737" s="130"/>
      <c r="C737" s="48"/>
      <c r="D737" s="130"/>
      <c r="E737" s="130"/>
      <c r="F737" s="130"/>
      <c r="G737" s="130"/>
      <c r="H737" s="130"/>
      <c r="I737" s="130"/>
    </row>
    <row r="738">
      <c r="A738" s="130"/>
      <c r="B738" s="130"/>
      <c r="C738" s="48"/>
      <c r="D738" s="130"/>
      <c r="E738" s="130"/>
      <c r="F738" s="130"/>
      <c r="G738" s="130"/>
      <c r="H738" s="130"/>
      <c r="I738" s="130"/>
    </row>
    <row r="739">
      <c r="A739" s="130"/>
      <c r="B739" s="130"/>
      <c r="C739" s="48"/>
      <c r="D739" s="130"/>
      <c r="E739" s="130"/>
      <c r="F739" s="130"/>
      <c r="G739" s="130"/>
      <c r="H739" s="130"/>
      <c r="I739" s="130"/>
    </row>
    <row r="740">
      <c r="A740" s="130"/>
      <c r="B740" s="130"/>
      <c r="C740" s="48"/>
      <c r="D740" s="130"/>
      <c r="E740" s="130"/>
      <c r="F740" s="130"/>
      <c r="G740" s="130"/>
      <c r="H740" s="130"/>
      <c r="I740" s="130"/>
    </row>
    <row r="741">
      <c r="A741" s="130"/>
      <c r="B741" s="130"/>
      <c r="C741" s="48"/>
      <c r="D741" s="130"/>
      <c r="E741" s="130"/>
      <c r="F741" s="130"/>
      <c r="G741" s="130"/>
      <c r="H741" s="130"/>
      <c r="I741" s="130"/>
    </row>
    <row r="742">
      <c r="A742" s="130"/>
      <c r="B742" s="130"/>
      <c r="C742" s="48"/>
      <c r="D742" s="130"/>
      <c r="E742" s="130"/>
      <c r="F742" s="130"/>
      <c r="G742" s="130"/>
      <c r="H742" s="130"/>
      <c r="I742" s="130"/>
    </row>
    <row r="743">
      <c r="A743" s="130"/>
      <c r="B743" s="130"/>
      <c r="C743" s="48"/>
      <c r="D743" s="130"/>
      <c r="E743" s="130"/>
      <c r="F743" s="130"/>
      <c r="G743" s="130"/>
      <c r="H743" s="130"/>
      <c r="I743" s="130"/>
    </row>
    <row r="744">
      <c r="A744" s="130"/>
      <c r="B744" s="130"/>
      <c r="C744" s="48"/>
      <c r="D744" s="130"/>
      <c r="E744" s="130"/>
      <c r="F744" s="130"/>
      <c r="G744" s="130"/>
      <c r="H744" s="130"/>
      <c r="I744" s="130"/>
    </row>
    <row r="745">
      <c r="A745" s="130"/>
      <c r="B745" s="130"/>
      <c r="C745" s="48"/>
      <c r="D745" s="130"/>
      <c r="E745" s="130"/>
      <c r="F745" s="130"/>
      <c r="G745" s="130"/>
      <c r="H745" s="130"/>
      <c r="I745" s="130"/>
    </row>
    <row r="746">
      <c r="A746" s="130"/>
      <c r="B746" s="130"/>
      <c r="C746" s="48"/>
      <c r="D746" s="130"/>
      <c r="E746" s="130"/>
      <c r="F746" s="130"/>
      <c r="G746" s="130"/>
      <c r="H746" s="130"/>
      <c r="I746" s="130"/>
    </row>
    <row r="747">
      <c r="A747" s="130"/>
      <c r="B747" s="130"/>
      <c r="C747" s="48"/>
      <c r="D747" s="130"/>
      <c r="E747" s="130"/>
      <c r="F747" s="130"/>
      <c r="G747" s="130"/>
      <c r="H747" s="130"/>
      <c r="I747" s="130"/>
    </row>
    <row r="748">
      <c r="A748" s="130"/>
      <c r="B748" s="130"/>
      <c r="C748" s="48"/>
      <c r="D748" s="130"/>
      <c r="E748" s="130"/>
      <c r="F748" s="130"/>
      <c r="G748" s="130"/>
      <c r="H748" s="130"/>
      <c r="I748" s="130"/>
    </row>
    <row r="749">
      <c r="A749" s="130"/>
      <c r="B749" s="130"/>
      <c r="C749" s="48"/>
      <c r="D749" s="130"/>
      <c r="E749" s="130"/>
      <c r="F749" s="130"/>
      <c r="G749" s="130"/>
      <c r="H749" s="130"/>
      <c r="I749" s="130"/>
    </row>
    <row r="750">
      <c r="A750" s="130"/>
      <c r="B750" s="130"/>
      <c r="C750" s="48"/>
      <c r="D750" s="130"/>
      <c r="E750" s="130"/>
      <c r="F750" s="130"/>
      <c r="G750" s="130"/>
      <c r="H750" s="130"/>
      <c r="I750" s="130"/>
    </row>
    <row r="751">
      <c r="A751" s="130"/>
      <c r="B751" s="130"/>
      <c r="C751" s="48"/>
      <c r="D751" s="130"/>
      <c r="E751" s="130"/>
      <c r="F751" s="130"/>
      <c r="G751" s="130"/>
      <c r="H751" s="130"/>
      <c r="I751" s="130"/>
    </row>
    <row r="752">
      <c r="A752" s="130"/>
      <c r="B752" s="130"/>
      <c r="C752" s="48"/>
      <c r="D752" s="130"/>
      <c r="E752" s="130"/>
      <c r="F752" s="130"/>
      <c r="G752" s="130"/>
      <c r="H752" s="130"/>
      <c r="I752" s="130"/>
    </row>
    <row r="753">
      <c r="A753" s="130"/>
      <c r="B753" s="130"/>
      <c r="C753" s="48"/>
      <c r="D753" s="130"/>
      <c r="E753" s="130"/>
      <c r="F753" s="130"/>
      <c r="G753" s="130"/>
      <c r="H753" s="130"/>
      <c r="I753" s="130"/>
    </row>
    <row r="754">
      <c r="A754" s="130"/>
      <c r="B754" s="130"/>
      <c r="C754" s="48"/>
      <c r="D754" s="130"/>
      <c r="E754" s="130"/>
      <c r="F754" s="130"/>
      <c r="G754" s="130"/>
      <c r="H754" s="130"/>
      <c r="I754" s="130"/>
    </row>
    <row r="755">
      <c r="A755" s="130"/>
      <c r="B755" s="130"/>
      <c r="C755" s="48"/>
      <c r="D755" s="130"/>
      <c r="E755" s="130"/>
      <c r="F755" s="130"/>
      <c r="G755" s="130"/>
      <c r="H755" s="130"/>
      <c r="I755" s="130"/>
    </row>
    <row r="756">
      <c r="A756" s="130"/>
      <c r="B756" s="130"/>
      <c r="C756" s="48"/>
      <c r="D756" s="130"/>
      <c r="E756" s="130"/>
      <c r="F756" s="130"/>
      <c r="G756" s="130"/>
      <c r="H756" s="130"/>
      <c r="I756" s="130"/>
    </row>
    <row r="757">
      <c r="A757" s="130"/>
      <c r="B757" s="130"/>
      <c r="C757" s="48"/>
      <c r="D757" s="130"/>
      <c r="E757" s="130"/>
      <c r="F757" s="130"/>
      <c r="G757" s="130"/>
      <c r="H757" s="130"/>
      <c r="I757" s="130"/>
    </row>
    <row r="758">
      <c r="A758" s="130"/>
      <c r="B758" s="130"/>
      <c r="C758" s="48"/>
      <c r="D758" s="130"/>
      <c r="E758" s="130"/>
      <c r="F758" s="130"/>
      <c r="G758" s="130"/>
      <c r="H758" s="130"/>
      <c r="I758" s="130"/>
    </row>
    <row r="759">
      <c r="A759" s="130"/>
      <c r="B759" s="130"/>
      <c r="C759" s="48"/>
      <c r="D759" s="130"/>
      <c r="E759" s="130"/>
      <c r="F759" s="130"/>
      <c r="G759" s="130"/>
      <c r="H759" s="130"/>
      <c r="I759" s="130"/>
    </row>
    <row r="760">
      <c r="A760" s="130"/>
      <c r="B760" s="130"/>
      <c r="C760" s="48"/>
      <c r="D760" s="130"/>
      <c r="E760" s="130"/>
      <c r="F760" s="130"/>
      <c r="G760" s="130"/>
      <c r="H760" s="130"/>
      <c r="I760" s="130"/>
    </row>
    <row r="761">
      <c r="A761" s="130"/>
      <c r="B761" s="130"/>
      <c r="C761" s="48"/>
      <c r="D761" s="130"/>
      <c r="E761" s="130"/>
      <c r="F761" s="130"/>
      <c r="G761" s="130"/>
      <c r="H761" s="130"/>
      <c r="I761" s="130"/>
    </row>
    <row r="762">
      <c r="A762" s="130"/>
      <c r="B762" s="130"/>
      <c r="C762" s="48"/>
      <c r="D762" s="130"/>
      <c r="E762" s="130"/>
      <c r="F762" s="130"/>
      <c r="G762" s="130"/>
      <c r="H762" s="130"/>
      <c r="I762" s="130"/>
    </row>
    <row r="763">
      <c r="A763" s="130"/>
      <c r="B763" s="130"/>
      <c r="C763" s="48"/>
      <c r="D763" s="130"/>
      <c r="E763" s="130"/>
      <c r="F763" s="130"/>
      <c r="G763" s="130"/>
      <c r="H763" s="130"/>
      <c r="I763" s="130"/>
    </row>
    <row r="764">
      <c r="A764" s="130"/>
      <c r="B764" s="130"/>
      <c r="C764" s="48"/>
      <c r="D764" s="130"/>
      <c r="E764" s="130"/>
      <c r="F764" s="130"/>
      <c r="G764" s="130"/>
      <c r="H764" s="130"/>
      <c r="I764" s="130"/>
    </row>
    <row r="765">
      <c r="A765" s="130"/>
      <c r="B765" s="130"/>
      <c r="C765" s="48"/>
      <c r="D765" s="130"/>
      <c r="E765" s="130"/>
      <c r="F765" s="130"/>
      <c r="G765" s="130"/>
      <c r="H765" s="130"/>
      <c r="I765" s="130"/>
    </row>
    <row r="766">
      <c r="A766" s="130"/>
      <c r="B766" s="130"/>
      <c r="C766" s="48"/>
      <c r="D766" s="130"/>
      <c r="E766" s="130"/>
      <c r="F766" s="130"/>
      <c r="G766" s="130"/>
      <c r="H766" s="130"/>
      <c r="I766" s="130"/>
    </row>
    <row r="767">
      <c r="A767" s="130"/>
      <c r="B767" s="130"/>
      <c r="C767" s="48"/>
      <c r="D767" s="130"/>
      <c r="E767" s="130"/>
      <c r="F767" s="130"/>
      <c r="G767" s="130"/>
      <c r="H767" s="130"/>
      <c r="I767" s="130"/>
    </row>
    <row r="768">
      <c r="A768" s="130"/>
      <c r="B768" s="130"/>
      <c r="C768" s="48"/>
      <c r="D768" s="130"/>
      <c r="E768" s="130"/>
      <c r="F768" s="130"/>
      <c r="G768" s="130"/>
      <c r="H768" s="130"/>
      <c r="I768" s="130"/>
    </row>
    <row r="769">
      <c r="A769" s="130"/>
      <c r="B769" s="130"/>
      <c r="C769" s="48"/>
      <c r="D769" s="130"/>
      <c r="E769" s="130"/>
      <c r="F769" s="130"/>
      <c r="G769" s="130"/>
      <c r="H769" s="130"/>
      <c r="I769" s="130"/>
    </row>
    <row r="770">
      <c r="A770" s="130"/>
      <c r="B770" s="130"/>
      <c r="C770" s="48"/>
      <c r="D770" s="130"/>
      <c r="E770" s="130"/>
      <c r="F770" s="130"/>
      <c r="G770" s="130"/>
      <c r="H770" s="130"/>
      <c r="I770" s="130"/>
    </row>
    <row r="771">
      <c r="A771" s="130"/>
      <c r="B771" s="130"/>
      <c r="C771" s="48"/>
      <c r="D771" s="130"/>
      <c r="E771" s="130"/>
      <c r="F771" s="130"/>
      <c r="G771" s="130"/>
      <c r="H771" s="130"/>
      <c r="I771" s="130"/>
    </row>
    <row r="772">
      <c r="A772" s="130"/>
      <c r="B772" s="130"/>
      <c r="C772" s="48"/>
      <c r="D772" s="130"/>
      <c r="E772" s="130"/>
      <c r="F772" s="130"/>
      <c r="G772" s="130"/>
      <c r="H772" s="130"/>
      <c r="I772" s="130"/>
    </row>
    <row r="773">
      <c r="A773" s="130"/>
      <c r="B773" s="130"/>
      <c r="C773" s="48"/>
      <c r="D773" s="130"/>
      <c r="E773" s="130"/>
      <c r="F773" s="130"/>
      <c r="G773" s="130"/>
      <c r="H773" s="130"/>
      <c r="I773" s="130"/>
    </row>
    <row r="774">
      <c r="A774" s="130"/>
      <c r="B774" s="130"/>
      <c r="C774" s="48"/>
      <c r="D774" s="130"/>
      <c r="E774" s="130"/>
      <c r="F774" s="130"/>
      <c r="G774" s="130"/>
      <c r="H774" s="130"/>
      <c r="I774" s="130"/>
    </row>
    <row r="775">
      <c r="A775" s="130"/>
      <c r="B775" s="130"/>
      <c r="C775" s="48"/>
      <c r="D775" s="130"/>
      <c r="E775" s="130"/>
      <c r="F775" s="130"/>
      <c r="G775" s="130"/>
      <c r="H775" s="130"/>
      <c r="I775" s="130"/>
    </row>
    <row r="776">
      <c r="A776" s="130"/>
      <c r="B776" s="130"/>
      <c r="C776" s="48"/>
      <c r="D776" s="130"/>
      <c r="E776" s="130"/>
      <c r="F776" s="130"/>
      <c r="G776" s="130"/>
      <c r="H776" s="130"/>
      <c r="I776" s="130"/>
    </row>
    <row r="777">
      <c r="A777" s="130"/>
      <c r="B777" s="130"/>
      <c r="C777" s="48"/>
      <c r="D777" s="130"/>
      <c r="E777" s="130"/>
      <c r="F777" s="130"/>
      <c r="G777" s="130"/>
      <c r="H777" s="130"/>
      <c r="I777" s="130"/>
    </row>
    <row r="778">
      <c r="A778" s="130"/>
      <c r="B778" s="130"/>
      <c r="C778" s="48"/>
      <c r="D778" s="130"/>
      <c r="E778" s="130"/>
      <c r="F778" s="130"/>
      <c r="G778" s="130"/>
      <c r="H778" s="130"/>
      <c r="I778" s="130"/>
    </row>
    <row r="779">
      <c r="A779" s="130"/>
      <c r="B779" s="130"/>
      <c r="C779" s="48"/>
      <c r="D779" s="130"/>
      <c r="E779" s="130"/>
      <c r="F779" s="130"/>
      <c r="G779" s="130"/>
      <c r="H779" s="130"/>
      <c r="I779" s="130"/>
    </row>
    <row r="780">
      <c r="A780" s="130"/>
      <c r="B780" s="130"/>
      <c r="C780" s="48"/>
      <c r="D780" s="130"/>
      <c r="E780" s="130"/>
      <c r="F780" s="130"/>
      <c r="G780" s="130"/>
      <c r="H780" s="130"/>
      <c r="I780" s="130"/>
    </row>
    <row r="781">
      <c r="A781" s="130"/>
      <c r="B781" s="130"/>
      <c r="C781" s="48"/>
      <c r="D781" s="130"/>
      <c r="E781" s="130"/>
      <c r="F781" s="130"/>
      <c r="G781" s="130"/>
      <c r="H781" s="130"/>
      <c r="I781" s="130"/>
    </row>
    <row r="782">
      <c r="A782" s="130"/>
      <c r="B782" s="130"/>
      <c r="C782" s="48"/>
      <c r="D782" s="130"/>
      <c r="E782" s="130"/>
      <c r="F782" s="130"/>
      <c r="G782" s="130"/>
      <c r="H782" s="130"/>
      <c r="I782" s="130"/>
    </row>
    <row r="783">
      <c r="A783" s="130"/>
      <c r="B783" s="130"/>
      <c r="C783" s="48"/>
      <c r="D783" s="130"/>
      <c r="E783" s="130"/>
      <c r="F783" s="130"/>
      <c r="G783" s="130"/>
      <c r="H783" s="130"/>
      <c r="I783" s="130"/>
    </row>
    <row r="784">
      <c r="A784" s="130"/>
      <c r="B784" s="130"/>
      <c r="C784" s="48"/>
      <c r="D784" s="130"/>
      <c r="E784" s="130"/>
      <c r="F784" s="130"/>
      <c r="G784" s="130"/>
      <c r="H784" s="130"/>
      <c r="I784" s="130"/>
    </row>
    <row r="785">
      <c r="A785" s="130"/>
      <c r="B785" s="130"/>
      <c r="C785" s="48"/>
      <c r="D785" s="130"/>
      <c r="E785" s="130"/>
      <c r="F785" s="130"/>
      <c r="G785" s="130"/>
      <c r="H785" s="130"/>
      <c r="I785" s="130"/>
    </row>
    <row r="786">
      <c r="A786" s="130"/>
      <c r="B786" s="130"/>
      <c r="C786" s="48"/>
      <c r="D786" s="130"/>
      <c r="E786" s="130"/>
      <c r="F786" s="130"/>
      <c r="G786" s="130"/>
      <c r="H786" s="130"/>
      <c r="I786" s="130"/>
    </row>
    <row r="787">
      <c r="A787" s="130"/>
      <c r="B787" s="130"/>
      <c r="C787" s="48"/>
      <c r="D787" s="130"/>
      <c r="E787" s="130"/>
      <c r="F787" s="130"/>
      <c r="G787" s="130"/>
      <c r="H787" s="130"/>
      <c r="I787" s="130"/>
    </row>
    <row r="788">
      <c r="A788" s="130"/>
      <c r="B788" s="130"/>
      <c r="C788" s="48"/>
      <c r="D788" s="130"/>
      <c r="E788" s="130"/>
      <c r="F788" s="130"/>
      <c r="G788" s="130"/>
      <c r="H788" s="130"/>
      <c r="I788" s="130"/>
    </row>
    <row r="789">
      <c r="A789" s="130"/>
      <c r="B789" s="130"/>
      <c r="C789" s="48"/>
      <c r="D789" s="130"/>
      <c r="E789" s="130"/>
      <c r="F789" s="130"/>
      <c r="G789" s="130"/>
      <c r="H789" s="130"/>
      <c r="I789" s="130"/>
    </row>
    <row r="790">
      <c r="A790" s="130"/>
      <c r="B790" s="130"/>
      <c r="C790" s="48"/>
      <c r="D790" s="130"/>
      <c r="E790" s="130"/>
      <c r="F790" s="130"/>
      <c r="G790" s="130"/>
      <c r="H790" s="130"/>
      <c r="I790" s="130"/>
    </row>
    <row r="791">
      <c r="A791" s="130"/>
      <c r="B791" s="130"/>
      <c r="C791" s="48"/>
      <c r="D791" s="130"/>
      <c r="E791" s="130"/>
      <c r="F791" s="130"/>
      <c r="G791" s="130"/>
      <c r="H791" s="130"/>
      <c r="I791" s="130"/>
    </row>
    <row r="792">
      <c r="A792" s="130"/>
      <c r="B792" s="130"/>
      <c r="C792" s="48"/>
      <c r="D792" s="130"/>
      <c r="E792" s="130"/>
      <c r="F792" s="130"/>
      <c r="G792" s="130"/>
      <c r="H792" s="130"/>
      <c r="I792" s="130"/>
    </row>
    <row r="793">
      <c r="A793" s="130"/>
      <c r="B793" s="130"/>
      <c r="C793" s="48"/>
      <c r="D793" s="130"/>
      <c r="E793" s="130"/>
      <c r="F793" s="130"/>
      <c r="G793" s="130"/>
      <c r="H793" s="130"/>
      <c r="I793" s="130"/>
    </row>
    <row r="794">
      <c r="A794" s="130"/>
      <c r="B794" s="130"/>
      <c r="C794" s="48"/>
      <c r="D794" s="130"/>
      <c r="E794" s="130"/>
      <c r="F794" s="130"/>
      <c r="G794" s="130"/>
      <c r="H794" s="130"/>
      <c r="I794" s="130"/>
    </row>
    <row r="795">
      <c r="A795" s="130"/>
      <c r="B795" s="130"/>
      <c r="C795" s="48"/>
      <c r="D795" s="130"/>
      <c r="E795" s="130"/>
      <c r="F795" s="130"/>
      <c r="G795" s="130"/>
      <c r="H795" s="130"/>
      <c r="I795" s="130"/>
    </row>
    <row r="796">
      <c r="A796" s="130"/>
      <c r="B796" s="130"/>
      <c r="C796" s="48"/>
      <c r="D796" s="130"/>
      <c r="E796" s="130"/>
      <c r="F796" s="130"/>
      <c r="G796" s="130"/>
      <c r="H796" s="130"/>
      <c r="I796" s="130"/>
    </row>
    <row r="797">
      <c r="A797" s="130"/>
      <c r="B797" s="130"/>
      <c r="C797" s="48"/>
      <c r="D797" s="130"/>
      <c r="E797" s="130"/>
      <c r="F797" s="130"/>
      <c r="G797" s="130"/>
      <c r="H797" s="130"/>
      <c r="I797" s="130"/>
    </row>
    <row r="798">
      <c r="A798" s="130"/>
      <c r="B798" s="130"/>
      <c r="C798" s="48"/>
      <c r="D798" s="130"/>
      <c r="E798" s="130"/>
      <c r="F798" s="130"/>
      <c r="G798" s="130"/>
      <c r="H798" s="130"/>
      <c r="I798" s="130"/>
    </row>
    <row r="799">
      <c r="A799" s="130"/>
      <c r="B799" s="130"/>
      <c r="C799" s="48"/>
      <c r="D799" s="130"/>
      <c r="E799" s="130"/>
      <c r="F799" s="130"/>
      <c r="G799" s="130"/>
      <c r="H799" s="130"/>
      <c r="I799" s="130"/>
    </row>
    <row r="800">
      <c r="A800" s="130"/>
      <c r="B800" s="130"/>
      <c r="C800" s="48"/>
      <c r="D800" s="130"/>
      <c r="E800" s="130"/>
      <c r="F800" s="130"/>
      <c r="G800" s="130"/>
      <c r="H800" s="130"/>
      <c r="I800" s="130"/>
    </row>
    <row r="801">
      <c r="A801" s="130"/>
      <c r="B801" s="130"/>
      <c r="C801" s="48"/>
      <c r="D801" s="130"/>
      <c r="E801" s="130"/>
      <c r="F801" s="130"/>
      <c r="G801" s="130"/>
      <c r="H801" s="130"/>
      <c r="I801" s="130"/>
    </row>
    <row r="802">
      <c r="A802" s="130"/>
      <c r="B802" s="130"/>
      <c r="C802" s="48"/>
      <c r="D802" s="130"/>
      <c r="E802" s="130"/>
      <c r="F802" s="130"/>
      <c r="G802" s="130"/>
      <c r="H802" s="130"/>
      <c r="I802" s="130"/>
    </row>
    <row r="803">
      <c r="A803" s="130"/>
      <c r="B803" s="130"/>
      <c r="C803" s="48"/>
      <c r="D803" s="130"/>
      <c r="E803" s="130"/>
      <c r="F803" s="130"/>
      <c r="G803" s="130"/>
      <c r="H803" s="130"/>
      <c r="I803" s="130"/>
    </row>
    <row r="804">
      <c r="A804" s="130"/>
      <c r="B804" s="130"/>
      <c r="C804" s="48"/>
      <c r="D804" s="130"/>
      <c r="E804" s="130"/>
      <c r="F804" s="130"/>
      <c r="G804" s="130"/>
      <c r="H804" s="130"/>
      <c r="I804" s="130"/>
    </row>
    <row r="805">
      <c r="A805" s="130"/>
      <c r="B805" s="130"/>
      <c r="C805" s="48"/>
      <c r="D805" s="130"/>
      <c r="E805" s="130"/>
      <c r="F805" s="130"/>
      <c r="G805" s="130"/>
      <c r="H805" s="130"/>
      <c r="I805" s="130"/>
    </row>
    <row r="806">
      <c r="A806" s="130"/>
      <c r="B806" s="130"/>
      <c r="C806" s="48"/>
      <c r="D806" s="130"/>
      <c r="E806" s="130"/>
      <c r="F806" s="130"/>
      <c r="G806" s="130"/>
      <c r="H806" s="130"/>
      <c r="I806" s="130"/>
    </row>
    <row r="807">
      <c r="A807" s="130"/>
      <c r="B807" s="130"/>
      <c r="C807" s="48"/>
      <c r="D807" s="130"/>
      <c r="E807" s="130"/>
      <c r="F807" s="130"/>
      <c r="G807" s="130"/>
      <c r="H807" s="130"/>
      <c r="I807" s="130"/>
    </row>
    <row r="808">
      <c r="A808" s="130"/>
      <c r="B808" s="130"/>
      <c r="C808" s="48"/>
      <c r="D808" s="130"/>
      <c r="E808" s="130"/>
      <c r="F808" s="130"/>
      <c r="G808" s="130"/>
      <c r="H808" s="130"/>
      <c r="I808" s="130"/>
    </row>
    <row r="809">
      <c r="A809" s="130"/>
      <c r="B809" s="130"/>
      <c r="C809" s="48"/>
      <c r="D809" s="130"/>
      <c r="E809" s="130"/>
      <c r="F809" s="130"/>
      <c r="G809" s="130"/>
      <c r="H809" s="130"/>
      <c r="I809" s="130"/>
    </row>
    <row r="810">
      <c r="A810" s="130"/>
      <c r="B810" s="130"/>
      <c r="C810" s="48"/>
      <c r="D810" s="130"/>
      <c r="E810" s="130"/>
      <c r="F810" s="130"/>
      <c r="G810" s="130"/>
      <c r="H810" s="130"/>
      <c r="I810" s="130"/>
    </row>
    <row r="811">
      <c r="A811" s="130"/>
      <c r="B811" s="130"/>
      <c r="C811" s="48"/>
      <c r="D811" s="130"/>
      <c r="E811" s="130"/>
      <c r="F811" s="130"/>
      <c r="G811" s="130"/>
      <c r="H811" s="130"/>
      <c r="I811" s="130"/>
    </row>
    <row r="812">
      <c r="A812" s="130"/>
      <c r="B812" s="130"/>
      <c r="C812" s="48"/>
      <c r="D812" s="130"/>
      <c r="E812" s="130"/>
      <c r="F812" s="130"/>
      <c r="G812" s="130"/>
      <c r="H812" s="130"/>
      <c r="I812" s="130"/>
    </row>
    <row r="813">
      <c r="A813" s="130"/>
      <c r="B813" s="130"/>
      <c r="C813" s="48"/>
      <c r="D813" s="130"/>
      <c r="E813" s="130"/>
      <c r="F813" s="130"/>
      <c r="G813" s="130"/>
      <c r="H813" s="130"/>
      <c r="I813" s="130"/>
    </row>
    <row r="814">
      <c r="A814" s="130"/>
      <c r="B814" s="130"/>
      <c r="C814" s="48"/>
      <c r="D814" s="130"/>
      <c r="E814" s="130"/>
      <c r="F814" s="130"/>
      <c r="G814" s="130"/>
      <c r="H814" s="130"/>
      <c r="I814" s="130"/>
    </row>
    <row r="815">
      <c r="A815" s="130"/>
      <c r="B815" s="130"/>
      <c r="C815" s="48"/>
      <c r="D815" s="130"/>
      <c r="E815" s="130"/>
      <c r="F815" s="130"/>
      <c r="G815" s="130"/>
      <c r="H815" s="130"/>
      <c r="I815" s="130"/>
    </row>
    <row r="816">
      <c r="A816" s="130"/>
      <c r="B816" s="130"/>
      <c r="C816" s="48"/>
      <c r="D816" s="130"/>
      <c r="E816" s="130"/>
      <c r="F816" s="130"/>
      <c r="G816" s="130"/>
      <c r="H816" s="130"/>
      <c r="I816" s="130"/>
    </row>
    <row r="817">
      <c r="A817" s="130"/>
      <c r="B817" s="130"/>
      <c r="C817" s="48"/>
      <c r="D817" s="130"/>
      <c r="E817" s="130"/>
      <c r="F817" s="130"/>
      <c r="G817" s="130"/>
      <c r="H817" s="130"/>
      <c r="I817" s="130"/>
    </row>
    <row r="818">
      <c r="A818" s="130"/>
      <c r="B818" s="130"/>
      <c r="C818" s="48"/>
      <c r="D818" s="130"/>
      <c r="E818" s="130"/>
      <c r="F818" s="130"/>
      <c r="G818" s="130"/>
      <c r="H818" s="130"/>
      <c r="I818" s="130"/>
    </row>
    <row r="819">
      <c r="A819" s="130"/>
      <c r="B819" s="130"/>
      <c r="C819" s="48"/>
      <c r="D819" s="130"/>
      <c r="E819" s="130"/>
      <c r="F819" s="130"/>
      <c r="G819" s="130"/>
      <c r="H819" s="130"/>
      <c r="I819" s="130"/>
    </row>
    <row r="820">
      <c r="A820" s="130"/>
      <c r="B820" s="130"/>
      <c r="C820" s="48"/>
      <c r="D820" s="130"/>
      <c r="E820" s="130"/>
      <c r="F820" s="130"/>
      <c r="G820" s="130"/>
      <c r="H820" s="130"/>
      <c r="I820" s="130"/>
    </row>
    <row r="821">
      <c r="A821" s="130"/>
      <c r="B821" s="130"/>
      <c r="C821" s="48"/>
      <c r="D821" s="130"/>
      <c r="E821" s="130"/>
      <c r="F821" s="130"/>
      <c r="G821" s="130"/>
      <c r="H821" s="130"/>
      <c r="I821" s="130"/>
    </row>
    <row r="822">
      <c r="A822" s="130"/>
      <c r="B822" s="130"/>
      <c r="C822" s="48"/>
      <c r="D822" s="130"/>
      <c r="E822" s="130"/>
      <c r="F822" s="130"/>
      <c r="G822" s="130"/>
      <c r="H822" s="130"/>
      <c r="I822" s="130"/>
    </row>
    <row r="823">
      <c r="A823" s="130"/>
      <c r="B823" s="130"/>
      <c r="C823" s="48"/>
      <c r="D823" s="130"/>
      <c r="E823" s="130"/>
      <c r="F823" s="130"/>
      <c r="G823" s="130"/>
      <c r="H823" s="130"/>
      <c r="I823" s="130"/>
    </row>
    <row r="824">
      <c r="A824" s="130"/>
      <c r="B824" s="130"/>
      <c r="C824" s="48"/>
      <c r="D824" s="130"/>
      <c r="E824" s="130"/>
      <c r="F824" s="130"/>
      <c r="G824" s="130"/>
      <c r="H824" s="130"/>
      <c r="I824" s="130"/>
    </row>
    <row r="825">
      <c r="A825" s="130"/>
      <c r="B825" s="130"/>
      <c r="C825" s="48"/>
      <c r="D825" s="130"/>
      <c r="E825" s="130"/>
      <c r="F825" s="130"/>
      <c r="G825" s="130"/>
      <c r="H825" s="130"/>
      <c r="I825" s="130"/>
    </row>
    <row r="826">
      <c r="A826" s="130"/>
      <c r="B826" s="130"/>
      <c r="C826" s="48"/>
      <c r="D826" s="130"/>
      <c r="E826" s="130"/>
      <c r="F826" s="130"/>
      <c r="G826" s="130"/>
      <c r="H826" s="130"/>
      <c r="I826" s="130"/>
    </row>
    <row r="827">
      <c r="A827" s="130"/>
      <c r="B827" s="130"/>
      <c r="C827" s="48"/>
      <c r="D827" s="130"/>
      <c r="E827" s="130"/>
      <c r="F827" s="130"/>
      <c r="G827" s="130"/>
      <c r="H827" s="130"/>
      <c r="I827" s="130"/>
    </row>
    <row r="828">
      <c r="A828" s="130"/>
      <c r="B828" s="130"/>
      <c r="C828" s="48"/>
      <c r="D828" s="130"/>
      <c r="E828" s="130"/>
      <c r="F828" s="130"/>
      <c r="G828" s="130"/>
      <c r="H828" s="130"/>
      <c r="I828" s="130"/>
    </row>
    <row r="829">
      <c r="A829" s="130"/>
      <c r="B829" s="130"/>
      <c r="C829" s="48"/>
      <c r="D829" s="130"/>
      <c r="E829" s="130"/>
      <c r="F829" s="130"/>
      <c r="G829" s="130"/>
      <c r="H829" s="130"/>
      <c r="I829" s="130"/>
    </row>
    <row r="830">
      <c r="A830" s="130"/>
      <c r="B830" s="130"/>
      <c r="C830" s="48"/>
      <c r="D830" s="130"/>
      <c r="E830" s="130"/>
      <c r="F830" s="130"/>
      <c r="G830" s="130"/>
      <c r="H830" s="130"/>
      <c r="I830" s="130"/>
    </row>
    <row r="831">
      <c r="A831" s="130"/>
      <c r="B831" s="130"/>
      <c r="C831" s="48"/>
      <c r="D831" s="130"/>
      <c r="E831" s="130"/>
      <c r="F831" s="130"/>
      <c r="G831" s="130"/>
      <c r="H831" s="130"/>
      <c r="I831" s="130"/>
    </row>
    <row r="832">
      <c r="A832" s="130"/>
      <c r="B832" s="130"/>
      <c r="C832" s="48"/>
      <c r="D832" s="130"/>
      <c r="E832" s="130"/>
      <c r="F832" s="130"/>
      <c r="G832" s="130"/>
      <c r="H832" s="130"/>
      <c r="I832" s="130"/>
    </row>
    <row r="833">
      <c r="A833" s="130"/>
      <c r="B833" s="130"/>
      <c r="C833" s="48"/>
      <c r="D833" s="130"/>
      <c r="E833" s="130"/>
      <c r="F833" s="130"/>
      <c r="G833" s="130"/>
      <c r="H833" s="130"/>
      <c r="I833" s="130"/>
    </row>
    <row r="834">
      <c r="A834" s="130"/>
      <c r="B834" s="130"/>
      <c r="C834" s="48"/>
      <c r="D834" s="130"/>
      <c r="E834" s="130"/>
      <c r="F834" s="130"/>
      <c r="G834" s="130"/>
      <c r="H834" s="130"/>
      <c r="I834" s="130"/>
    </row>
    <row r="835">
      <c r="A835" s="130"/>
      <c r="B835" s="130"/>
      <c r="C835" s="48"/>
      <c r="D835" s="130"/>
      <c r="E835" s="130"/>
      <c r="F835" s="130"/>
      <c r="G835" s="130"/>
      <c r="H835" s="130"/>
      <c r="I835" s="130"/>
    </row>
    <row r="836">
      <c r="A836" s="130"/>
      <c r="B836" s="130"/>
      <c r="C836" s="48"/>
      <c r="D836" s="130"/>
      <c r="E836" s="130"/>
      <c r="F836" s="130"/>
      <c r="G836" s="130"/>
      <c r="H836" s="130"/>
      <c r="I836" s="130"/>
    </row>
    <row r="837">
      <c r="A837" s="130"/>
      <c r="B837" s="130"/>
      <c r="C837" s="48"/>
      <c r="D837" s="130"/>
      <c r="E837" s="130"/>
      <c r="F837" s="130"/>
      <c r="G837" s="130"/>
      <c r="H837" s="130"/>
      <c r="I837" s="130"/>
    </row>
    <row r="838">
      <c r="A838" s="130"/>
      <c r="B838" s="130"/>
      <c r="C838" s="48"/>
      <c r="D838" s="130"/>
      <c r="E838" s="130"/>
      <c r="F838" s="130"/>
      <c r="G838" s="130"/>
      <c r="H838" s="130"/>
      <c r="I838" s="130"/>
    </row>
    <row r="839">
      <c r="A839" s="130"/>
      <c r="B839" s="130"/>
      <c r="C839" s="48"/>
      <c r="D839" s="130"/>
      <c r="E839" s="130"/>
      <c r="F839" s="130"/>
      <c r="G839" s="130"/>
      <c r="H839" s="130"/>
      <c r="I839" s="130"/>
    </row>
    <row r="840">
      <c r="A840" s="130"/>
      <c r="B840" s="130"/>
      <c r="C840" s="48"/>
      <c r="D840" s="130"/>
      <c r="E840" s="130"/>
      <c r="F840" s="130"/>
      <c r="G840" s="130"/>
      <c r="H840" s="130"/>
      <c r="I840" s="130"/>
    </row>
    <row r="841">
      <c r="A841" s="130"/>
      <c r="B841" s="130"/>
      <c r="C841" s="48"/>
      <c r="D841" s="130"/>
      <c r="E841" s="130"/>
      <c r="F841" s="130"/>
      <c r="G841" s="130"/>
      <c r="H841" s="130"/>
      <c r="I841" s="130"/>
    </row>
    <row r="842">
      <c r="A842" s="130"/>
      <c r="B842" s="130"/>
      <c r="C842" s="48"/>
      <c r="D842" s="130"/>
      <c r="E842" s="130"/>
      <c r="F842" s="130"/>
      <c r="G842" s="130"/>
      <c r="H842" s="130"/>
      <c r="I842" s="130"/>
    </row>
    <row r="843">
      <c r="A843" s="130"/>
      <c r="B843" s="130"/>
      <c r="C843" s="48"/>
      <c r="D843" s="130"/>
      <c r="E843" s="130"/>
      <c r="F843" s="130"/>
      <c r="G843" s="130"/>
      <c r="H843" s="130"/>
      <c r="I843" s="130"/>
    </row>
    <row r="844">
      <c r="A844" s="130"/>
      <c r="B844" s="130"/>
      <c r="C844" s="48"/>
      <c r="D844" s="130"/>
      <c r="E844" s="130"/>
      <c r="F844" s="130"/>
      <c r="G844" s="130"/>
      <c r="H844" s="130"/>
      <c r="I844" s="130"/>
    </row>
    <row r="845">
      <c r="A845" s="130"/>
      <c r="B845" s="130"/>
      <c r="C845" s="48"/>
      <c r="D845" s="130"/>
      <c r="E845" s="130"/>
      <c r="F845" s="130"/>
      <c r="G845" s="130"/>
      <c r="H845" s="130"/>
      <c r="I845" s="130"/>
    </row>
    <row r="846">
      <c r="A846" s="130"/>
      <c r="B846" s="130"/>
      <c r="C846" s="48"/>
      <c r="D846" s="130"/>
      <c r="E846" s="130"/>
      <c r="F846" s="130"/>
      <c r="G846" s="130"/>
      <c r="H846" s="130"/>
      <c r="I846" s="130"/>
    </row>
    <row r="847">
      <c r="A847" s="130"/>
      <c r="B847" s="130"/>
      <c r="C847" s="48"/>
      <c r="D847" s="130"/>
      <c r="E847" s="130"/>
      <c r="F847" s="130"/>
      <c r="G847" s="130"/>
      <c r="H847" s="130"/>
      <c r="I847" s="130"/>
    </row>
    <row r="848">
      <c r="A848" s="130"/>
      <c r="B848" s="130"/>
      <c r="C848" s="48"/>
      <c r="D848" s="130"/>
      <c r="E848" s="130"/>
      <c r="F848" s="130"/>
      <c r="G848" s="130"/>
      <c r="H848" s="130"/>
      <c r="I848" s="130"/>
    </row>
    <row r="849">
      <c r="A849" s="130"/>
      <c r="B849" s="130"/>
      <c r="C849" s="48"/>
      <c r="D849" s="130"/>
      <c r="E849" s="130"/>
      <c r="F849" s="130"/>
      <c r="G849" s="130"/>
      <c r="H849" s="130"/>
      <c r="I849" s="130"/>
    </row>
    <row r="850">
      <c r="A850" s="130"/>
      <c r="B850" s="130"/>
      <c r="C850" s="48"/>
      <c r="D850" s="130"/>
      <c r="E850" s="130"/>
      <c r="F850" s="130"/>
      <c r="G850" s="130"/>
      <c r="H850" s="130"/>
      <c r="I850" s="130"/>
    </row>
    <row r="851">
      <c r="A851" s="130"/>
      <c r="B851" s="130"/>
      <c r="C851" s="48"/>
      <c r="D851" s="130"/>
      <c r="E851" s="130"/>
      <c r="F851" s="130"/>
      <c r="G851" s="130"/>
      <c r="H851" s="130"/>
      <c r="I851" s="130"/>
    </row>
    <row r="852">
      <c r="A852" s="130"/>
      <c r="B852" s="130"/>
      <c r="C852" s="48"/>
      <c r="D852" s="130"/>
      <c r="E852" s="130"/>
      <c r="F852" s="130"/>
      <c r="G852" s="130"/>
      <c r="H852" s="130"/>
      <c r="I852" s="130"/>
    </row>
    <row r="853">
      <c r="A853" s="130"/>
      <c r="B853" s="130"/>
      <c r="C853" s="48"/>
      <c r="D853" s="130"/>
      <c r="E853" s="130"/>
      <c r="F853" s="130"/>
      <c r="G853" s="130"/>
      <c r="H853" s="130"/>
      <c r="I853" s="130"/>
    </row>
    <row r="854">
      <c r="A854" s="130"/>
      <c r="B854" s="130"/>
      <c r="C854" s="48"/>
      <c r="D854" s="130"/>
      <c r="E854" s="130"/>
      <c r="F854" s="130"/>
      <c r="G854" s="130"/>
      <c r="H854" s="130"/>
      <c r="I854" s="130"/>
    </row>
    <row r="855">
      <c r="A855" s="130"/>
      <c r="B855" s="130"/>
      <c r="C855" s="48"/>
      <c r="D855" s="130"/>
      <c r="E855" s="130"/>
      <c r="F855" s="130"/>
      <c r="G855" s="130"/>
      <c r="H855" s="130"/>
      <c r="I855" s="130"/>
    </row>
    <row r="856">
      <c r="A856" s="130"/>
      <c r="B856" s="130"/>
      <c r="C856" s="48"/>
      <c r="D856" s="130"/>
      <c r="E856" s="130"/>
      <c r="F856" s="130"/>
      <c r="G856" s="130"/>
      <c r="H856" s="130"/>
      <c r="I856" s="130"/>
    </row>
    <row r="857">
      <c r="A857" s="130"/>
      <c r="B857" s="130"/>
      <c r="C857" s="48"/>
      <c r="D857" s="130"/>
      <c r="E857" s="130"/>
      <c r="F857" s="130"/>
      <c r="G857" s="130"/>
      <c r="H857" s="130"/>
      <c r="I857" s="130"/>
    </row>
    <row r="858">
      <c r="A858" s="130"/>
      <c r="B858" s="130"/>
      <c r="C858" s="48"/>
      <c r="D858" s="130"/>
      <c r="E858" s="130"/>
      <c r="F858" s="130"/>
      <c r="G858" s="130"/>
      <c r="H858" s="130"/>
      <c r="I858" s="130"/>
    </row>
    <row r="859">
      <c r="A859" s="130"/>
      <c r="B859" s="130"/>
      <c r="C859" s="48"/>
      <c r="D859" s="130"/>
      <c r="E859" s="130"/>
      <c r="F859" s="130"/>
      <c r="G859" s="130"/>
      <c r="H859" s="130"/>
      <c r="I859" s="130"/>
    </row>
    <row r="860">
      <c r="A860" s="130"/>
      <c r="B860" s="130"/>
      <c r="C860" s="48"/>
      <c r="D860" s="130"/>
      <c r="E860" s="130"/>
      <c r="F860" s="130"/>
      <c r="G860" s="130"/>
      <c r="H860" s="130"/>
      <c r="I860" s="130"/>
    </row>
    <row r="861">
      <c r="A861" s="130"/>
      <c r="B861" s="130"/>
      <c r="C861" s="48"/>
      <c r="D861" s="130"/>
      <c r="E861" s="130"/>
      <c r="F861" s="130"/>
      <c r="G861" s="130"/>
      <c r="H861" s="130"/>
      <c r="I861" s="130"/>
    </row>
    <row r="862">
      <c r="A862" s="130"/>
      <c r="B862" s="130"/>
      <c r="C862" s="48"/>
      <c r="D862" s="130"/>
      <c r="E862" s="130"/>
      <c r="F862" s="130"/>
      <c r="G862" s="130"/>
      <c r="H862" s="130"/>
      <c r="I862" s="130"/>
    </row>
    <row r="863">
      <c r="A863" s="130"/>
      <c r="B863" s="130"/>
      <c r="C863" s="48"/>
      <c r="D863" s="130"/>
      <c r="E863" s="130"/>
      <c r="F863" s="130"/>
      <c r="G863" s="130"/>
      <c r="H863" s="130"/>
      <c r="I863" s="130"/>
    </row>
    <row r="864">
      <c r="A864" s="130"/>
      <c r="B864" s="130"/>
      <c r="C864" s="48"/>
      <c r="D864" s="130"/>
      <c r="E864" s="130"/>
      <c r="F864" s="130"/>
      <c r="G864" s="130"/>
      <c r="H864" s="130"/>
      <c r="I864" s="130"/>
    </row>
    <row r="865">
      <c r="A865" s="130"/>
      <c r="B865" s="130"/>
      <c r="C865" s="48"/>
      <c r="D865" s="130"/>
      <c r="E865" s="130"/>
      <c r="F865" s="130"/>
      <c r="G865" s="130"/>
      <c r="H865" s="130"/>
      <c r="I865" s="130"/>
    </row>
    <row r="866">
      <c r="A866" s="130"/>
      <c r="B866" s="130"/>
      <c r="C866" s="48"/>
      <c r="D866" s="130"/>
      <c r="E866" s="130"/>
      <c r="F866" s="130"/>
      <c r="G866" s="130"/>
      <c r="H866" s="130"/>
      <c r="I866" s="130"/>
    </row>
    <row r="867">
      <c r="A867" s="130"/>
      <c r="B867" s="130"/>
      <c r="C867" s="48"/>
      <c r="D867" s="130"/>
      <c r="E867" s="130"/>
      <c r="F867" s="130"/>
      <c r="G867" s="130"/>
      <c r="H867" s="130"/>
      <c r="I867" s="130"/>
    </row>
    <row r="868">
      <c r="A868" s="130"/>
      <c r="B868" s="130"/>
      <c r="C868" s="48"/>
      <c r="D868" s="130"/>
      <c r="E868" s="130"/>
      <c r="F868" s="130"/>
      <c r="G868" s="130"/>
      <c r="H868" s="130"/>
      <c r="I868" s="130"/>
    </row>
    <row r="869">
      <c r="A869" s="130"/>
      <c r="B869" s="130"/>
      <c r="C869" s="48"/>
      <c r="D869" s="130"/>
      <c r="E869" s="130"/>
      <c r="F869" s="130"/>
      <c r="G869" s="130"/>
      <c r="H869" s="130"/>
      <c r="I869" s="130"/>
    </row>
    <row r="870">
      <c r="A870" s="130"/>
      <c r="B870" s="130"/>
      <c r="C870" s="48"/>
      <c r="D870" s="130"/>
      <c r="E870" s="130"/>
      <c r="F870" s="130"/>
      <c r="G870" s="130"/>
      <c r="H870" s="130"/>
      <c r="I870" s="130"/>
    </row>
    <row r="871">
      <c r="A871" s="130"/>
      <c r="B871" s="130"/>
      <c r="C871" s="48"/>
      <c r="D871" s="130"/>
      <c r="E871" s="130"/>
      <c r="F871" s="130"/>
      <c r="G871" s="130"/>
      <c r="H871" s="130"/>
      <c r="I871" s="130"/>
    </row>
    <row r="872">
      <c r="A872" s="130"/>
      <c r="B872" s="130"/>
      <c r="C872" s="48"/>
      <c r="D872" s="130"/>
      <c r="E872" s="130"/>
      <c r="F872" s="130"/>
      <c r="G872" s="130"/>
      <c r="H872" s="130"/>
      <c r="I872" s="130"/>
    </row>
    <row r="873">
      <c r="A873" s="130"/>
      <c r="B873" s="130"/>
      <c r="C873" s="48"/>
      <c r="D873" s="130"/>
      <c r="E873" s="130"/>
      <c r="F873" s="130"/>
      <c r="G873" s="130"/>
      <c r="H873" s="130"/>
      <c r="I873" s="130"/>
    </row>
    <row r="874">
      <c r="A874" s="130"/>
      <c r="B874" s="130"/>
      <c r="C874" s="48"/>
      <c r="D874" s="130"/>
      <c r="E874" s="130"/>
      <c r="F874" s="130"/>
      <c r="G874" s="130"/>
      <c r="H874" s="130"/>
      <c r="I874" s="130"/>
    </row>
    <row r="875">
      <c r="A875" s="130"/>
      <c r="B875" s="130"/>
      <c r="C875" s="48"/>
      <c r="D875" s="130"/>
      <c r="E875" s="130"/>
      <c r="F875" s="130"/>
      <c r="G875" s="130"/>
      <c r="H875" s="130"/>
      <c r="I875" s="130"/>
    </row>
    <row r="876">
      <c r="A876" s="130"/>
      <c r="B876" s="130"/>
      <c r="C876" s="48"/>
      <c r="D876" s="130"/>
      <c r="E876" s="130"/>
      <c r="F876" s="130"/>
      <c r="G876" s="130"/>
      <c r="H876" s="130"/>
      <c r="I876" s="130"/>
    </row>
    <row r="877">
      <c r="A877" s="130"/>
      <c r="B877" s="130"/>
      <c r="C877" s="48"/>
      <c r="D877" s="130"/>
      <c r="E877" s="130"/>
      <c r="F877" s="130"/>
      <c r="G877" s="130"/>
      <c r="H877" s="130"/>
      <c r="I877" s="130"/>
    </row>
    <row r="878">
      <c r="A878" s="130"/>
      <c r="B878" s="130"/>
      <c r="C878" s="48"/>
      <c r="D878" s="130"/>
      <c r="E878" s="130"/>
      <c r="F878" s="130"/>
      <c r="G878" s="130"/>
      <c r="H878" s="130"/>
      <c r="I878" s="130"/>
    </row>
    <row r="879">
      <c r="A879" s="130"/>
      <c r="B879" s="130"/>
      <c r="C879" s="48"/>
      <c r="D879" s="130"/>
      <c r="E879" s="130"/>
      <c r="F879" s="130"/>
      <c r="G879" s="130"/>
      <c r="H879" s="130"/>
      <c r="I879" s="130"/>
    </row>
    <row r="880">
      <c r="A880" s="130"/>
      <c r="B880" s="130"/>
      <c r="C880" s="48"/>
      <c r="D880" s="130"/>
      <c r="E880" s="130"/>
      <c r="F880" s="130"/>
      <c r="G880" s="130"/>
      <c r="H880" s="130"/>
      <c r="I880" s="130"/>
    </row>
    <row r="881">
      <c r="A881" s="130"/>
      <c r="B881" s="130"/>
      <c r="C881" s="48"/>
      <c r="D881" s="130"/>
      <c r="E881" s="130"/>
      <c r="F881" s="130"/>
      <c r="G881" s="130"/>
      <c r="H881" s="130"/>
      <c r="I881" s="130"/>
    </row>
    <row r="882">
      <c r="A882" s="130"/>
      <c r="B882" s="130"/>
      <c r="C882" s="48"/>
      <c r="D882" s="130"/>
      <c r="E882" s="130"/>
      <c r="F882" s="130"/>
      <c r="G882" s="130"/>
      <c r="H882" s="130"/>
      <c r="I882" s="130"/>
    </row>
    <row r="883">
      <c r="A883" s="130"/>
      <c r="B883" s="130"/>
      <c r="C883" s="48"/>
      <c r="D883" s="130"/>
      <c r="E883" s="130"/>
      <c r="F883" s="130"/>
      <c r="G883" s="130"/>
      <c r="H883" s="130"/>
      <c r="I883" s="130"/>
    </row>
    <row r="884">
      <c r="A884" s="130"/>
      <c r="B884" s="130"/>
      <c r="C884" s="48"/>
      <c r="D884" s="130"/>
      <c r="E884" s="130"/>
      <c r="F884" s="130"/>
      <c r="G884" s="130"/>
      <c r="H884" s="130"/>
      <c r="I884" s="130"/>
    </row>
    <row r="885">
      <c r="A885" s="130"/>
      <c r="B885" s="130"/>
      <c r="C885" s="48"/>
      <c r="D885" s="130"/>
      <c r="E885" s="130"/>
      <c r="F885" s="130"/>
      <c r="G885" s="130"/>
      <c r="H885" s="130"/>
      <c r="I885" s="130"/>
    </row>
    <row r="886">
      <c r="A886" s="130"/>
      <c r="B886" s="130"/>
      <c r="C886" s="48"/>
      <c r="D886" s="130"/>
      <c r="E886" s="130"/>
      <c r="F886" s="130"/>
      <c r="G886" s="130"/>
      <c r="H886" s="130"/>
      <c r="I886" s="130"/>
    </row>
    <row r="887">
      <c r="A887" s="130"/>
      <c r="B887" s="130"/>
      <c r="C887" s="48"/>
      <c r="D887" s="130"/>
      <c r="E887" s="130"/>
      <c r="F887" s="130"/>
      <c r="G887" s="130"/>
      <c r="H887" s="130"/>
      <c r="I887" s="130"/>
    </row>
    <row r="888">
      <c r="A888" s="130"/>
      <c r="B888" s="130"/>
      <c r="C888" s="48"/>
      <c r="D888" s="130"/>
      <c r="E888" s="130"/>
      <c r="F888" s="130"/>
      <c r="G888" s="130"/>
      <c r="H888" s="130"/>
      <c r="I888" s="130"/>
    </row>
    <row r="889">
      <c r="A889" s="130"/>
      <c r="B889" s="130"/>
      <c r="C889" s="48"/>
      <c r="D889" s="130"/>
      <c r="E889" s="130"/>
      <c r="F889" s="130"/>
      <c r="G889" s="130"/>
      <c r="H889" s="130"/>
      <c r="I889" s="130"/>
    </row>
    <row r="890">
      <c r="A890" s="130"/>
      <c r="B890" s="130"/>
      <c r="C890" s="48"/>
      <c r="D890" s="130"/>
      <c r="E890" s="130"/>
      <c r="F890" s="130"/>
      <c r="G890" s="130"/>
      <c r="H890" s="130"/>
      <c r="I890" s="130"/>
    </row>
    <row r="891">
      <c r="A891" s="130"/>
      <c r="B891" s="130"/>
      <c r="C891" s="48"/>
      <c r="D891" s="130"/>
      <c r="E891" s="130"/>
      <c r="F891" s="130"/>
      <c r="G891" s="130"/>
      <c r="H891" s="130"/>
      <c r="I891" s="130"/>
    </row>
    <row r="892">
      <c r="A892" s="130"/>
      <c r="B892" s="130"/>
      <c r="C892" s="48"/>
      <c r="D892" s="130"/>
      <c r="E892" s="130"/>
      <c r="F892" s="130"/>
      <c r="G892" s="130"/>
      <c r="H892" s="130"/>
      <c r="I892" s="130"/>
    </row>
    <row r="893">
      <c r="A893" s="130"/>
      <c r="B893" s="130"/>
      <c r="C893" s="48"/>
      <c r="D893" s="130"/>
      <c r="E893" s="130"/>
      <c r="F893" s="130"/>
      <c r="G893" s="130"/>
      <c r="H893" s="130"/>
      <c r="I893" s="130"/>
    </row>
    <row r="894">
      <c r="A894" s="130"/>
      <c r="B894" s="130"/>
      <c r="C894" s="48"/>
      <c r="D894" s="130"/>
      <c r="E894" s="130"/>
      <c r="F894" s="130"/>
      <c r="G894" s="130"/>
      <c r="H894" s="130"/>
      <c r="I894" s="130"/>
    </row>
    <row r="895">
      <c r="A895" s="130"/>
      <c r="B895" s="130"/>
      <c r="C895" s="48"/>
      <c r="D895" s="130"/>
      <c r="E895" s="130"/>
      <c r="F895" s="130"/>
      <c r="G895" s="130"/>
      <c r="H895" s="130"/>
      <c r="I895" s="130"/>
    </row>
    <row r="896">
      <c r="A896" s="130"/>
      <c r="B896" s="130"/>
      <c r="C896" s="48"/>
      <c r="D896" s="130"/>
      <c r="E896" s="130"/>
      <c r="F896" s="130"/>
      <c r="G896" s="130"/>
      <c r="H896" s="130"/>
      <c r="I896" s="130"/>
    </row>
    <row r="897">
      <c r="A897" s="130"/>
      <c r="B897" s="130"/>
      <c r="C897" s="48"/>
      <c r="D897" s="130"/>
      <c r="E897" s="130"/>
      <c r="F897" s="130"/>
      <c r="G897" s="130"/>
      <c r="H897" s="130"/>
      <c r="I897" s="130"/>
    </row>
    <row r="898">
      <c r="A898" s="130"/>
      <c r="B898" s="130"/>
      <c r="C898" s="48"/>
      <c r="D898" s="130"/>
      <c r="E898" s="130"/>
      <c r="F898" s="130"/>
      <c r="G898" s="130"/>
      <c r="H898" s="130"/>
      <c r="I898" s="130"/>
    </row>
    <row r="899">
      <c r="A899" s="130"/>
      <c r="B899" s="130"/>
      <c r="C899" s="48"/>
      <c r="D899" s="130"/>
      <c r="E899" s="130"/>
      <c r="F899" s="130"/>
      <c r="G899" s="130"/>
      <c r="H899" s="130"/>
      <c r="I899" s="130"/>
    </row>
    <row r="900">
      <c r="A900" s="130"/>
      <c r="B900" s="130"/>
      <c r="C900" s="48"/>
      <c r="D900" s="130"/>
      <c r="E900" s="130"/>
      <c r="F900" s="130"/>
      <c r="G900" s="130"/>
      <c r="H900" s="130"/>
      <c r="I900" s="130"/>
    </row>
    <row r="901">
      <c r="A901" s="130"/>
      <c r="B901" s="130"/>
      <c r="C901" s="48"/>
      <c r="D901" s="130"/>
      <c r="E901" s="130"/>
      <c r="F901" s="130"/>
      <c r="G901" s="130"/>
      <c r="H901" s="130"/>
      <c r="I901" s="130"/>
    </row>
    <row r="902">
      <c r="A902" s="130"/>
      <c r="B902" s="130"/>
      <c r="C902" s="48"/>
      <c r="D902" s="130"/>
      <c r="E902" s="130"/>
      <c r="F902" s="130"/>
      <c r="G902" s="130"/>
      <c r="H902" s="130"/>
      <c r="I902" s="130"/>
    </row>
    <row r="903">
      <c r="A903" s="130"/>
      <c r="B903" s="130"/>
      <c r="C903" s="48"/>
      <c r="D903" s="130"/>
      <c r="E903" s="130"/>
      <c r="F903" s="130"/>
      <c r="G903" s="130"/>
      <c r="H903" s="130"/>
      <c r="I903" s="130"/>
    </row>
    <row r="904">
      <c r="A904" s="130"/>
      <c r="B904" s="130"/>
      <c r="C904" s="48"/>
      <c r="D904" s="130"/>
      <c r="E904" s="130"/>
      <c r="F904" s="130"/>
      <c r="G904" s="130"/>
      <c r="H904" s="130"/>
      <c r="I904" s="130"/>
    </row>
    <row r="905">
      <c r="A905" s="130"/>
      <c r="B905" s="130"/>
      <c r="C905" s="48"/>
      <c r="D905" s="130"/>
      <c r="E905" s="130"/>
      <c r="F905" s="130"/>
      <c r="G905" s="130"/>
      <c r="H905" s="130"/>
      <c r="I905" s="130"/>
    </row>
    <row r="906">
      <c r="A906" s="130"/>
      <c r="B906" s="130"/>
      <c r="C906" s="48"/>
      <c r="D906" s="130"/>
      <c r="E906" s="130"/>
      <c r="F906" s="130"/>
      <c r="G906" s="130"/>
      <c r="H906" s="130"/>
      <c r="I906" s="130"/>
    </row>
    <row r="907">
      <c r="A907" s="130"/>
      <c r="B907" s="130"/>
      <c r="C907" s="48"/>
      <c r="D907" s="130"/>
      <c r="E907" s="130"/>
      <c r="F907" s="130"/>
      <c r="G907" s="130"/>
      <c r="H907" s="130"/>
      <c r="I907" s="130"/>
    </row>
    <row r="908">
      <c r="A908" s="130"/>
      <c r="B908" s="130"/>
      <c r="C908" s="48"/>
      <c r="D908" s="130"/>
      <c r="E908" s="130"/>
      <c r="F908" s="130"/>
      <c r="G908" s="130"/>
      <c r="H908" s="130"/>
      <c r="I908" s="130"/>
    </row>
    <row r="909">
      <c r="A909" s="130"/>
      <c r="B909" s="130"/>
      <c r="C909" s="48"/>
      <c r="D909" s="130"/>
      <c r="E909" s="130"/>
      <c r="F909" s="130"/>
      <c r="G909" s="130"/>
      <c r="H909" s="130"/>
      <c r="I909" s="130"/>
    </row>
    <row r="910">
      <c r="A910" s="130"/>
      <c r="B910" s="130"/>
      <c r="C910" s="48"/>
      <c r="D910" s="130"/>
      <c r="E910" s="130"/>
      <c r="F910" s="130"/>
      <c r="G910" s="130"/>
      <c r="H910" s="130"/>
      <c r="I910" s="130"/>
    </row>
    <row r="911">
      <c r="A911" s="130"/>
      <c r="B911" s="130"/>
      <c r="C911" s="48"/>
      <c r="D911" s="130"/>
      <c r="E911" s="130"/>
      <c r="F911" s="130"/>
      <c r="G911" s="130"/>
      <c r="H911" s="130"/>
      <c r="I911" s="130"/>
    </row>
    <row r="912">
      <c r="A912" s="130"/>
      <c r="B912" s="130"/>
      <c r="C912" s="48"/>
      <c r="D912" s="130"/>
      <c r="E912" s="130"/>
      <c r="F912" s="130"/>
      <c r="G912" s="130"/>
      <c r="H912" s="130"/>
      <c r="I912" s="130"/>
    </row>
    <row r="913">
      <c r="A913" s="130"/>
      <c r="B913" s="130"/>
      <c r="C913" s="48"/>
      <c r="D913" s="130"/>
      <c r="E913" s="130"/>
      <c r="F913" s="130"/>
      <c r="G913" s="130"/>
      <c r="H913" s="130"/>
      <c r="I913" s="130"/>
    </row>
    <row r="914">
      <c r="A914" s="130"/>
      <c r="B914" s="130"/>
      <c r="C914" s="48"/>
      <c r="D914" s="130"/>
      <c r="E914" s="130"/>
      <c r="F914" s="130"/>
      <c r="G914" s="130"/>
      <c r="H914" s="130"/>
      <c r="I914" s="130"/>
    </row>
    <row r="915">
      <c r="A915" s="130"/>
      <c r="B915" s="130"/>
      <c r="C915" s="48"/>
      <c r="D915" s="130"/>
      <c r="E915" s="130"/>
      <c r="F915" s="130"/>
      <c r="G915" s="130"/>
      <c r="H915" s="130"/>
      <c r="I915" s="130"/>
    </row>
    <row r="916">
      <c r="A916" s="130"/>
      <c r="B916" s="130"/>
      <c r="C916" s="48"/>
      <c r="D916" s="130"/>
      <c r="E916" s="130"/>
      <c r="F916" s="130"/>
      <c r="G916" s="130"/>
      <c r="H916" s="130"/>
      <c r="I916" s="130"/>
    </row>
    <row r="917">
      <c r="A917" s="130"/>
      <c r="B917" s="130"/>
      <c r="C917" s="48"/>
      <c r="D917" s="130"/>
      <c r="E917" s="130"/>
      <c r="F917" s="130"/>
      <c r="G917" s="130"/>
      <c r="H917" s="130"/>
      <c r="I917" s="130"/>
    </row>
    <row r="918">
      <c r="A918" s="130"/>
      <c r="B918" s="130"/>
      <c r="C918" s="48"/>
      <c r="D918" s="130"/>
      <c r="E918" s="130"/>
      <c r="F918" s="130"/>
      <c r="G918" s="130"/>
      <c r="H918" s="130"/>
      <c r="I918" s="130"/>
    </row>
    <row r="919">
      <c r="A919" s="130"/>
      <c r="B919" s="130"/>
      <c r="C919" s="48"/>
      <c r="D919" s="130"/>
      <c r="E919" s="130"/>
      <c r="F919" s="130"/>
      <c r="G919" s="130"/>
      <c r="H919" s="130"/>
      <c r="I919" s="130"/>
    </row>
    <row r="920">
      <c r="A920" s="130"/>
      <c r="B920" s="130"/>
      <c r="C920" s="48"/>
      <c r="D920" s="130"/>
      <c r="E920" s="130"/>
      <c r="F920" s="130"/>
      <c r="G920" s="130"/>
      <c r="H920" s="130"/>
      <c r="I920" s="130"/>
    </row>
    <row r="921">
      <c r="A921" s="130"/>
      <c r="B921" s="130"/>
      <c r="C921" s="48"/>
      <c r="D921" s="130"/>
      <c r="E921" s="130"/>
      <c r="F921" s="130"/>
      <c r="G921" s="130"/>
      <c r="H921" s="130"/>
      <c r="I921" s="130"/>
    </row>
    <row r="922">
      <c r="A922" s="130"/>
      <c r="B922" s="130"/>
      <c r="C922" s="48"/>
      <c r="D922" s="130"/>
      <c r="E922" s="130"/>
      <c r="F922" s="130"/>
      <c r="G922" s="130"/>
      <c r="H922" s="130"/>
      <c r="I922" s="130"/>
    </row>
    <row r="923">
      <c r="A923" s="130"/>
      <c r="B923" s="130"/>
      <c r="C923" s="48"/>
      <c r="D923" s="130"/>
      <c r="E923" s="130"/>
      <c r="F923" s="130"/>
      <c r="G923" s="130"/>
      <c r="H923" s="130"/>
      <c r="I923" s="130"/>
    </row>
    <row r="924">
      <c r="A924" s="130"/>
      <c r="B924" s="130"/>
      <c r="C924" s="48"/>
      <c r="D924" s="130"/>
      <c r="E924" s="130"/>
      <c r="F924" s="130"/>
      <c r="G924" s="130"/>
      <c r="H924" s="130"/>
      <c r="I924" s="130"/>
    </row>
    <row r="925">
      <c r="A925" s="130"/>
      <c r="B925" s="130"/>
      <c r="C925" s="48"/>
      <c r="D925" s="130"/>
      <c r="E925" s="130"/>
      <c r="F925" s="130"/>
      <c r="G925" s="130"/>
      <c r="H925" s="130"/>
      <c r="I925" s="130"/>
    </row>
    <row r="926">
      <c r="A926" s="130"/>
      <c r="B926" s="130"/>
      <c r="C926" s="48"/>
      <c r="D926" s="130"/>
      <c r="E926" s="130"/>
      <c r="F926" s="130"/>
      <c r="G926" s="130"/>
      <c r="H926" s="130"/>
      <c r="I926" s="130"/>
    </row>
    <row r="927">
      <c r="A927" s="130"/>
      <c r="B927" s="130"/>
      <c r="C927" s="48"/>
      <c r="D927" s="130"/>
      <c r="E927" s="130"/>
      <c r="F927" s="130"/>
      <c r="G927" s="130"/>
      <c r="H927" s="130"/>
      <c r="I927" s="130"/>
    </row>
    <row r="928">
      <c r="A928" s="130"/>
      <c r="B928" s="130"/>
      <c r="C928" s="48"/>
      <c r="D928" s="130"/>
      <c r="E928" s="130"/>
      <c r="F928" s="130"/>
      <c r="G928" s="130"/>
      <c r="H928" s="130"/>
      <c r="I928" s="130"/>
    </row>
    <row r="929">
      <c r="A929" s="130"/>
      <c r="B929" s="130"/>
      <c r="C929" s="48"/>
      <c r="D929" s="130"/>
      <c r="E929" s="130"/>
      <c r="F929" s="130"/>
      <c r="G929" s="130"/>
      <c r="H929" s="130"/>
      <c r="I929" s="130"/>
    </row>
    <row r="930">
      <c r="A930" s="130"/>
      <c r="B930" s="130"/>
      <c r="C930" s="48"/>
      <c r="D930" s="130"/>
      <c r="E930" s="130"/>
      <c r="F930" s="130"/>
      <c r="G930" s="130"/>
      <c r="H930" s="130"/>
      <c r="I930" s="130"/>
    </row>
    <row r="931">
      <c r="A931" s="130"/>
      <c r="B931" s="130"/>
      <c r="C931" s="48"/>
      <c r="D931" s="130"/>
      <c r="E931" s="130"/>
      <c r="F931" s="130"/>
      <c r="G931" s="130"/>
      <c r="H931" s="130"/>
      <c r="I931" s="130"/>
    </row>
    <row r="932">
      <c r="A932" s="130"/>
      <c r="B932" s="130"/>
      <c r="C932" s="48"/>
      <c r="D932" s="130"/>
      <c r="E932" s="130"/>
      <c r="F932" s="130"/>
      <c r="G932" s="130"/>
      <c r="H932" s="130"/>
      <c r="I932" s="130"/>
    </row>
    <row r="933">
      <c r="A933" s="130"/>
      <c r="B933" s="130"/>
      <c r="C933" s="48"/>
      <c r="D933" s="130"/>
      <c r="E933" s="130"/>
      <c r="F933" s="130"/>
      <c r="G933" s="130"/>
      <c r="H933" s="130"/>
      <c r="I933" s="130"/>
    </row>
    <row r="934">
      <c r="A934" s="130"/>
      <c r="B934" s="130"/>
      <c r="C934" s="48"/>
      <c r="D934" s="130"/>
      <c r="E934" s="130"/>
      <c r="F934" s="130"/>
      <c r="G934" s="130"/>
      <c r="H934" s="130"/>
      <c r="I934" s="130"/>
    </row>
    <row r="935">
      <c r="A935" s="130"/>
      <c r="B935" s="130"/>
      <c r="C935" s="48"/>
      <c r="D935" s="130"/>
      <c r="E935" s="130"/>
      <c r="F935" s="130"/>
      <c r="G935" s="130"/>
      <c r="H935" s="130"/>
      <c r="I935" s="130"/>
    </row>
    <row r="936">
      <c r="A936" s="130"/>
      <c r="B936" s="130"/>
      <c r="C936" s="48"/>
      <c r="D936" s="130"/>
      <c r="E936" s="130"/>
      <c r="F936" s="130"/>
      <c r="G936" s="130"/>
      <c r="H936" s="130"/>
      <c r="I936" s="130"/>
    </row>
    <row r="937">
      <c r="A937" s="130"/>
      <c r="B937" s="130"/>
      <c r="C937" s="48"/>
      <c r="D937" s="130"/>
      <c r="E937" s="130"/>
      <c r="F937" s="130"/>
      <c r="G937" s="130"/>
      <c r="H937" s="130"/>
      <c r="I937" s="130"/>
    </row>
    <row r="938">
      <c r="A938" s="130"/>
      <c r="B938" s="130"/>
      <c r="C938" s="48"/>
      <c r="D938" s="130"/>
      <c r="E938" s="130"/>
      <c r="F938" s="130"/>
      <c r="G938" s="130"/>
      <c r="H938" s="130"/>
      <c r="I938" s="130"/>
    </row>
    <row r="939">
      <c r="A939" s="130"/>
      <c r="B939" s="130"/>
      <c r="C939" s="48"/>
      <c r="D939" s="130"/>
      <c r="E939" s="130"/>
      <c r="F939" s="130"/>
      <c r="G939" s="130"/>
      <c r="H939" s="130"/>
      <c r="I939" s="130"/>
    </row>
    <row r="940">
      <c r="A940" s="130"/>
      <c r="B940" s="130"/>
      <c r="C940" s="48"/>
      <c r="D940" s="130"/>
      <c r="E940" s="130"/>
      <c r="F940" s="130"/>
      <c r="G940" s="130"/>
      <c r="H940" s="130"/>
      <c r="I940" s="130"/>
    </row>
    <row r="941">
      <c r="A941" s="130"/>
      <c r="B941" s="130"/>
      <c r="C941" s="48"/>
      <c r="D941" s="130"/>
      <c r="E941" s="130"/>
      <c r="F941" s="130"/>
      <c r="G941" s="130"/>
      <c r="H941" s="130"/>
      <c r="I941" s="130"/>
    </row>
    <row r="942">
      <c r="A942" s="130"/>
      <c r="B942" s="130"/>
      <c r="C942" s="48"/>
      <c r="D942" s="130"/>
      <c r="E942" s="130"/>
      <c r="F942" s="130"/>
      <c r="G942" s="130"/>
      <c r="H942" s="130"/>
      <c r="I942" s="130"/>
    </row>
    <row r="943">
      <c r="A943" s="130"/>
      <c r="B943" s="130"/>
      <c r="C943" s="48"/>
      <c r="D943" s="130"/>
      <c r="E943" s="130"/>
      <c r="F943" s="130"/>
      <c r="G943" s="130"/>
      <c r="H943" s="130"/>
      <c r="I943" s="130"/>
    </row>
    <row r="944">
      <c r="A944" s="130"/>
      <c r="B944" s="130"/>
      <c r="C944" s="48"/>
      <c r="D944" s="130"/>
      <c r="E944" s="130"/>
      <c r="F944" s="130"/>
      <c r="G944" s="130"/>
      <c r="H944" s="130"/>
      <c r="I944" s="130"/>
    </row>
    <row r="945">
      <c r="A945" s="130"/>
      <c r="B945" s="130"/>
      <c r="C945" s="48"/>
      <c r="D945" s="130"/>
      <c r="E945" s="130"/>
      <c r="F945" s="130"/>
      <c r="G945" s="130"/>
      <c r="H945" s="130"/>
      <c r="I945" s="130"/>
    </row>
    <row r="946">
      <c r="A946" s="130"/>
      <c r="B946" s="130"/>
      <c r="C946" s="48"/>
      <c r="D946" s="130"/>
      <c r="E946" s="130"/>
      <c r="F946" s="130"/>
      <c r="G946" s="130"/>
      <c r="H946" s="130"/>
      <c r="I946" s="130"/>
    </row>
    <row r="947">
      <c r="A947" s="130"/>
      <c r="B947" s="130"/>
      <c r="C947" s="48"/>
      <c r="D947" s="130"/>
      <c r="E947" s="130"/>
      <c r="F947" s="130"/>
      <c r="G947" s="130"/>
      <c r="H947" s="130"/>
      <c r="I947" s="130"/>
    </row>
    <row r="948">
      <c r="A948" s="130"/>
      <c r="B948" s="130"/>
      <c r="C948" s="48"/>
      <c r="D948" s="130"/>
      <c r="E948" s="130"/>
      <c r="F948" s="130"/>
      <c r="G948" s="130"/>
      <c r="H948" s="130"/>
      <c r="I948" s="130"/>
    </row>
    <row r="949">
      <c r="A949" s="130"/>
      <c r="B949" s="130"/>
      <c r="C949" s="48"/>
      <c r="D949" s="130"/>
      <c r="E949" s="130"/>
      <c r="F949" s="130"/>
      <c r="G949" s="130"/>
      <c r="H949" s="130"/>
      <c r="I949" s="130"/>
    </row>
    <row r="950">
      <c r="A950" s="130"/>
      <c r="B950" s="130"/>
      <c r="C950" s="48"/>
      <c r="D950" s="130"/>
      <c r="E950" s="130"/>
      <c r="F950" s="130"/>
      <c r="G950" s="130"/>
      <c r="H950" s="130"/>
      <c r="I950" s="130"/>
    </row>
    <row r="951">
      <c r="A951" s="130"/>
      <c r="B951" s="130"/>
      <c r="C951" s="48"/>
      <c r="D951" s="130"/>
      <c r="E951" s="130"/>
      <c r="F951" s="130"/>
      <c r="G951" s="130"/>
      <c r="H951" s="130"/>
      <c r="I951" s="130"/>
    </row>
    <row r="952">
      <c r="A952" s="130"/>
      <c r="B952" s="130"/>
      <c r="C952" s="48"/>
      <c r="D952" s="130"/>
      <c r="E952" s="130"/>
      <c r="F952" s="130"/>
      <c r="G952" s="130"/>
      <c r="H952" s="130"/>
      <c r="I952" s="130"/>
    </row>
    <row r="953">
      <c r="A953" s="130"/>
      <c r="B953" s="130"/>
      <c r="C953" s="48"/>
      <c r="D953" s="130"/>
      <c r="E953" s="130"/>
      <c r="F953" s="130"/>
      <c r="G953" s="130"/>
      <c r="H953" s="130"/>
      <c r="I953" s="130"/>
    </row>
    <row r="954">
      <c r="A954" s="130"/>
      <c r="B954" s="130"/>
      <c r="C954" s="48"/>
      <c r="D954" s="130"/>
      <c r="E954" s="130"/>
      <c r="F954" s="130"/>
      <c r="G954" s="130"/>
      <c r="H954" s="130"/>
      <c r="I954" s="130"/>
    </row>
    <row r="955">
      <c r="A955" s="130"/>
      <c r="B955" s="130"/>
      <c r="C955" s="48"/>
      <c r="D955" s="130"/>
      <c r="E955" s="130"/>
      <c r="F955" s="130"/>
      <c r="G955" s="130"/>
      <c r="H955" s="130"/>
      <c r="I955" s="130"/>
    </row>
    <row r="956">
      <c r="A956" s="130"/>
      <c r="B956" s="130"/>
      <c r="C956" s="48"/>
      <c r="D956" s="130"/>
      <c r="E956" s="130"/>
      <c r="F956" s="130"/>
      <c r="G956" s="130"/>
      <c r="H956" s="130"/>
      <c r="I956" s="130"/>
    </row>
    <row r="957">
      <c r="A957" s="130"/>
      <c r="B957" s="130"/>
      <c r="C957" s="48"/>
      <c r="D957" s="130"/>
      <c r="E957" s="130"/>
      <c r="F957" s="130"/>
      <c r="G957" s="130"/>
      <c r="H957" s="130"/>
      <c r="I957" s="130"/>
    </row>
    <row r="958">
      <c r="A958" s="130"/>
      <c r="B958" s="130"/>
      <c r="C958" s="48"/>
      <c r="D958" s="130"/>
      <c r="E958" s="130"/>
      <c r="F958" s="130"/>
      <c r="G958" s="130"/>
      <c r="H958" s="130"/>
      <c r="I958" s="130"/>
    </row>
    <row r="959">
      <c r="A959" s="130"/>
      <c r="B959" s="130"/>
      <c r="C959" s="48"/>
      <c r="D959" s="130"/>
      <c r="E959" s="130"/>
      <c r="F959" s="130"/>
      <c r="G959" s="130"/>
      <c r="H959" s="130"/>
      <c r="I959" s="130"/>
    </row>
    <row r="960">
      <c r="A960" s="130"/>
      <c r="B960" s="130"/>
      <c r="C960" s="48"/>
      <c r="D960" s="130"/>
      <c r="E960" s="130"/>
      <c r="F960" s="130"/>
      <c r="G960" s="130"/>
      <c r="H960" s="130"/>
      <c r="I960" s="130"/>
    </row>
    <row r="961">
      <c r="A961" s="130"/>
      <c r="B961" s="130"/>
      <c r="C961" s="48"/>
      <c r="D961" s="130"/>
      <c r="E961" s="130"/>
      <c r="F961" s="130"/>
      <c r="G961" s="130"/>
      <c r="H961" s="130"/>
      <c r="I961" s="130"/>
    </row>
    <row r="962">
      <c r="A962" s="130"/>
      <c r="B962" s="130"/>
      <c r="C962" s="48"/>
      <c r="D962" s="130"/>
      <c r="E962" s="130"/>
      <c r="F962" s="130"/>
      <c r="G962" s="130"/>
      <c r="H962" s="130"/>
      <c r="I962" s="130"/>
    </row>
    <row r="963">
      <c r="A963" s="130"/>
      <c r="B963" s="130"/>
      <c r="C963" s="48"/>
      <c r="D963" s="130"/>
      <c r="E963" s="130"/>
      <c r="F963" s="130"/>
      <c r="G963" s="130"/>
      <c r="H963" s="130"/>
      <c r="I963" s="130"/>
    </row>
    <row r="964">
      <c r="A964" s="130"/>
      <c r="B964" s="130"/>
      <c r="C964" s="48"/>
      <c r="D964" s="130"/>
      <c r="E964" s="130"/>
      <c r="F964" s="130"/>
      <c r="G964" s="130"/>
      <c r="H964" s="130"/>
      <c r="I964" s="130"/>
    </row>
    <row r="965">
      <c r="A965" s="130"/>
      <c r="B965" s="130"/>
      <c r="C965" s="48"/>
      <c r="D965" s="130"/>
      <c r="E965" s="130"/>
      <c r="F965" s="130"/>
      <c r="G965" s="130"/>
      <c r="H965" s="130"/>
      <c r="I965" s="130"/>
    </row>
    <row r="966">
      <c r="A966" s="130"/>
      <c r="B966" s="130"/>
      <c r="C966" s="48"/>
      <c r="D966" s="130"/>
      <c r="E966" s="130"/>
      <c r="F966" s="130"/>
      <c r="G966" s="130"/>
      <c r="H966" s="130"/>
      <c r="I966" s="130"/>
    </row>
    <row r="967">
      <c r="A967" s="130"/>
      <c r="B967" s="130"/>
      <c r="C967" s="48"/>
      <c r="D967" s="130"/>
      <c r="E967" s="130"/>
      <c r="F967" s="130"/>
      <c r="G967" s="130"/>
      <c r="H967" s="130"/>
      <c r="I967" s="130"/>
    </row>
    <row r="968">
      <c r="A968" s="130"/>
      <c r="B968" s="130"/>
      <c r="C968" s="48"/>
      <c r="D968" s="130"/>
      <c r="E968" s="130"/>
      <c r="F968" s="130"/>
      <c r="G968" s="130"/>
      <c r="H968" s="130"/>
      <c r="I968" s="130"/>
    </row>
    <row r="969">
      <c r="A969" s="130"/>
      <c r="B969" s="130"/>
      <c r="C969" s="48"/>
      <c r="D969" s="130"/>
      <c r="E969" s="130"/>
      <c r="F969" s="130"/>
      <c r="G969" s="130"/>
      <c r="H969" s="130"/>
      <c r="I969" s="130"/>
    </row>
    <row r="970">
      <c r="A970" s="130"/>
      <c r="B970" s="130"/>
      <c r="C970" s="48"/>
      <c r="D970" s="130"/>
      <c r="E970" s="130"/>
      <c r="F970" s="130"/>
      <c r="G970" s="130"/>
      <c r="H970" s="130"/>
      <c r="I970" s="130"/>
    </row>
    <row r="971">
      <c r="A971" s="130"/>
      <c r="B971" s="130"/>
      <c r="C971" s="48"/>
      <c r="D971" s="130"/>
      <c r="E971" s="130"/>
      <c r="F971" s="130"/>
      <c r="G971" s="130"/>
      <c r="H971" s="130"/>
      <c r="I971" s="130"/>
    </row>
    <row r="972">
      <c r="A972" s="130"/>
      <c r="B972" s="130"/>
      <c r="C972" s="48"/>
      <c r="D972" s="130"/>
      <c r="E972" s="130"/>
      <c r="F972" s="130"/>
      <c r="G972" s="130"/>
      <c r="H972" s="130"/>
      <c r="I972" s="130"/>
    </row>
    <row r="973">
      <c r="A973" s="130"/>
      <c r="B973" s="130"/>
      <c r="C973" s="48"/>
      <c r="D973" s="130"/>
      <c r="E973" s="130"/>
      <c r="F973" s="130"/>
      <c r="G973" s="130"/>
      <c r="H973" s="130"/>
      <c r="I973" s="130"/>
    </row>
    <row r="974">
      <c r="A974" s="130"/>
      <c r="B974" s="130"/>
      <c r="C974" s="48"/>
      <c r="D974" s="130"/>
      <c r="E974" s="130"/>
      <c r="F974" s="130"/>
      <c r="G974" s="130"/>
      <c r="H974" s="130"/>
      <c r="I974" s="130"/>
    </row>
    <row r="975">
      <c r="A975" s="130"/>
      <c r="B975" s="130"/>
      <c r="C975" s="48"/>
      <c r="D975" s="130"/>
      <c r="E975" s="130"/>
      <c r="F975" s="130"/>
      <c r="G975" s="130"/>
      <c r="H975" s="130"/>
      <c r="I975" s="130"/>
    </row>
    <row r="976">
      <c r="A976" s="130"/>
      <c r="B976" s="130"/>
      <c r="C976" s="48"/>
      <c r="D976" s="130"/>
      <c r="E976" s="130"/>
      <c r="F976" s="130"/>
      <c r="G976" s="130"/>
      <c r="H976" s="130"/>
      <c r="I976" s="130"/>
    </row>
    <row r="977">
      <c r="A977" s="130"/>
      <c r="B977" s="130"/>
      <c r="C977" s="48"/>
      <c r="D977" s="130"/>
      <c r="E977" s="130"/>
      <c r="F977" s="130"/>
      <c r="G977" s="130"/>
      <c r="H977" s="130"/>
      <c r="I977" s="130"/>
    </row>
    <row r="978">
      <c r="A978" s="130"/>
      <c r="B978" s="130"/>
      <c r="C978" s="48"/>
      <c r="D978" s="130"/>
      <c r="E978" s="130"/>
      <c r="F978" s="130"/>
      <c r="G978" s="130"/>
      <c r="H978" s="130"/>
      <c r="I978" s="130"/>
    </row>
    <row r="979">
      <c r="A979" s="130"/>
      <c r="B979" s="130"/>
      <c r="C979" s="48"/>
      <c r="D979" s="130"/>
      <c r="E979" s="130"/>
      <c r="F979" s="130"/>
      <c r="G979" s="130"/>
      <c r="H979" s="130"/>
      <c r="I979" s="130"/>
    </row>
    <row r="980">
      <c r="A980" s="130"/>
      <c r="B980" s="130"/>
      <c r="C980" s="48"/>
      <c r="D980" s="130"/>
      <c r="E980" s="130"/>
      <c r="F980" s="130"/>
      <c r="G980" s="130"/>
      <c r="H980" s="130"/>
      <c r="I980" s="130"/>
    </row>
    <row r="981">
      <c r="A981" s="130"/>
      <c r="B981" s="130"/>
      <c r="C981" s="48"/>
      <c r="D981" s="130"/>
      <c r="E981" s="130"/>
      <c r="F981" s="130"/>
      <c r="G981" s="130"/>
      <c r="H981" s="130"/>
      <c r="I981" s="130"/>
    </row>
    <row r="982">
      <c r="A982" s="130"/>
      <c r="B982" s="130"/>
      <c r="C982" s="48"/>
      <c r="D982" s="130"/>
      <c r="E982" s="130"/>
      <c r="F982" s="130"/>
      <c r="G982" s="130"/>
      <c r="H982" s="130"/>
      <c r="I982" s="130"/>
    </row>
    <row r="983">
      <c r="A983" s="130"/>
      <c r="B983" s="130"/>
      <c r="C983" s="48"/>
      <c r="D983" s="130"/>
      <c r="E983" s="130"/>
      <c r="F983" s="130"/>
      <c r="G983" s="130"/>
      <c r="H983" s="130"/>
      <c r="I983" s="130"/>
    </row>
    <row r="984">
      <c r="A984" s="130"/>
      <c r="B984" s="130"/>
      <c r="C984" s="48"/>
      <c r="D984" s="130"/>
      <c r="E984" s="130"/>
      <c r="F984" s="130"/>
      <c r="G984" s="130"/>
      <c r="H984" s="130"/>
      <c r="I984" s="130"/>
    </row>
    <row r="985">
      <c r="A985" s="130"/>
      <c r="B985" s="130"/>
      <c r="C985" s="48"/>
      <c r="D985" s="130"/>
      <c r="E985" s="130"/>
      <c r="F985" s="130"/>
      <c r="G985" s="130"/>
      <c r="H985" s="130"/>
      <c r="I985" s="130"/>
    </row>
    <row r="986">
      <c r="A986" s="130"/>
      <c r="B986" s="130"/>
      <c r="C986" s="48"/>
      <c r="D986" s="130"/>
      <c r="E986" s="130"/>
      <c r="F986" s="130"/>
      <c r="G986" s="130"/>
      <c r="H986" s="130"/>
      <c r="I986" s="130"/>
    </row>
    <row r="987">
      <c r="A987" s="130"/>
      <c r="B987" s="130"/>
      <c r="C987" s="48"/>
      <c r="D987" s="130"/>
      <c r="E987" s="130"/>
      <c r="F987" s="130"/>
      <c r="G987" s="130"/>
      <c r="H987" s="130"/>
      <c r="I987" s="130"/>
    </row>
    <row r="988">
      <c r="A988" s="130"/>
      <c r="B988" s="130"/>
      <c r="C988" s="48"/>
      <c r="D988" s="130"/>
      <c r="E988" s="130"/>
      <c r="F988" s="130"/>
      <c r="G988" s="130"/>
      <c r="H988" s="130"/>
      <c r="I988" s="130"/>
    </row>
    <row r="989">
      <c r="A989" s="130"/>
      <c r="B989" s="130"/>
      <c r="C989" s="48"/>
      <c r="D989" s="130"/>
      <c r="E989" s="130"/>
      <c r="F989" s="130"/>
      <c r="G989" s="130"/>
      <c r="H989" s="130"/>
      <c r="I989" s="130"/>
    </row>
    <row r="990">
      <c r="A990" s="130"/>
      <c r="B990" s="130"/>
      <c r="C990" s="48"/>
      <c r="D990" s="130"/>
      <c r="E990" s="130"/>
      <c r="F990" s="130"/>
      <c r="G990" s="130"/>
      <c r="H990" s="130"/>
      <c r="I990" s="130"/>
    </row>
    <row r="991">
      <c r="A991" s="130"/>
      <c r="B991" s="130"/>
      <c r="C991" s="48"/>
      <c r="D991" s="130"/>
      <c r="E991" s="130"/>
      <c r="F991" s="130"/>
      <c r="G991" s="130"/>
      <c r="H991" s="130"/>
      <c r="I991" s="130"/>
    </row>
    <row r="992">
      <c r="A992" s="130"/>
      <c r="B992" s="130"/>
      <c r="C992" s="48"/>
      <c r="D992" s="130"/>
      <c r="E992" s="130"/>
      <c r="F992" s="130"/>
      <c r="G992" s="130"/>
      <c r="H992" s="130"/>
      <c r="I992" s="130"/>
    </row>
    <row r="993">
      <c r="A993" s="130"/>
      <c r="B993" s="130"/>
      <c r="C993" s="48"/>
      <c r="D993" s="130"/>
      <c r="E993" s="130"/>
      <c r="F993" s="130"/>
      <c r="G993" s="130"/>
      <c r="H993" s="130"/>
      <c r="I993" s="130"/>
    </row>
    <row r="994">
      <c r="A994" s="130"/>
      <c r="B994" s="130"/>
      <c r="C994" s="48"/>
      <c r="D994" s="130"/>
      <c r="E994" s="130"/>
      <c r="F994" s="130"/>
      <c r="G994" s="130"/>
      <c r="H994" s="130"/>
      <c r="I994" s="130"/>
    </row>
    <row r="995">
      <c r="A995" s="130"/>
      <c r="B995" s="130"/>
      <c r="C995" s="48"/>
      <c r="D995" s="130"/>
      <c r="E995" s="130"/>
      <c r="F995" s="130"/>
      <c r="G995" s="130"/>
      <c r="H995" s="130"/>
      <c r="I995" s="130"/>
    </row>
    <row r="996">
      <c r="A996" s="130"/>
      <c r="B996" s="130"/>
      <c r="C996" s="48"/>
      <c r="D996" s="130"/>
      <c r="E996" s="130"/>
      <c r="F996" s="130"/>
      <c r="G996" s="130"/>
      <c r="H996" s="130"/>
      <c r="I996" s="130"/>
    </row>
    <row r="997">
      <c r="A997" s="130"/>
      <c r="B997" s="130"/>
      <c r="C997" s="48"/>
      <c r="D997" s="130"/>
      <c r="E997" s="130"/>
      <c r="F997" s="130"/>
      <c r="G997" s="130"/>
      <c r="H997" s="130"/>
      <c r="I997" s="130"/>
    </row>
    <row r="998">
      <c r="A998" s="130"/>
      <c r="B998" s="130"/>
      <c r="C998" s="48"/>
      <c r="D998" s="130"/>
      <c r="E998" s="130"/>
      <c r="F998" s="130"/>
      <c r="G998" s="130"/>
      <c r="H998" s="130"/>
      <c r="I998" s="130"/>
    </row>
    <row r="999">
      <c r="A999" s="130"/>
      <c r="B999" s="130"/>
      <c r="C999" s="48"/>
      <c r="D999" s="130"/>
      <c r="E999" s="130"/>
      <c r="F999" s="130"/>
      <c r="G999" s="130"/>
      <c r="H999" s="130"/>
      <c r="I999" s="130"/>
    </row>
    <row r="1000">
      <c r="A1000" s="130"/>
      <c r="B1000" s="130"/>
      <c r="C1000" s="48"/>
      <c r="D1000" s="130"/>
      <c r="E1000" s="130"/>
      <c r="F1000" s="130"/>
      <c r="G1000" s="130"/>
      <c r="H1000" s="130"/>
      <c r="I1000" s="13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88"/>
    <col customWidth="1" min="2" max="15" width="10.63"/>
    <col customWidth="1" hidden="1" min="16" max="17" width="10.63"/>
    <col customWidth="1" min="18" max="19" width="10.63"/>
    <col customWidth="1" min="20" max="22" width="12.63"/>
  </cols>
  <sheetData>
    <row r="1">
      <c r="A1" s="326" t="str">
        <f>IFERROR(__xludf.DUMMYFUNCTION("IMPORTRANGE(""https://docs.google.com/spreadsheets/d/1UuTqSNTEC4mVD40__4LV7qOSLiLy2mvuD5bX_7vbcnY/edit?gid=2069568794#gid=2069568794"",""BC KD AM!A1:V44"")"),"")</f>
        <v/>
      </c>
      <c r="B1" s="327" t="str">
        <f>IFERROR(__xludf.DUMMYFUNCTION("""COMPUTED_VALUE"""),"DT LẤY THÀNH CÔNG THEO SO")</f>
        <v>DT LẤY THÀNH CÔNG THEO SO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5"/>
      <c r="P1" s="328"/>
      <c r="Q1" s="75"/>
      <c r="R1" s="329" t="str">
        <f>IFERROR(__xludf.DUMMYFUNCTION("""COMPUTED_VALUE"""),"SO SÁNH ")</f>
        <v>SO SÁNH </v>
      </c>
      <c r="S1" s="75"/>
      <c r="T1" s="330" t="str">
        <f>IFERROR(__xludf.DUMMYFUNCTION("""COMPUTED_VALUE"""),"Doanh thu luỹ kế tháng 5")</f>
        <v>Doanh thu luỹ kế tháng 5</v>
      </c>
      <c r="U1" s="330" t="str">
        <f>IFERROR(__xludf.DUMMYFUNCTION("""COMPUTED_VALUE"""),"Doanh Thu Cùng kỳ tháng 4")</f>
        <v>Doanh Thu Cùng kỳ tháng 4</v>
      </c>
      <c r="V1" s="331" t="str">
        <f>IFERROR(__xludf.DUMMYFUNCTION("""COMPUTED_VALUE"""),"So  Vs cùng kỳ ")</f>
        <v>So  Vs cùng kỳ </v>
      </c>
      <c r="W1" s="26"/>
      <c r="X1" s="26"/>
      <c r="Y1" s="26"/>
      <c r="Z1" s="26"/>
    </row>
    <row r="2">
      <c r="A2" s="332"/>
      <c r="B2" s="333">
        <f>IFERROR(__xludf.DUMMYFUNCTION("""COMPUTED_VALUE"""),46156.0)</f>
        <v>46156</v>
      </c>
      <c r="C2" s="75"/>
      <c r="D2" s="333">
        <f>IFERROR(__xludf.DUMMYFUNCTION("""COMPUTED_VALUE"""),46157.0)</f>
        <v>46157</v>
      </c>
      <c r="E2" s="75"/>
      <c r="F2" s="333">
        <f>IFERROR(__xludf.DUMMYFUNCTION("""COMPUTED_VALUE"""),46158.0)</f>
        <v>46158</v>
      </c>
      <c r="G2" s="75"/>
      <c r="H2" s="333">
        <f>IFERROR(__xludf.DUMMYFUNCTION("""COMPUTED_VALUE"""),46159.0)</f>
        <v>46159</v>
      </c>
      <c r="I2" s="75"/>
      <c r="J2" s="334">
        <f>IFERROR(__xludf.DUMMYFUNCTION("""COMPUTED_VALUE"""),46160.0)</f>
        <v>46160</v>
      </c>
      <c r="K2" s="75"/>
      <c r="L2" s="334">
        <f>IFERROR(__xludf.DUMMYFUNCTION("""COMPUTED_VALUE"""),46161.0)</f>
        <v>46161</v>
      </c>
      <c r="M2" s="75"/>
      <c r="N2" s="334">
        <f>IFERROR(__xludf.DUMMYFUNCTION("""COMPUTED_VALUE"""),46162.0)</f>
        <v>46162</v>
      </c>
      <c r="O2" s="75"/>
      <c r="P2" s="335" t="str">
        <f>IFERROR(__xludf.DUMMYFUNCTION("""COMPUTED_VALUE"""),"Tổng cộng")</f>
        <v>Tổng cộng</v>
      </c>
      <c r="Q2" s="75"/>
      <c r="R2" s="336" t="str">
        <f>IFERROR(__xludf.DUMMYFUNCTION("""COMPUTED_VALUE""")," Ngày N-1")</f>
        <v> Ngày N-1</v>
      </c>
      <c r="S2" s="75"/>
      <c r="T2" s="84"/>
      <c r="U2" s="84"/>
      <c r="V2" s="337"/>
      <c r="W2" s="26"/>
      <c r="X2" s="26"/>
      <c r="Y2" s="26"/>
      <c r="Z2" s="26"/>
    </row>
    <row r="3">
      <c r="A3" s="338" t="str">
        <f>IFERROR(__xludf.DUMMYFUNCTION("""COMPUTED_VALUE"""),"3030939-Nguyễn Công Luận")</f>
        <v>3030939-Nguyễn Công Luận</v>
      </c>
      <c r="B3" s="339" t="str">
        <f>IFERROR(__xludf.DUMMYFUNCTION("""COMPUTED_VALUE"""),"Doanh Thu")</f>
        <v>Doanh Thu</v>
      </c>
      <c r="C3" s="339" t="str">
        <f>IFERROR(__xludf.DUMMYFUNCTION("""COMPUTED_VALUE"""),"Volume")</f>
        <v>Volume</v>
      </c>
      <c r="D3" s="339" t="str">
        <f>IFERROR(__xludf.DUMMYFUNCTION("""COMPUTED_VALUE"""),"Doanh Thu")</f>
        <v>Doanh Thu</v>
      </c>
      <c r="E3" s="339" t="str">
        <f>IFERROR(__xludf.DUMMYFUNCTION("""COMPUTED_VALUE"""),"Volume")</f>
        <v>Volume</v>
      </c>
      <c r="F3" s="339" t="str">
        <f>IFERROR(__xludf.DUMMYFUNCTION("""COMPUTED_VALUE"""),"Doanh Thu")</f>
        <v>Doanh Thu</v>
      </c>
      <c r="G3" s="339" t="str">
        <f>IFERROR(__xludf.DUMMYFUNCTION("""COMPUTED_VALUE"""),"Volume")</f>
        <v>Volume</v>
      </c>
      <c r="H3" s="339" t="str">
        <f>IFERROR(__xludf.DUMMYFUNCTION("""COMPUTED_VALUE"""),"Doanh Thu")</f>
        <v>Doanh Thu</v>
      </c>
      <c r="I3" s="339" t="str">
        <f>IFERROR(__xludf.DUMMYFUNCTION("""COMPUTED_VALUE"""),"Volume")</f>
        <v>Volume</v>
      </c>
      <c r="J3" s="339" t="str">
        <f>IFERROR(__xludf.DUMMYFUNCTION("""COMPUTED_VALUE"""),"Doanh Thu")</f>
        <v>Doanh Thu</v>
      </c>
      <c r="K3" s="340" t="str">
        <f>IFERROR(__xludf.DUMMYFUNCTION("""COMPUTED_VALUE"""),"Volume")</f>
        <v>Volume</v>
      </c>
      <c r="L3" s="340" t="str">
        <f>IFERROR(__xludf.DUMMYFUNCTION("""COMPUTED_VALUE"""),"Doanh Thu")</f>
        <v>Doanh Thu</v>
      </c>
      <c r="M3" s="340" t="str">
        <f>IFERROR(__xludf.DUMMYFUNCTION("""COMPUTED_VALUE"""),"Volume")</f>
        <v>Volume</v>
      </c>
      <c r="N3" s="340" t="str">
        <f>IFERROR(__xludf.DUMMYFUNCTION("""COMPUTED_VALUE"""),"Doanh Thu")</f>
        <v>Doanh Thu</v>
      </c>
      <c r="O3" s="340" t="str">
        <f>IFERROR(__xludf.DUMMYFUNCTION("""COMPUTED_VALUE"""),"Volume")</f>
        <v>Volume</v>
      </c>
      <c r="P3" s="341" t="str">
        <f>IFERROR(__xludf.DUMMYFUNCTION("""COMPUTED_VALUE"""),"Doanh Thu")</f>
        <v>Doanh Thu</v>
      </c>
      <c r="Q3" s="341" t="str">
        <f>IFERROR(__xludf.DUMMYFUNCTION("""COMPUTED_VALUE"""),"Volume")</f>
        <v>Volume</v>
      </c>
      <c r="R3" s="340" t="str">
        <f>IFERROR(__xludf.DUMMYFUNCTION("""COMPUTED_VALUE"""),"Doanh Thu")</f>
        <v>Doanh Thu</v>
      </c>
      <c r="S3" s="340" t="str">
        <f>IFERROR(__xludf.DUMMYFUNCTION("""COMPUTED_VALUE"""),"Volume")</f>
        <v>Volume</v>
      </c>
      <c r="T3" s="338" t="str">
        <f>IFERROR(__xludf.DUMMYFUNCTION("""COMPUTED_VALUE"""),"AM")</f>
        <v>AM</v>
      </c>
      <c r="U3" s="338" t="str">
        <f>IFERROR(__xludf.DUMMYFUNCTION("""COMPUTED_VALUE"""),"AM")</f>
        <v>AM</v>
      </c>
      <c r="V3" s="84"/>
      <c r="W3" s="26"/>
      <c r="X3" s="26"/>
      <c r="Y3" s="26"/>
      <c r="Z3" s="26"/>
    </row>
    <row r="4">
      <c r="A4" s="342" t="str">
        <f>IFERROR(__xludf.DUMMYFUNCTION("""COMPUTED_VALUE"""),"-")</f>
        <v>-</v>
      </c>
      <c r="B4" s="343">
        <f>IFERROR(__xludf.DUMMYFUNCTION("""COMPUTED_VALUE"""),20371.0)</f>
        <v>20371</v>
      </c>
      <c r="C4" s="343">
        <f>IFERROR(__xludf.DUMMYFUNCTION("""COMPUTED_VALUE"""),1.0)</f>
        <v>1</v>
      </c>
      <c r="D4" s="343">
        <f>IFERROR(__xludf.DUMMYFUNCTION("""COMPUTED_VALUE"""),45834.0)</f>
        <v>45834</v>
      </c>
      <c r="E4" s="343">
        <f>IFERROR(__xludf.DUMMYFUNCTION("""COMPUTED_VALUE"""),2.0)</f>
        <v>2</v>
      </c>
      <c r="F4" s="343">
        <f>IFERROR(__xludf.DUMMYFUNCTION("""COMPUTED_VALUE"""),39724.0)</f>
        <v>39724</v>
      </c>
      <c r="G4" s="343">
        <f>IFERROR(__xludf.DUMMYFUNCTION("""COMPUTED_VALUE"""),2.0)</f>
        <v>2</v>
      </c>
      <c r="H4" s="343">
        <f>IFERROR(__xludf.DUMMYFUNCTION("""COMPUTED_VALUE"""),117965.0)</f>
        <v>117965</v>
      </c>
      <c r="I4" s="343">
        <f>IFERROR(__xludf.DUMMYFUNCTION("""COMPUTED_VALUE"""),2.0)</f>
        <v>2</v>
      </c>
      <c r="J4" s="343">
        <f>IFERROR(__xludf.DUMMYFUNCTION("""COMPUTED_VALUE"""),40743.0)</f>
        <v>40743</v>
      </c>
      <c r="K4" s="343">
        <f>IFERROR(__xludf.DUMMYFUNCTION("""COMPUTED_VALUE"""),2.0)</f>
        <v>2</v>
      </c>
      <c r="L4" s="343">
        <f>IFERROR(__xludf.DUMMYFUNCTION("""COMPUTED_VALUE"""),75372.0)</f>
        <v>75372</v>
      </c>
      <c r="M4" s="343">
        <f>IFERROR(__xludf.DUMMYFUNCTION("""COMPUTED_VALUE"""),3.0)</f>
        <v>3</v>
      </c>
      <c r="N4" s="343">
        <f>IFERROR(__xludf.DUMMYFUNCTION("""COMPUTED_VALUE"""),83521.0)</f>
        <v>83521</v>
      </c>
      <c r="O4" s="343">
        <f>IFERROR(__xludf.DUMMYFUNCTION("""COMPUTED_VALUE"""),4.0)</f>
        <v>4</v>
      </c>
      <c r="P4" s="343">
        <f>IFERROR(__xludf.DUMMYFUNCTION("""COMPUTED_VALUE"""),423530.0)</f>
        <v>423530</v>
      </c>
      <c r="Q4" s="343">
        <f>IFERROR(__xludf.DUMMYFUNCTION("""COMPUTED_VALUE"""),16.0)</f>
        <v>16</v>
      </c>
      <c r="R4" s="344">
        <f>IFERROR(__xludf.DUMMYFUNCTION("""COMPUTED_VALUE"""),8149.0)</f>
        <v>8149</v>
      </c>
      <c r="S4" s="345">
        <f>IFERROR(__xludf.DUMMYFUNCTION("""COMPUTED_VALUE"""),1.0)</f>
        <v>1</v>
      </c>
      <c r="T4" s="346">
        <f>IFERROR(__xludf.DUMMYFUNCTION("""COMPUTED_VALUE"""),954003.0)</f>
        <v>954003</v>
      </c>
      <c r="U4" s="346">
        <f>IFERROR(__xludf.DUMMYFUNCTION("""COMPUTED_VALUE"""),1545182.0)</f>
        <v>1545182</v>
      </c>
      <c r="V4" s="343">
        <f>IFERROR(__xludf.DUMMYFUNCTION("""COMPUTED_VALUE"""),-591179.0)</f>
        <v>-591179</v>
      </c>
      <c r="W4" s="26"/>
      <c r="X4" s="26"/>
      <c r="Y4" s="26"/>
      <c r="Z4" s="26"/>
    </row>
    <row r="5">
      <c r="A5" s="342" t="str">
        <f>IFERROR(__xludf.DUMMYFUNCTION("""COMPUTED_VALUE"""),"241743-Phan Thanh Thức")</f>
        <v>241743-Phan Thanh Thức</v>
      </c>
      <c r="B5" s="343">
        <f>IFERROR(__xludf.DUMMYFUNCTION("""COMPUTED_VALUE"""),1.1392907E7)</f>
        <v>11392907</v>
      </c>
      <c r="C5" s="343">
        <f>IFERROR(__xludf.DUMMYFUNCTION("""COMPUTED_VALUE"""),364.0)</f>
        <v>364</v>
      </c>
      <c r="D5" s="343">
        <f>IFERROR(__xludf.DUMMYFUNCTION("""COMPUTED_VALUE"""),9912623.0)</f>
        <v>9912623</v>
      </c>
      <c r="E5" s="343">
        <f>IFERROR(__xludf.DUMMYFUNCTION("""COMPUTED_VALUE"""),264.0)</f>
        <v>264</v>
      </c>
      <c r="F5" s="343">
        <f>IFERROR(__xludf.DUMMYFUNCTION("""COMPUTED_VALUE"""),1.102216E7)</f>
        <v>11022160</v>
      </c>
      <c r="G5" s="343">
        <f>IFERROR(__xludf.DUMMYFUNCTION("""COMPUTED_VALUE"""),271.0)</f>
        <v>271</v>
      </c>
      <c r="H5" s="343">
        <f>IFERROR(__xludf.DUMMYFUNCTION("""COMPUTED_VALUE"""),9673741.0)</f>
        <v>9673741</v>
      </c>
      <c r="I5" s="343">
        <f>IFERROR(__xludf.DUMMYFUNCTION("""COMPUTED_VALUE"""),269.0)</f>
        <v>269</v>
      </c>
      <c r="J5" s="343">
        <f>IFERROR(__xludf.DUMMYFUNCTION("""COMPUTED_VALUE"""),1.1120735E7)</f>
        <v>11120735</v>
      </c>
      <c r="K5" s="343">
        <f>IFERROR(__xludf.DUMMYFUNCTION("""COMPUTED_VALUE"""),327.0)</f>
        <v>327</v>
      </c>
      <c r="L5" s="343">
        <f>IFERROR(__xludf.DUMMYFUNCTION("""COMPUTED_VALUE"""),1.0446211E7)</f>
        <v>10446211</v>
      </c>
      <c r="M5" s="343">
        <f>IFERROR(__xludf.DUMMYFUNCTION("""COMPUTED_VALUE"""),279.0)</f>
        <v>279</v>
      </c>
      <c r="N5" s="343">
        <f>IFERROR(__xludf.DUMMYFUNCTION("""COMPUTED_VALUE"""),1.1201242E7)</f>
        <v>11201242</v>
      </c>
      <c r="O5" s="343">
        <f>IFERROR(__xludf.DUMMYFUNCTION("""COMPUTED_VALUE"""),312.0)</f>
        <v>312</v>
      </c>
      <c r="P5" s="343">
        <f>IFERROR(__xludf.DUMMYFUNCTION("""COMPUTED_VALUE"""),7.4769619E7)</f>
        <v>74769619</v>
      </c>
      <c r="Q5" s="343">
        <f>IFERROR(__xludf.DUMMYFUNCTION("""COMPUTED_VALUE"""),2086.0)</f>
        <v>2086</v>
      </c>
      <c r="R5" s="347">
        <f>IFERROR(__xludf.DUMMYFUNCTION("""COMPUTED_VALUE"""),755031.0)</f>
        <v>755031</v>
      </c>
      <c r="S5" s="345">
        <f>IFERROR(__xludf.DUMMYFUNCTION("""COMPUTED_VALUE"""),33.0)</f>
        <v>33</v>
      </c>
      <c r="T5" s="346">
        <f>IFERROR(__xludf.DUMMYFUNCTION("""COMPUTED_VALUE"""),1.86497411E8)</f>
        <v>186497411</v>
      </c>
      <c r="U5" s="346">
        <f>IFERROR(__xludf.DUMMYFUNCTION("""COMPUTED_VALUE"""),1.95232774E8)</f>
        <v>195232774</v>
      </c>
      <c r="V5" s="343">
        <f>IFERROR(__xludf.DUMMYFUNCTION("""COMPUTED_VALUE"""),-8735363.0)</f>
        <v>-8735363</v>
      </c>
      <c r="W5" s="26"/>
      <c r="X5" s="26"/>
      <c r="Y5" s="26"/>
      <c r="Z5" s="26"/>
    </row>
    <row r="6">
      <c r="A6" s="342" t="str">
        <f>IFERROR(__xludf.DUMMYFUNCTION("""COMPUTED_VALUE"""),"252005-Lê Trọng Khiêm")</f>
        <v>252005-Lê Trọng Khiêm</v>
      </c>
      <c r="B6" s="343">
        <f>IFERROR(__xludf.DUMMYFUNCTION("""COMPUTED_VALUE"""),7733923.0)</f>
        <v>7733923</v>
      </c>
      <c r="C6" s="343">
        <f>IFERROR(__xludf.DUMMYFUNCTION("""COMPUTED_VALUE"""),357.0)</f>
        <v>357</v>
      </c>
      <c r="D6" s="343">
        <f>IFERROR(__xludf.DUMMYFUNCTION("""COMPUTED_VALUE"""),8324527.0)</f>
        <v>8324527</v>
      </c>
      <c r="E6" s="343">
        <f>IFERROR(__xludf.DUMMYFUNCTION("""COMPUTED_VALUE"""),355.0)</f>
        <v>355</v>
      </c>
      <c r="F6" s="343">
        <f>IFERROR(__xludf.DUMMYFUNCTION("""COMPUTED_VALUE"""),6236847.0)</f>
        <v>6236847</v>
      </c>
      <c r="G6" s="343">
        <f>IFERROR(__xludf.DUMMYFUNCTION("""COMPUTED_VALUE"""),270.0)</f>
        <v>270</v>
      </c>
      <c r="H6" s="343">
        <f>IFERROR(__xludf.DUMMYFUNCTION("""COMPUTED_VALUE"""),8477516.0)</f>
        <v>8477516</v>
      </c>
      <c r="I6" s="343">
        <f>IFERROR(__xludf.DUMMYFUNCTION("""COMPUTED_VALUE"""),379.0)</f>
        <v>379</v>
      </c>
      <c r="J6" s="343">
        <f>IFERROR(__xludf.DUMMYFUNCTION("""COMPUTED_VALUE"""),9297531.0)</f>
        <v>9297531</v>
      </c>
      <c r="K6" s="343">
        <f>IFERROR(__xludf.DUMMYFUNCTION("""COMPUTED_VALUE"""),373.0)</f>
        <v>373</v>
      </c>
      <c r="L6" s="343">
        <f>IFERROR(__xludf.DUMMYFUNCTION("""COMPUTED_VALUE"""),8086930.0)</f>
        <v>8086930</v>
      </c>
      <c r="M6" s="343">
        <f>IFERROR(__xludf.DUMMYFUNCTION("""COMPUTED_VALUE"""),335.0)</f>
        <v>335</v>
      </c>
      <c r="N6" s="343">
        <f>IFERROR(__xludf.DUMMYFUNCTION("""COMPUTED_VALUE"""),8994000.0)</f>
        <v>8994000</v>
      </c>
      <c r="O6" s="343">
        <f>IFERROR(__xludf.DUMMYFUNCTION("""COMPUTED_VALUE"""),355.0)</f>
        <v>355</v>
      </c>
      <c r="P6" s="343">
        <f>IFERROR(__xludf.DUMMYFUNCTION("""COMPUTED_VALUE"""),5.7151274E7)</f>
        <v>57151274</v>
      </c>
      <c r="Q6" s="343">
        <f>IFERROR(__xludf.DUMMYFUNCTION("""COMPUTED_VALUE"""),2424.0)</f>
        <v>2424</v>
      </c>
      <c r="R6" s="348">
        <f>IFERROR(__xludf.DUMMYFUNCTION("""COMPUTED_VALUE"""),907070.0)</f>
        <v>907070</v>
      </c>
      <c r="S6" s="345">
        <f>IFERROR(__xludf.DUMMYFUNCTION("""COMPUTED_VALUE"""),20.0)</f>
        <v>20</v>
      </c>
      <c r="T6" s="346">
        <f>IFERROR(__xludf.DUMMYFUNCTION("""COMPUTED_VALUE"""),1.61534219E8)</f>
        <v>161534219</v>
      </c>
      <c r="U6" s="346">
        <f>IFERROR(__xludf.DUMMYFUNCTION("""COMPUTED_VALUE"""),1.71249542E8)</f>
        <v>171249542</v>
      </c>
      <c r="V6" s="343">
        <f>IFERROR(__xludf.DUMMYFUNCTION("""COMPUTED_VALUE"""),-9715323.0)</f>
        <v>-9715323</v>
      </c>
      <c r="W6" s="26"/>
      <c r="X6" s="26"/>
      <c r="Y6" s="26"/>
      <c r="Z6" s="26"/>
    </row>
    <row r="7">
      <c r="A7" s="342" t="str">
        <f>IFERROR(__xludf.DUMMYFUNCTION("""COMPUTED_VALUE"""),"255280-Trần Nhật Thương")</f>
        <v>255280-Trần Nhật Thương</v>
      </c>
      <c r="B7" s="343">
        <f>IFERROR(__xludf.DUMMYFUNCTION("""COMPUTED_VALUE"""),2.3866164E7)</f>
        <v>23866164</v>
      </c>
      <c r="C7" s="343">
        <f>IFERROR(__xludf.DUMMYFUNCTION("""COMPUTED_VALUE"""),741.0)</f>
        <v>741</v>
      </c>
      <c r="D7" s="343">
        <f>IFERROR(__xludf.DUMMYFUNCTION("""COMPUTED_VALUE"""),1.5519444E7)</f>
        <v>15519444</v>
      </c>
      <c r="E7" s="343">
        <f>IFERROR(__xludf.DUMMYFUNCTION("""COMPUTED_VALUE"""),673.0)</f>
        <v>673</v>
      </c>
      <c r="F7" s="343">
        <f>IFERROR(__xludf.DUMMYFUNCTION("""COMPUTED_VALUE"""),1.3647781E7)</f>
        <v>13647781</v>
      </c>
      <c r="G7" s="343">
        <f>IFERROR(__xludf.DUMMYFUNCTION("""COMPUTED_VALUE"""),565.0)</f>
        <v>565</v>
      </c>
      <c r="H7" s="343">
        <f>IFERROR(__xludf.DUMMYFUNCTION("""COMPUTED_VALUE"""),1.1228465E7)</f>
        <v>11228465</v>
      </c>
      <c r="I7" s="343">
        <f>IFERROR(__xludf.DUMMYFUNCTION("""COMPUTED_VALUE"""),509.0)</f>
        <v>509</v>
      </c>
      <c r="J7" s="343">
        <f>IFERROR(__xludf.DUMMYFUNCTION("""COMPUTED_VALUE"""),1.5906051E7)</f>
        <v>15906051</v>
      </c>
      <c r="K7" s="343">
        <f>IFERROR(__xludf.DUMMYFUNCTION("""COMPUTED_VALUE"""),444.0)</f>
        <v>444</v>
      </c>
      <c r="L7" s="343">
        <f>IFERROR(__xludf.DUMMYFUNCTION("""COMPUTED_VALUE"""),1.0733741E7)</f>
        <v>10733741</v>
      </c>
      <c r="M7" s="343">
        <f>IFERROR(__xludf.DUMMYFUNCTION("""COMPUTED_VALUE"""),459.0)</f>
        <v>459</v>
      </c>
      <c r="N7" s="343">
        <f>IFERROR(__xludf.DUMMYFUNCTION("""COMPUTED_VALUE"""),1.9935052E7)</f>
        <v>19935052</v>
      </c>
      <c r="O7" s="343">
        <f>IFERROR(__xludf.DUMMYFUNCTION("""COMPUTED_VALUE"""),587.0)</f>
        <v>587</v>
      </c>
      <c r="P7" s="343">
        <f>IFERROR(__xludf.DUMMYFUNCTION("""COMPUTED_VALUE"""),1.10836698E8)</f>
        <v>110836698</v>
      </c>
      <c r="Q7" s="343">
        <f>IFERROR(__xludf.DUMMYFUNCTION("""COMPUTED_VALUE"""),3978.0)</f>
        <v>3978</v>
      </c>
      <c r="R7" s="344">
        <f>IFERROR(__xludf.DUMMYFUNCTION("""COMPUTED_VALUE"""),9201311.0)</f>
        <v>9201311</v>
      </c>
      <c r="S7" s="345">
        <f>IFERROR(__xludf.DUMMYFUNCTION("""COMPUTED_VALUE"""),128.0)</f>
        <v>128</v>
      </c>
      <c r="T7" s="346">
        <f>IFERROR(__xludf.DUMMYFUNCTION("""COMPUTED_VALUE"""),3.04988737E8)</f>
        <v>304988737</v>
      </c>
      <c r="U7" s="346">
        <f>IFERROR(__xludf.DUMMYFUNCTION("""COMPUTED_VALUE"""),3.22074408E8)</f>
        <v>322074408</v>
      </c>
      <c r="V7" s="343">
        <f>IFERROR(__xludf.DUMMYFUNCTION("""COMPUTED_VALUE"""),-1.7085671E7)</f>
        <v>-17085671</v>
      </c>
      <c r="W7" s="26"/>
      <c r="X7" s="26"/>
      <c r="Y7" s="26"/>
      <c r="Z7" s="26"/>
    </row>
    <row r="8">
      <c r="A8" s="342" t="str">
        <f>IFERROR(__xludf.DUMMYFUNCTION("""COMPUTED_VALUE"""),"3030939-Nguyễn Công Luận")</f>
        <v>3030939-Nguyễn Công Luận</v>
      </c>
      <c r="B8" s="343">
        <f>IFERROR(__xludf.DUMMYFUNCTION("""COMPUTED_VALUE"""),3.649833E7)</f>
        <v>36498330</v>
      </c>
      <c r="C8" s="343">
        <f>IFERROR(__xludf.DUMMYFUNCTION("""COMPUTED_VALUE"""),2037.0)</f>
        <v>2037</v>
      </c>
      <c r="D8" s="343">
        <f>IFERROR(__xludf.DUMMYFUNCTION("""COMPUTED_VALUE"""),2.977678E7)</f>
        <v>29776780</v>
      </c>
      <c r="E8" s="343">
        <f>IFERROR(__xludf.DUMMYFUNCTION("""COMPUTED_VALUE"""),1997.0)</f>
        <v>1997</v>
      </c>
      <c r="F8" s="343">
        <f>IFERROR(__xludf.DUMMYFUNCTION("""COMPUTED_VALUE"""),3.3978153E7)</f>
        <v>33978153</v>
      </c>
      <c r="G8" s="343">
        <f>IFERROR(__xludf.DUMMYFUNCTION("""COMPUTED_VALUE"""),1961.0)</f>
        <v>1961</v>
      </c>
      <c r="H8" s="343">
        <f>IFERROR(__xludf.DUMMYFUNCTION("""COMPUTED_VALUE"""),2.269372E7)</f>
        <v>22693720</v>
      </c>
      <c r="I8" s="343">
        <f>IFERROR(__xludf.DUMMYFUNCTION("""COMPUTED_VALUE"""),1335.0)</f>
        <v>1335</v>
      </c>
      <c r="J8" s="343">
        <f>IFERROR(__xludf.DUMMYFUNCTION("""COMPUTED_VALUE"""),2.9102348E7)</f>
        <v>29102348</v>
      </c>
      <c r="K8" s="343">
        <f>IFERROR(__xludf.DUMMYFUNCTION("""COMPUTED_VALUE"""),1647.0)</f>
        <v>1647</v>
      </c>
      <c r="L8" s="343"/>
      <c r="M8" s="343"/>
      <c r="N8" s="343">
        <f>IFERROR(__xludf.DUMMYFUNCTION("""COMPUTED_VALUE"""),3.5016315E7)</f>
        <v>35016315</v>
      </c>
      <c r="O8" s="343">
        <f>IFERROR(__xludf.DUMMYFUNCTION("""COMPUTED_VALUE"""),1857.0)</f>
        <v>1857</v>
      </c>
      <c r="P8" s="343">
        <f>IFERROR(__xludf.DUMMYFUNCTION("""COMPUTED_VALUE"""),1.87065646E8)</f>
        <v>187065646</v>
      </c>
      <c r="Q8" s="343">
        <f>IFERROR(__xludf.DUMMYFUNCTION("""COMPUTED_VALUE"""),10834.0)</f>
        <v>10834</v>
      </c>
      <c r="R8" s="349">
        <f>IFERROR(__xludf.DUMMYFUNCTION("""COMPUTED_VALUE"""),3.5016315E7)</f>
        <v>35016315</v>
      </c>
      <c r="S8" s="345">
        <f>IFERROR(__xludf.DUMMYFUNCTION("""COMPUTED_VALUE"""),1857.0)</f>
        <v>1857</v>
      </c>
      <c r="T8" s="346">
        <f>IFERROR(__xludf.DUMMYFUNCTION("""COMPUTED_VALUE"""),6.12986242E8)</f>
        <v>612986242</v>
      </c>
      <c r="U8" s="346">
        <f>IFERROR(__xludf.DUMMYFUNCTION("""COMPUTED_VALUE"""),6.84112561E8)</f>
        <v>684112561</v>
      </c>
      <c r="V8" s="343">
        <f>IFERROR(__xludf.DUMMYFUNCTION("""COMPUTED_VALUE"""),-7.1126319E7)</f>
        <v>-71126319</v>
      </c>
      <c r="W8" s="26"/>
      <c r="X8" s="26"/>
      <c r="Y8" s="26"/>
      <c r="Z8" s="26"/>
    </row>
    <row r="9">
      <c r="A9" s="342" t="str">
        <f>IFERROR(__xludf.DUMMYFUNCTION("""COMPUTED_VALUE"""),"3039937-Nguyễn Đình Trung")</f>
        <v>3039937-Nguyễn Đình Trung</v>
      </c>
      <c r="B9" s="343">
        <f>IFERROR(__xludf.DUMMYFUNCTION("""COMPUTED_VALUE"""),1.0756503E7)</f>
        <v>10756503</v>
      </c>
      <c r="C9" s="343">
        <f>IFERROR(__xludf.DUMMYFUNCTION("""COMPUTED_VALUE"""),390.0)</f>
        <v>390</v>
      </c>
      <c r="D9" s="343">
        <f>IFERROR(__xludf.DUMMYFUNCTION("""COMPUTED_VALUE"""),1.1237245E7)</f>
        <v>11237245</v>
      </c>
      <c r="E9" s="343">
        <f>IFERROR(__xludf.DUMMYFUNCTION("""COMPUTED_VALUE"""),530.0)</f>
        <v>530</v>
      </c>
      <c r="F9" s="343">
        <f>IFERROR(__xludf.DUMMYFUNCTION("""COMPUTED_VALUE"""),1.1883033E7)</f>
        <v>11883033</v>
      </c>
      <c r="G9" s="343">
        <f>IFERROR(__xludf.DUMMYFUNCTION("""COMPUTED_VALUE"""),359.0)</f>
        <v>359</v>
      </c>
      <c r="H9" s="343">
        <f>IFERROR(__xludf.DUMMYFUNCTION("""COMPUTED_VALUE"""),1.0780428E7)</f>
        <v>10780428</v>
      </c>
      <c r="I9" s="343">
        <f>IFERROR(__xludf.DUMMYFUNCTION("""COMPUTED_VALUE"""),436.0)</f>
        <v>436</v>
      </c>
      <c r="J9" s="343">
        <f>IFERROR(__xludf.DUMMYFUNCTION("""COMPUTED_VALUE"""),1.278231E7)</f>
        <v>12782310</v>
      </c>
      <c r="K9" s="343">
        <f>IFERROR(__xludf.DUMMYFUNCTION("""COMPUTED_VALUE"""),526.0)</f>
        <v>526</v>
      </c>
      <c r="L9" s="343">
        <f>IFERROR(__xludf.DUMMYFUNCTION("""COMPUTED_VALUE"""),1.1187226E7)</f>
        <v>11187226</v>
      </c>
      <c r="M9" s="343">
        <f>IFERROR(__xludf.DUMMYFUNCTION("""COMPUTED_VALUE"""),459.0)</f>
        <v>459</v>
      </c>
      <c r="N9" s="343">
        <f>IFERROR(__xludf.DUMMYFUNCTION("""COMPUTED_VALUE"""),1.2046161E7)</f>
        <v>12046161</v>
      </c>
      <c r="O9" s="343">
        <f>IFERROR(__xludf.DUMMYFUNCTION("""COMPUTED_VALUE"""),487.0)</f>
        <v>487</v>
      </c>
      <c r="P9" s="343">
        <f>IFERROR(__xludf.DUMMYFUNCTION("""COMPUTED_VALUE"""),8.0672906E7)</f>
        <v>80672906</v>
      </c>
      <c r="Q9" s="343">
        <f>IFERROR(__xludf.DUMMYFUNCTION("""COMPUTED_VALUE"""),3187.0)</f>
        <v>3187</v>
      </c>
      <c r="R9" s="350">
        <f>IFERROR(__xludf.DUMMYFUNCTION("""COMPUTED_VALUE"""),858935.0)</f>
        <v>858935</v>
      </c>
      <c r="S9" s="346">
        <f>IFERROR(__xludf.DUMMYFUNCTION("""COMPUTED_VALUE"""),28.0)</f>
        <v>28</v>
      </c>
      <c r="T9" s="346">
        <f>IFERROR(__xludf.DUMMYFUNCTION("""COMPUTED_VALUE"""),2.20459157E8)</f>
        <v>220459157</v>
      </c>
      <c r="U9" s="346">
        <f>IFERROR(__xludf.DUMMYFUNCTION("""COMPUTED_VALUE"""),2.29442665E8)</f>
        <v>229442665</v>
      </c>
      <c r="V9" s="343">
        <f>IFERROR(__xludf.DUMMYFUNCTION("""COMPUTED_VALUE"""),-8983508.0)</f>
        <v>-8983508</v>
      </c>
      <c r="W9" s="26"/>
      <c r="X9" s="26"/>
      <c r="Y9" s="26"/>
      <c r="Z9" s="26"/>
    </row>
    <row r="10">
      <c r="A10" s="351" t="str">
        <f>IFERROR(__xludf.DUMMYFUNCTION("""COMPUTED_VALUE"""),"3071955-Lê Văn Tài")</f>
        <v>3071955-Lê Văn Tài</v>
      </c>
      <c r="B10" s="346">
        <f>IFERROR(__xludf.DUMMYFUNCTION("""COMPUTED_VALUE"""),7545103.0)</f>
        <v>7545103</v>
      </c>
      <c r="C10" s="346">
        <f>IFERROR(__xludf.DUMMYFUNCTION("""COMPUTED_VALUE"""),300.0)</f>
        <v>300</v>
      </c>
      <c r="D10" s="346">
        <f>IFERROR(__xludf.DUMMYFUNCTION("""COMPUTED_VALUE"""),5502056.0)</f>
        <v>5502056</v>
      </c>
      <c r="E10" s="346">
        <f>IFERROR(__xludf.DUMMYFUNCTION("""COMPUTED_VALUE"""),215.0)</f>
        <v>215</v>
      </c>
      <c r="F10" s="346">
        <f>IFERROR(__xludf.DUMMYFUNCTION("""COMPUTED_VALUE"""),4493364.0)</f>
        <v>4493364</v>
      </c>
      <c r="G10" s="346">
        <f>IFERROR(__xludf.DUMMYFUNCTION("""COMPUTED_VALUE"""),186.0)</f>
        <v>186</v>
      </c>
      <c r="H10" s="346">
        <f>IFERROR(__xludf.DUMMYFUNCTION("""COMPUTED_VALUE"""),3874327.0)</f>
        <v>3874327</v>
      </c>
      <c r="I10" s="346">
        <f>IFERROR(__xludf.DUMMYFUNCTION("""COMPUTED_VALUE"""),161.0)</f>
        <v>161</v>
      </c>
      <c r="J10" s="346">
        <f>IFERROR(__xludf.DUMMYFUNCTION("""COMPUTED_VALUE"""),5046050.0)</f>
        <v>5046050</v>
      </c>
      <c r="K10" s="346">
        <f>IFERROR(__xludf.DUMMYFUNCTION("""COMPUTED_VALUE"""),201.0)</f>
        <v>201</v>
      </c>
      <c r="L10" s="346">
        <f>IFERROR(__xludf.DUMMYFUNCTION("""COMPUTED_VALUE"""),8476907.0)</f>
        <v>8476907</v>
      </c>
      <c r="M10" s="346">
        <f>IFERROR(__xludf.DUMMYFUNCTION("""COMPUTED_VALUE"""),267.0)</f>
        <v>267</v>
      </c>
      <c r="N10" s="346">
        <f>IFERROR(__xludf.DUMMYFUNCTION("""COMPUTED_VALUE"""),7413934.0)</f>
        <v>7413934</v>
      </c>
      <c r="O10" s="346">
        <f>IFERROR(__xludf.DUMMYFUNCTION("""COMPUTED_VALUE"""),298.0)</f>
        <v>298</v>
      </c>
      <c r="P10" s="346">
        <f>IFERROR(__xludf.DUMMYFUNCTION("""COMPUTED_VALUE"""),4.2351741E7)</f>
        <v>42351741</v>
      </c>
      <c r="Q10" s="346">
        <f>IFERROR(__xludf.DUMMYFUNCTION("""COMPUTED_VALUE"""),1628.0)</f>
        <v>1628</v>
      </c>
      <c r="R10" s="352">
        <f>IFERROR(__xludf.DUMMYFUNCTION("""COMPUTED_VALUE"""),-1062973.0)</f>
        <v>-1062973</v>
      </c>
      <c r="S10" s="345">
        <f>IFERROR(__xludf.DUMMYFUNCTION("""COMPUTED_VALUE"""),31.0)</f>
        <v>31</v>
      </c>
      <c r="T10" s="346">
        <f>IFERROR(__xludf.DUMMYFUNCTION("""COMPUTED_VALUE"""),1.28198362E8)</f>
        <v>128198362</v>
      </c>
      <c r="U10" s="346">
        <f>IFERROR(__xludf.DUMMYFUNCTION("""COMPUTED_VALUE"""),1.38246438E8)</f>
        <v>138246438</v>
      </c>
      <c r="V10" s="343">
        <f>IFERROR(__xludf.DUMMYFUNCTION("""COMPUTED_VALUE"""),-1.0048076E7)</f>
        <v>-10048076</v>
      </c>
      <c r="W10" s="26"/>
      <c r="X10" s="26"/>
      <c r="Y10" s="26"/>
      <c r="Z10" s="26"/>
    </row>
    <row r="11">
      <c r="A11" s="351" t="str">
        <f>IFERROR(__xludf.DUMMYFUNCTION("""COMPUTED_VALUE"""),"3082533-Nguyễn Thị Bảo Nhi")</f>
        <v>3082533-Nguyễn Thị Bảo Nhi</v>
      </c>
      <c r="B11" s="346">
        <f>IFERROR(__xludf.DUMMYFUNCTION("""COMPUTED_VALUE"""),4427034.0)</f>
        <v>4427034</v>
      </c>
      <c r="C11" s="346">
        <f>IFERROR(__xludf.DUMMYFUNCTION("""COMPUTED_VALUE"""),129.0)</f>
        <v>129</v>
      </c>
      <c r="D11" s="346">
        <f>IFERROR(__xludf.DUMMYFUNCTION("""COMPUTED_VALUE"""),1.1672698E7)</f>
        <v>11672698</v>
      </c>
      <c r="E11" s="346">
        <f>IFERROR(__xludf.DUMMYFUNCTION("""COMPUTED_VALUE"""),490.0)</f>
        <v>490</v>
      </c>
      <c r="F11" s="346">
        <f>IFERROR(__xludf.DUMMYFUNCTION("""COMPUTED_VALUE"""),5520542.0)</f>
        <v>5520542</v>
      </c>
      <c r="G11" s="346">
        <f>IFERROR(__xludf.DUMMYFUNCTION("""COMPUTED_VALUE"""),190.0)</f>
        <v>190</v>
      </c>
      <c r="H11" s="346">
        <f>IFERROR(__xludf.DUMMYFUNCTION("""COMPUTED_VALUE"""),5193806.0)</f>
        <v>5193806</v>
      </c>
      <c r="I11" s="346">
        <f>IFERROR(__xludf.DUMMYFUNCTION("""COMPUTED_VALUE"""),224.0)</f>
        <v>224</v>
      </c>
      <c r="J11" s="346">
        <f>IFERROR(__xludf.DUMMYFUNCTION("""COMPUTED_VALUE"""),8044691.0)</f>
        <v>8044691</v>
      </c>
      <c r="K11" s="346">
        <f>IFERROR(__xludf.DUMMYFUNCTION("""COMPUTED_VALUE"""),275.0)</f>
        <v>275</v>
      </c>
      <c r="L11" s="346">
        <f>IFERROR(__xludf.DUMMYFUNCTION("""COMPUTED_VALUE"""),7522898.0)</f>
        <v>7522898</v>
      </c>
      <c r="M11" s="346">
        <f>IFERROR(__xludf.DUMMYFUNCTION("""COMPUTED_VALUE"""),304.0)</f>
        <v>304</v>
      </c>
      <c r="N11" s="346">
        <f>IFERROR(__xludf.DUMMYFUNCTION("""COMPUTED_VALUE"""),1.0247588E7)</f>
        <v>10247588</v>
      </c>
      <c r="O11" s="346">
        <f>IFERROR(__xludf.DUMMYFUNCTION("""COMPUTED_VALUE"""),401.0)</f>
        <v>401</v>
      </c>
      <c r="P11" s="346">
        <f>IFERROR(__xludf.DUMMYFUNCTION("""COMPUTED_VALUE"""),5.2629257E7)</f>
        <v>52629257</v>
      </c>
      <c r="Q11" s="346">
        <f>IFERROR(__xludf.DUMMYFUNCTION("""COMPUTED_VALUE"""),2013.0)</f>
        <v>2013</v>
      </c>
      <c r="R11" s="353">
        <f>IFERROR(__xludf.DUMMYFUNCTION("""COMPUTED_VALUE"""),2724690.0)</f>
        <v>2724690</v>
      </c>
      <c r="S11" s="345">
        <f>IFERROR(__xludf.DUMMYFUNCTION("""COMPUTED_VALUE"""),97.0)</f>
        <v>97</v>
      </c>
      <c r="T11" s="346">
        <f>IFERROR(__xludf.DUMMYFUNCTION("""COMPUTED_VALUE"""),1.42406311E8)</f>
        <v>142406311</v>
      </c>
      <c r="U11" s="346">
        <f>IFERROR(__xludf.DUMMYFUNCTION("""COMPUTED_VALUE"""),1.64687633E8)</f>
        <v>164687633</v>
      </c>
      <c r="V11" s="343">
        <f>IFERROR(__xludf.DUMMYFUNCTION("""COMPUTED_VALUE"""),-2.2281322E7)</f>
        <v>-22281322</v>
      </c>
      <c r="W11" s="26"/>
      <c r="X11" s="26"/>
      <c r="Y11" s="26"/>
      <c r="Z11" s="26"/>
    </row>
    <row r="12">
      <c r="A12" s="354" t="str">
        <f>IFERROR(__xludf.DUMMYFUNCTION("""COMPUTED_VALUE"""),"3104208-Mai Đức Hoàng Long")</f>
        <v>3104208-Mai Đức Hoàng Long</v>
      </c>
      <c r="B12" s="346">
        <f>IFERROR(__xludf.DUMMYFUNCTION("""COMPUTED_VALUE"""),3660782.0)</f>
        <v>3660782</v>
      </c>
      <c r="C12" s="346">
        <f>IFERROR(__xludf.DUMMYFUNCTION("""COMPUTED_VALUE"""),102.0)</f>
        <v>102</v>
      </c>
      <c r="D12" s="346">
        <f>IFERROR(__xludf.DUMMYFUNCTION("""COMPUTED_VALUE"""),4277160.0)</f>
        <v>4277160</v>
      </c>
      <c r="E12" s="346">
        <f>IFERROR(__xludf.DUMMYFUNCTION("""COMPUTED_VALUE"""),138.0)</f>
        <v>138</v>
      </c>
      <c r="F12" s="346">
        <f>IFERROR(__xludf.DUMMYFUNCTION("""COMPUTED_VALUE"""),2228081.0)</f>
        <v>2228081</v>
      </c>
      <c r="G12" s="346">
        <f>IFERROR(__xludf.DUMMYFUNCTION("""COMPUTED_VALUE"""),87.0)</f>
        <v>87</v>
      </c>
      <c r="H12" s="346">
        <f>IFERROR(__xludf.DUMMYFUNCTION("""COMPUTED_VALUE"""),3842336.0)</f>
        <v>3842336</v>
      </c>
      <c r="I12" s="346">
        <f>IFERROR(__xludf.DUMMYFUNCTION("""COMPUTED_VALUE"""),140.0)</f>
        <v>140</v>
      </c>
      <c r="J12" s="346">
        <f>IFERROR(__xludf.DUMMYFUNCTION("""COMPUTED_VALUE"""),5363392.0)</f>
        <v>5363392</v>
      </c>
      <c r="K12" s="346">
        <f>IFERROR(__xludf.DUMMYFUNCTION("""COMPUTED_VALUE"""),197.0)</f>
        <v>197</v>
      </c>
      <c r="L12" s="346">
        <f>IFERROR(__xludf.DUMMYFUNCTION("""COMPUTED_VALUE"""),4258695.0)</f>
        <v>4258695</v>
      </c>
      <c r="M12" s="346">
        <f>IFERROR(__xludf.DUMMYFUNCTION("""COMPUTED_VALUE"""),141.0)</f>
        <v>141</v>
      </c>
      <c r="N12" s="346">
        <f>IFERROR(__xludf.DUMMYFUNCTION("""COMPUTED_VALUE"""),4455505.0)</f>
        <v>4455505</v>
      </c>
      <c r="O12" s="346">
        <f>IFERROR(__xludf.DUMMYFUNCTION("""COMPUTED_VALUE"""),137.0)</f>
        <v>137</v>
      </c>
      <c r="P12" s="346">
        <f>IFERROR(__xludf.DUMMYFUNCTION("""COMPUTED_VALUE"""),2.8085951E7)</f>
        <v>28085951</v>
      </c>
      <c r="Q12" s="346">
        <f>IFERROR(__xludf.DUMMYFUNCTION("""COMPUTED_VALUE"""),942.0)</f>
        <v>942</v>
      </c>
      <c r="R12" s="355">
        <f>IFERROR(__xludf.DUMMYFUNCTION("""COMPUTED_VALUE"""),196810.0)</f>
        <v>196810</v>
      </c>
      <c r="S12" s="345">
        <f>IFERROR(__xludf.DUMMYFUNCTION("""COMPUTED_VALUE"""),-4.0)</f>
        <v>-4</v>
      </c>
      <c r="T12" s="346">
        <f>IFERROR(__xludf.DUMMYFUNCTION("""COMPUTED_VALUE"""),8.4839549E7)</f>
        <v>84839549</v>
      </c>
      <c r="U12" s="346">
        <f>IFERROR(__xludf.DUMMYFUNCTION("""COMPUTED_VALUE"""),1.29045587E8)</f>
        <v>129045587</v>
      </c>
      <c r="V12" s="343">
        <f>IFERROR(__xludf.DUMMYFUNCTION("""COMPUTED_VALUE"""),-4.4206038E7)</f>
        <v>-44206038</v>
      </c>
      <c r="W12" s="26"/>
      <c r="X12" s="26"/>
      <c r="Y12" s="26"/>
      <c r="Z12" s="26"/>
    </row>
    <row r="13">
      <c r="A13" s="342" t="str">
        <f>IFERROR(__xludf.DUMMYFUNCTION("""COMPUTED_VALUE"""),"3129557-Nguyễn Hoàng Anh")</f>
        <v>3129557-Nguyễn Hoàng Anh</v>
      </c>
      <c r="B13" s="343">
        <f>IFERROR(__xludf.DUMMYFUNCTION("""COMPUTED_VALUE"""),2816652.0)</f>
        <v>2816652</v>
      </c>
      <c r="C13" s="343">
        <f>IFERROR(__xludf.DUMMYFUNCTION("""COMPUTED_VALUE"""),71.0)</f>
        <v>71</v>
      </c>
      <c r="D13" s="343">
        <f>IFERROR(__xludf.DUMMYFUNCTION("""COMPUTED_VALUE"""),3103175.0)</f>
        <v>3103175</v>
      </c>
      <c r="E13" s="343">
        <f>IFERROR(__xludf.DUMMYFUNCTION("""COMPUTED_VALUE"""),88.0)</f>
        <v>88</v>
      </c>
      <c r="F13" s="343">
        <f>IFERROR(__xludf.DUMMYFUNCTION("""COMPUTED_VALUE"""),3538878.0)</f>
        <v>3538878</v>
      </c>
      <c r="G13" s="343">
        <f>IFERROR(__xludf.DUMMYFUNCTION("""COMPUTED_VALUE"""),115.0)</f>
        <v>115</v>
      </c>
      <c r="H13" s="343">
        <f>IFERROR(__xludf.DUMMYFUNCTION("""COMPUTED_VALUE"""),2083262.0)</f>
        <v>2083262</v>
      </c>
      <c r="I13" s="343">
        <f>IFERROR(__xludf.DUMMYFUNCTION("""COMPUTED_VALUE"""),39.0)</f>
        <v>39</v>
      </c>
      <c r="J13" s="343">
        <f>IFERROR(__xludf.DUMMYFUNCTION("""COMPUTED_VALUE"""),3345135.0)</f>
        <v>3345135</v>
      </c>
      <c r="K13" s="343">
        <f>IFERROR(__xludf.DUMMYFUNCTION("""COMPUTED_VALUE"""),105.0)</f>
        <v>105</v>
      </c>
      <c r="L13" s="343">
        <f>IFERROR(__xludf.DUMMYFUNCTION("""COMPUTED_VALUE"""),6313526.0)</f>
        <v>6313526</v>
      </c>
      <c r="M13" s="343">
        <f>IFERROR(__xludf.DUMMYFUNCTION("""COMPUTED_VALUE"""),149.0)</f>
        <v>149</v>
      </c>
      <c r="N13" s="343">
        <f>IFERROR(__xludf.DUMMYFUNCTION("""COMPUTED_VALUE"""),2931961.0)</f>
        <v>2931961</v>
      </c>
      <c r="O13" s="343">
        <f>IFERROR(__xludf.DUMMYFUNCTION("""COMPUTED_VALUE"""),92.0)</f>
        <v>92</v>
      </c>
      <c r="P13" s="343">
        <f>IFERROR(__xludf.DUMMYFUNCTION("""COMPUTED_VALUE"""),2.4132589E7)</f>
        <v>24132589</v>
      </c>
      <c r="Q13" s="343">
        <f>IFERROR(__xludf.DUMMYFUNCTION("""COMPUTED_VALUE"""),659.0)</f>
        <v>659</v>
      </c>
      <c r="R13" s="356">
        <f>IFERROR(__xludf.DUMMYFUNCTION("""COMPUTED_VALUE"""),-3381565.0)</f>
        <v>-3381565</v>
      </c>
      <c r="S13" s="345">
        <f>IFERROR(__xludf.DUMMYFUNCTION("""COMPUTED_VALUE"""),-57.0)</f>
        <v>-57</v>
      </c>
      <c r="T13" s="346">
        <f>IFERROR(__xludf.DUMMYFUNCTION("""COMPUTED_VALUE"""),6.6581905E7)</f>
        <v>66581905</v>
      </c>
      <c r="U13" s="346">
        <f>IFERROR(__xludf.DUMMYFUNCTION("""COMPUTED_VALUE"""),7.7555318E7)</f>
        <v>77555318</v>
      </c>
      <c r="V13" s="343">
        <f>IFERROR(__xludf.DUMMYFUNCTION("""COMPUTED_VALUE"""),-1.0973413E7)</f>
        <v>-10973413</v>
      </c>
      <c r="W13" s="26"/>
      <c r="X13" s="26"/>
      <c r="Y13" s="26"/>
      <c r="Z13" s="26"/>
    </row>
    <row r="14">
      <c r="A14" s="342" t="str">
        <f>IFERROR(__xludf.DUMMYFUNCTION("""COMPUTED_VALUE"""),"3132320-Võ Thanh Diệu")</f>
        <v>3132320-Võ Thanh Diệu</v>
      </c>
      <c r="B14" s="343">
        <f>IFERROR(__xludf.DUMMYFUNCTION("""COMPUTED_VALUE"""),1.083399E7)</f>
        <v>10833990</v>
      </c>
      <c r="C14" s="343">
        <f>IFERROR(__xludf.DUMMYFUNCTION("""COMPUTED_VALUE"""),609.0)</f>
        <v>609</v>
      </c>
      <c r="D14" s="343">
        <f>IFERROR(__xludf.DUMMYFUNCTION("""COMPUTED_VALUE"""),8378619.0)</f>
        <v>8378619</v>
      </c>
      <c r="E14" s="343">
        <f>IFERROR(__xludf.DUMMYFUNCTION("""COMPUTED_VALUE"""),464.0)</f>
        <v>464</v>
      </c>
      <c r="F14" s="343">
        <f>IFERROR(__xludf.DUMMYFUNCTION("""COMPUTED_VALUE"""),1.2557056E7)</f>
        <v>12557056</v>
      </c>
      <c r="G14" s="343">
        <f>IFERROR(__xludf.DUMMYFUNCTION("""COMPUTED_VALUE"""),616.0)</f>
        <v>616</v>
      </c>
      <c r="H14" s="343">
        <f>IFERROR(__xludf.DUMMYFUNCTION("""COMPUTED_VALUE"""),8339305.0)</f>
        <v>8339305</v>
      </c>
      <c r="I14" s="343">
        <f>IFERROR(__xludf.DUMMYFUNCTION("""COMPUTED_VALUE"""),463.0)</f>
        <v>463</v>
      </c>
      <c r="J14" s="343">
        <f>IFERROR(__xludf.DUMMYFUNCTION("""COMPUTED_VALUE"""),1.0403104E7)</f>
        <v>10403104</v>
      </c>
      <c r="K14" s="343">
        <f>IFERROR(__xludf.DUMMYFUNCTION("""COMPUTED_VALUE"""),438.0)</f>
        <v>438</v>
      </c>
      <c r="L14" s="343">
        <f>IFERROR(__xludf.DUMMYFUNCTION("""COMPUTED_VALUE"""),7527282.0)</f>
        <v>7527282</v>
      </c>
      <c r="M14" s="343">
        <f>IFERROR(__xludf.DUMMYFUNCTION("""COMPUTED_VALUE"""),363.0)</f>
        <v>363</v>
      </c>
      <c r="N14" s="343">
        <f>IFERROR(__xludf.DUMMYFUNCTION("""COMPUTED_VALUE"""),1.2416734E7)</f>
        <v>12416734</v>
      </c>
      <c r="O14" s="343">
        <f>IFERROR(__xludf.DUMMYFUNCTION("""COMPUTED_VALUE"""),697.0)</f>
        <v>697</v>
      </c>
      <c r="P14" s="343">
        <f>IFERROR(__xludf.DUMMYFUNCTION("""COMPUTED_VALUE"""),7.045609E7)</f>
        <v>70456090</v>
      </c>
      <c r="Q14" s="343">
        <f>IFERROR(__xludf.DUMMYFUNCTION("""COMPUTED_VALUE"""),3650.0)</f>
        <v>3650</v>
      </c>
      <c r="R14" s="357">
        <f>IFERROR(__xludf.DUMMYFUNCTION("""COMPUTED_VALUE"""),4889452.0)</f>
        <v>4889452</v>
      </c>
      <c r="S14" s="345">
        <f>IFERROR(__xludf.DUMMYFUNCTION("""COMPUTED_VALUE"""),334.0)</f>
        <v>334</v>
      </c>
      <c r="T14" s="346">
        <f>IFERROR(__xludf.DUMMYFUNCTION("""COMPUTED_VALUE"""),1.94315977E8)</f>
        <v>194315977</v>
      </c>
      <c r="U14" s="346">
        <f>IFERROR(__xludf.DUMMYFUNCTION("""COMPUTED_VALUE"""),1.82971872E8)</f>
        <v>182971872</v>
      </c>
      <c r="V14" s="343">
        <f>IFERROR(__xludf.DUMMYFUNCTION("""COMPUTED_VALUE"""),1.1344105E7)</f>
        <v>11344105</v>
      </c>
      <c r="W14" s="26"/>
      <c r="X14" s="26"/>
      <c r="Y14" s="26"/>
      <c r="Z14" s="26"/>
    </row>
    <row r="15">
      <c r="A15" s="342" t="str">
        <f>IFERROR(__xludf.DUMMYFUNCTION("""COMPUTED_VALUE"""),"3133838-Nguyễn Văn Sáng")</f>
        <v>3133838-Nguyễn Văn Sáng</v>
      </c>
      <c r="B15" s="343">
        <f>IFERROR(__xludf.DUMMYFUNCTION("""COMPUTED_VALUE"""),1.0610425E7)</f>
        <v>10610425</v>
      </c>
      <c r="C15" s="343">
        <f>IFERROR(__xludf.DUMMYFUNCTION("""COMPUTED_VALUE"""),355.0)</f>
        <v>355</v>
      </c>
      <c r="D15" s="343">
        <f>IFERROR(__xludf.DUMMYFUNCTION("""COMPUTED_VALUE"""),9055770.0)</f>
        <v>9055770</v>
      </c>
      <c r="E15" s="343">
        <f>IFERROR(__xludf.DUMMYFUNCTION("""COMPUTED_VALUE"""),284.0)</f>
        <v>284</v>
      </c>
      <c r="F15" s="343">
        <f>IFERROR(__xludf.DUMMYFUNCTION("""COMPUTED_VALUE"""),9637188.0)</f>
        <v>9637188</v>
      </c>
      <c r="G15" s="343">
        <f>IFERROR(__xludf.DUMMYFUNCTION("""COMPUTED_VALUE"""),369.0)</f>
        <v>369</v>
      </c>
      <c r="H15" s="343">
        <f>IFERROR(__xludf.DUMMYFUNCTION("""COMPUTED_VALUE"""),6535094.0)</f>
        <v>6535094</v>
      </c>
      <c r="I15" s="343">
        <f>IFERROR(__xludf.DUMMYFUNCTION("""COMPUTED_VALUE"""),232.0)</f>
        <v>232</v>
      </c>
      <c r="J15" s="343">
        <f>IFERROR(__xludf.DUMMYFUNCTION("""COMPUTED_VALUE"""),8893701.0)</f>
        <v>8893701</v>
      </c>
      <c r="K15" s="343">
        <f>IFERROR(__xludf.DUMMYFUNCTION("""COMPUTED_VALUE"""),270.0)</f>
        <v>270</v>
      </c>
      <c r="L15" s="343">
        <f>IFERROR(__xludf.DUMMYFUNCTION("""COMPUTED_VALUE"""),1.3587646E7)</f>
        <v>13587646</v>
      </c>
      <c r="M15" s="343">
        <f>IFERROR(__xludf.DUMMYFUNCTION("""COMPUTED_VALUE"""),306.0)</f>
        <v>306</v>
      </c>
      <c r="N15" s="343">
        <f>IFERROR(__xludf.DUMMYFUNCTION("""COMPUTED_VALUE"""),9831479.0)</f>
        <v>9831479</v>
      </c>
      <c r="O15" s="343">
        <f>IFERROR(__xludf.DUMMYFUNCTION("""COMPUTED_VALUE"""),315.0)</f>
        <v>315</v>
      </c>
      <c r="P15" s="343">
        <f>IFERROR(__xludf.DUMMYFUNCTION("""COMPUTED_VALUE"""),6.8151303E7)</f>
        <v>68151303</v>
      </c>
      <c r="Q15" s="343">
        <f>IFERROR(__xludf.DUMMYFUNCTION("""COMPUTED_VALUE"""),2131.0)</f>
        <v>2131</v>
      </c>
      <c r="R15" s="358">
        <f>IFERROR(__xludf.DUMMYFUNCTION("""COMPUTED_VALUE"""),-3756167.0)</f>
        <v>-3756167</v>
      </c>
      <c r="S15" s="345">
        <f>IFERROR(__xludf.DUMMYFUNCTION("""COMPUTED_VALUE"""),9.0)</f>
        <v>9</v>
      </c>
      <c r="T15" s="346">
        <f>IFERROR(__xludf.DUMMYFUNCTION("""COMPUTED_VALUE"""),1.99017237E8)</f>
        <v>199017237</v>
      </c>
      <c r="U15" s="346">
        <f>IFERROR(__xludf.DUMMYFUNCTION("""COMPUTED_VALUE"""),2.12134741E8)</f>
        <v>212134741</v>
      </c>
      <c r="V15" s="343">
        <f>IFERROR(__xludf.DUMMYFUNCTION("""COMPUTED_VALUE"""),-1.3117504E7)</f>
        <v>-13117504</v>
      </c>
      <c r="W15" s="26"/>
      <c r="X15" s="26"/>
      <c r="Y15" s="26"/>
      <c r="Z15" s="26"/>
    </row>
    <row r="16">
      <c r="A16" s="351" t="str">
        <f>IFERROR(__xludf.DUMMYFUNCTION("""COMPUTED_VALUE"""),"3158766-Ngô Thị Bích Trâm")</f>
        <v>3158766-Ngô Thị Bích Trâm</v>
      </c>
      <c r="B16" s="346">
        <f>IFERROR(__xludf.DUMMYFUNCTION("""COMPUTED_VALUE"""),6201957.0)</f>
        <v>6201957</v>
      </c>
      <c r="C16" s="346">
        <f>IFERROR(__xludf.DUMMYFUNCTION("""COMPUTED_VALUE"""),212.0)</f>
        <v>212</v>
      </c>
      <c r="D16" s="346">
        <f>IFERROR(__xludf.DUMMYFUNCTION("""COMPUTED_VALUE"""),5153466.0)</f>
        <v>5153466</v>
      </c>
      <c r="E16" s="346">
        <f>IFERROR(__xludf.DUMMYFUNCTION("""COMPUTED_VALUE"""),165.0)</f>
        <v>165</v>
      </c>
      <c r="F16" s="346">
        <f>IFERROR(__xludf.DUMMYFUNCTION("""COMPUTED_VALUE"""),5254164.0)</f>
        <v>5254164</v>
      </c>
      <c r="G16" s="346">
        <f>IFERROR(__xludf.DUMMYFUNCTION("""COMPUTED_VALUE"""),149.0)</f>
        <v>149</v>
      </c>
      <c r="H16" s="346">
        <f>IFERROR(__xludf.DUMMYFUNCTION("""COMPUTED_VALUE"""),2857030.0)</f>
        <v>2857030</v>
      </c>
      <c r="I16" s="346">
        <f>IFERROR(__xludf.DUMMYFUNCTION("""COMPUTED_VALUE"""),144.0)</f>
        <v>144</v>
      </c>
      <c r="J16" s="346">
        <f>IFERROR(__xludf.DUMMYFUNCTION("""COMPUTED_VALUE"""),4738721.0)</f>
        <v>4738721</v>
      </c>
      <c r="K16" s="346">
        <f>IFERROR(__xludf.DUMMYFUNCTION("""COMPUTED_VALUE"""),151.0)</f>
        <v>151</v>
      </c>
      <c r="L16" s="346">
        <f>IFERROR(__xludf.DUMMYFUNCTION("""COMPUTED_VALUE"""),4935035.0)</f>
        <v>4935035</v>
      </c>
      <c r="M16" s="346">
        <f>IFERROR(__xludf.DUMMYFUNCTION("""COMPUTED_VALUE"""),214.0)</f>
        <v>214</v>
      </c>
      <c r="N16" s="346">
        <f>IFERROR(__xludf.DUMMYFUNCTION("""COMPUTED_VALUE"""),6750571.0)</f>
        <v>6750571</v>
      </c>
      <c r="O16" s="346">
        <f>IFERROR(__xludf.DUMMYFUNCTION("""COMPUTED_VALUE"""),242.0)</f>
        <v>242</v>
      </c>
      <c r="P16" s="346">
        <f>IFERROR(__xludf.DUMMYFUNCTION("""COMPUTED_VALUE"""),3.5890944E7)</f>
        <v>35890944</v>
      </c>
      <c r="Q16" s="346">
        <f>IFERROR(__xludf.DUMMYFUNCTION("""COMPUTED_VALUE"""),1277.0)</f>
        <v>1277</v>
      </c>
      <c r="R16" s="359">
        <f>IFERROR(__xludf.DUMMYFUNCTION("""COMPUTED_VALUE"""),1815536.0)</f>
        <v>1815536</v>
      </c>
      <c r="S16" s="345">
        <f>IFERROR(__xludf.DUMMYFUNCTION("""COMPUTED_VALUE"""),28.0)</f>
        <v>28</v>
      </c>
      <c r="T16" s="346">
        <f>IFERROR(__xludf.DUMMYFUNCTION("""COMPUTED_VALUE"""),1.17065746E8)</f>
        <v>117065746</v>
      </c>
      <c r="U16" s="346">
        <f>IFERROR(__xludf.DUMMYFUNCTION("""COMPUTED_VALUE"""),1.4983132E8)</f>
        <v>149831320</v>
      </c>
      <c r="V16" s="343">
        <f>IFERROR(__xludf.DUMMYFUNCTION("""COMPUTED_VALUE"""),-3.2765574E7)</f>
        <v>-32765574</v>
      </c>
      <c r="W16" s="26"/>
      <c r="X16" s="26"/>
      <c r="Y16" s="26"/>
      <c r="Z16" s="26"/>
    </row>
    <row r="17">
      <c r="A17" s="351" t="str">
        <f>IFERROR(__xludf.DUMMYFUNCTION("""COMPUTED_VALUE"""),"3160881-Huỳnh Thị Mới")</f>
        <v>3160881-Huỳnh Thị Mới</v>
      </c>
      <c r="B17" s="346">
        <f>IFERROR(__xludf.DUMMYFUNCTION("""COMPUTED_VALUE"""),6573270.0)</f>
        <v>6573270</v>
      </c>
      <c r="C17" s="346">
        <f>IFERROR(__xludf.DUMMYFUNCTION("""COMPUTED_VALUE"""),236.0)</f>
        <v>236</v>
      </c>
      <c r="D17" s="346">
        <f>IFERROR(__xludf.DUMMYFUNCTION("""COMPUTED_VALUE"""),4665205.0)</f>
        <v>4665205</v>
      </c>
      <c r="E17" s="346">
        <f>IFERROR(__xludf.DUMMYFUNCTION("""COMPUTED_VALUE"""),181.0)</f>
        <v>181</v>
      </c>
      <c r="F17" s="346">
        <f>IFERROR(__xludf.DUMMYFUNCTION("""COMPUTED_VALUE"""),5276412.0)</f>
        <v>5276412</v>
      </c>
      <c r="G17" s="346">
        <f>IFERROR(__xludf.DUMMYFUNCTION("""COMPUTED_VALUE"""),179.0)</f>
        <v>179</v>
      </c>
      <c r="H17" s="346">
        <f>IFERROR(__xludf.DUMMYFUNCTION("""COMPUTED_VALUE"""),5295096.0)</f>
        <v>5295096</v>
      </c>
      <c r="I17" s="346">
        <f>IFERROR(__xludf.DUMMYFUNCTION("""COMPUTED_VALUE"""),182.0)</f>
        <v>182</v>
      </c>
      <c r="J17" s="346">
        <f>IFERROR(__xludf.DUMMYFUNCTION("""COMPUTED_VALUE"""),1.0202793E7)</f>
        <v>10202793</v>
      </c>
      <c r="K17" s="346">
        <f>IFERROR(__xludf.DUMMYFUNCTION("""COMPUTED_VALUE"""),361.0)</f>
        <v>361</v>
      </c>
      <c r="L17" s="346">
        <f>IFERROR(__xludf.DUMMYFUNCTION("""COMPUTED_VALUE"""),5713219.0)</f>
        <v>5713219</v>
      </c>
      <c r="M17" s="346">
        <f>IFERROR(__xludf.DUMMYFUNCTION("""COMPUTED_VALUE"""),246.0)</f>
        <v>246</v>
      </c>
      <c r="N17" s="346">
        <f>IFERROR(__xludf.DUMMYFUNCTION("""COMPUTED_VALUE"""),5520652.0)</f>
        <v>5520652</v>
      </c>
      <c r="O17" s="346">
        <f>IFERROR(__xludf.DUMMYFUNCTION("""COMPUTED_VALUE"""),219.0)</f>
        <v>219</v>
      </c>
      <c r="P17" s="360">
        <f>IFERROR(__xludf.DUMMYFUNCTION("""COMPUTED_VALUE"""),4.3246647E7)</f>
        <v>43246647</v>
      </c>
      <c r="Q17" s="360">
        <f>IFERROR(__xludf.DUMMYFUNCTION("""COMPUTED_VALUE"""),1604.0)</f>
        <v>1604</v>
      </c>
      <c r="R17" s="361">
        <f>IFERROR(__xludf.DUMMYFUNCTION("""COMPUTED_VALUE"""),-192567.0)</f>
        <v>-192567</v>
      </c>
      <c r="S17" s="345">
        <f>IFERROR(__xludf.DUMMYFUNCTION("""COMPUTED_VALUE"""),-27.0)</f>
        <v>-27</v>
      </c>
      <c r="T17" s="346">
        <f>IFERROR(__xludf.DUMMYFUNCTION("""COMPUTED_VALUE"""),1.0271666E8)</f>
        <v>102716660</v>
      </c>
      <c r="U17" s="346">
        <f>IFERROR(__xludf.DUMMYFUNCTION("""COMPUTED_VALUE"""),1.10824707E8)</f>
        <v>110824707</v>
      </c>
      <c r="V17" s="343">
        <f>IFERROR(__xludf.DUMMYFUNCTION("""COMPUTED_VALUE"""),-8108047.0)</f>
        <v>-8108047</v>
      </c>
      <c r="W17" s="26"/>
      <c r="X17" s="26"/>
      <c r="Y17" s="26"/>
      <c r="Z17" s="26"/>
    </row>
    <row r="18">
      <c r="A18" s="351" t="str">
        <f>IFERROR(__xludf.DUMMYFUNCTION("""COMPUTED_VALUE"""),"3163131-Nguyễn Ngọc Hà")</f>
        <v>3163131-Nguyễn Ngọc Hà</v>
      </c>
      <c r="B18" s="346">
        <f>IFERROR(__xludf.DUMMYFUNCTION("""COMPUTED_VALUE"""),4412832.0)</f>
        <v>4412832</v>
      </c>
      <c r="C18" s="346">
        <f>IFERROR(__xludf.DUMMYFUNCTION("""COMPUTED_VALUE"""),186.0)</f>
        <v>186</v>
      </c>
      <c r="D18" s="346">
        <f>IFERROR(__xludf.DUMMYFUNCTION("""COMPUTED_VALUE"""),7085887.0)</f>
        <v>7085887</v>
      </c>
      <c r="E18" s="346">
        <f>IFERROR(__xludf.DUMMYFUNCTION("""COMPUTED_VALUE"""),347.0)</f>
        <v>347</v>
      </c>
      <c r="F18" s="346">
        <f>IFERROR(__xludf.DUMMYFUNCTION("""COMPUTED_VALUE"""),6969816.0)</f>
        <v>6969816</v>
      </c>
      <c r="G18" s="346">
        <f>IFERROR(__xludf.DUMMYFUNCTION("""COMPUTED_VALUE"""),357.0)</f>
        <v>357</v>
      </c>
      <c r="H18" s="346">
        <f>IFERROR(__xludf.DUMMYFUNCTION("""COMPUTED_VALUE"""),4188670.0)</f>
        <v>4188670</v>
      </c>
      <c r="I18" s="346">
        <f>IFERROR(__xludf.DUMMYFUNCTION("""COMPUTED_VALUE"""),239.0)</f>
        <v>239</v>
      </c>
      <c r="J18" s="346">
        <f>IFERROR(__xludf.DUMMYFUNCTION("""COMPUTED_VALUE"""),7694956.0)</f>
        <v>7694956</v>
      </c>
      <c r="K18" s="346">
        <f>IFERROR(__xludf.DUMMYFUNCTION("""COMPUTED_VALUE"""),351.0)</f>
        <v>351</v>
      </c>
      <c r="L18" s="346">
        <f>IFERROR(__xludf.DUMMYFUNCTION("""COMPUTED_VALUE"""),6077538.0)</f>
        <v>6077538</v>
      </c>
      <c r="M18" s="346">
        <f>IFERROR(__xludf.DUMMYFUNCTION("""COMPUTED_VALUE"""),311.0)</f>
        <v>311</v>
      </c>
      <c r="N18" s="346">
        <f>IFERROR(__xludf.DUMMYFUNCTION("""COMPUTED_VALUE"""),8278427.0)</f>
        <v>8278427</v>
      </c>
      <c r="O18" s="346">
        <f>IFERROR(__xludf.DUMMYFUNCTION("""COMPUTED_VALUE"""),359.0)</f>
        <v>359</v>
      </c>
      <c r="P18" s="346">
        <f>IFERROR(__xludf.DUMMYFUNCTION("""COMPUTED_VALUE"""),4.4708126E7)</f>
        <v>44708126</v>
      </c>
      <c r="Q18" s="346">
        <f>IFERROR(__xludf.DUMMYFUNCTION("""COMPUTED_VALUE"""),2150.0)</f>
        <v>2150</v>
      </c>
      <c r="R18" s="362">
        <f>IFERROR(__xludf.DUMMYFUNCTION("""COMPUTED_VALUE"""),2200889.0)</f>
        <v>2200889</v>
      </c>
      <c r="S18" s="345">
        <f>IFERROR(__xludf.DUMMYFUNCTION("""COMPUTED_VALUE"""),48.0)</f>
        <v>48</v>
      </c>
      <c r="T18" s="346">
        <f>IFERROR(__xludf.DUMMYFUNCTION("""COMPUTED_VALUE"""),1.35878356E8)</f>
        <v>135878356</v>
      </c>
      <c r="U18" s="346">
        <f>IFERROR(__xludf.DUMMYFUNCTION("""COMPUTED_VALUE"""),1.39286538E8)</f>
        <v>139286538</v>
      </c>
      <c r="V18" s="343">
        <f>IFERROR(__xludf.DUMMYFUNCTION("""COMPUTED_VALUE"""),-3408182.0)</f>
        <v>-3408182</v>
      </c>
      <c r="W18" s="26"/>
      <c r="X18" s="26"/>
      <c r="Y18" s="26"/>
      <c r="Z18" s="26"/>
    </row>
    <row r="19">
      <c r="A19" s="342" t="str">
        <f>IFERROR(__xludf.DUMMYFUNCTION("""COMPUTED_VALUE"""),"3167274-Phan Thị Mỹ Chi")</f>
        <v>3167274-Phan Thị Mỹ Chi</v>
      </c>
      <c r="B19" s="343">
        <f>IFERROR(__xludf.DUMMYFUNCTION("""COMPUTED_VALUE"""),7398169.0)</f>
        <v>7398169</v>
      </c>
      <c r="C19" s="343">
        <f>IFERROR(__xludf.DUMMYFUNCTION("""COMPUTED_VALUE"""),265.0)</f>
        <v>265</v>
      </c>
      <c r="D19" s="343">
        <f>IFERROR(__xludf.DUMMYFUNCTION("""COMPUTED_VALUE"""),8403488.0)</f>
        <v>8403488</v>
      </c>
      <c r="E19" s="343">
        <f>IFERROR(__xludf.DUMMYFUNCTION("""COMPUTED_VALUE"""),296.0)</f>
        <v>296</v>
      </c>
      <c r="F19" s="343">
        <f>IFERROR(__xludf.DUMMYFUNCTION("""COMPUTED_VALUE"""),6559790.0)</f>
        <v>6559790</v>
      </c>
      <c r="G19" s="343">
        <f>IFERROR(__xludf.DUMMYFUNCTION("""COMPUTED_VALUE"""),274.0)</f>
        <v>274</v>
      </c>
      <c r="H19" s="343">
        <f>IFERROR(__xludf.DUMMYFUNCTION("""COMPUTED_VALUE"""),7955672.0)</f>
        <v>7955672</v>
      </c>
      <c r="I19" s="343">
        <f>IFERROR(__xludf.DUMMYFUNCTION("""COMPUTED_VALUE"""),284.0)</f>
        <v>284</v>
      </c>
      <c r="J19" s="343">
        <f>IFERROR(__xludf.DUMMYFUNCTION("""COMPUTED_VALUE"""),7367943.0)</f>
        <v>7367943</v>
      </c>
      <c r="K19" s="343">
        <f>IFERROR(__xludf.DUMMYFUNCTION("""COMPUTED_VALUE"""),278.0)</f>
        <v>278</v>
      </c>
      <c r="L19" s="343">
        <f>IFERROR(__xludf.DUMMYFUNCTION("""COMPUTED_VALUE"""),7474779.0)</f>
        <v>7474779</v>
      </c>
      <c r="M19" s="343">
        <f>IFERROR(__xludf.DUMMYFUNCTION("""COMPUTED_VALUE"""),266.0)</f>
        <v>266</v>
      </c>
      <c r="N19" s="343">
        <f>IFERROR(__xludf.DUMMYFUNCTION("""COMPUTED_VALUE"""),8112255.0)</f>
        <v>8112255</v>
      </c>
      <c r="O19" s="343">
        <f>IFERROR(__xludf.DUMMYFUNCTION("""COMPUTED_VALUE"""),338.0)</f>
        <v>338</v>
      </c>
      <c r="P19" s="343">
        <f>IFERROR(__xludf.DUMMYFUNCTION("""COMPUTED_VALUE"""),5.3272096E7)</f>
        <v>53272096</v>
      </c>
      <c r="Q19" s="343">
        <f>IFERROR(__xludf.DUMMYFUNCTION("""COMPUTED_VALUE"""),2001.0)</f>
        <v>2001</v>
      </c>
      <c r="R19" s="363">
        <f>IFERROR(__xludf.DUMMYFUNCTION("""COMPUTED_VALUE"""),637476.0)</f>
        <v>637476</v>
      </c>
      <c r="S19" s="345">
        <f>IFERROR(__xludf.DUMMYFUNCTION("""COMPUTED_VALUE"""),72.0)</f>
        <v>72</v>
      </c>
      <c r="T19" s="343">
        <f>IFERROR(__xludf.DUMMYFUNCTION("""COMPUTED_VALUE"""),1.36726532E8)</f>
        <v>136726532</v>
      </c>
      <c r="U19" s="343">
        <f>IFERROR(__xludf.DUMMYFUNCTION("""COMPUTED_VALUE"""),1.19892445E8)</f>
        <v>119892445</v>
      </c>
      <c r="V19" s="343">
        <f>IFERROR(__xludf.DUMMYFUNCTION("""COMPUTED_VALUE"""),1.6834087E7)</f>
        <v>16834087</v>
      </c>
      <c r="W19" s="26"/>
      <c r="X19" s="26"/>
      <c r="Y19" s="26"/>
      <c r="Z19" s="26"/>
    </row>
    <row r="20">
      <c r="A20" s="342" t="str">
        <f>IFERROR(__xludf.DUMMYFUNCTION("""COMPUTED_VALUE"""),"Tổng cộng")</f>
        <v>Tổng cộng</v>
      </c>
      <c r="B20" s="343">
        <f>IFERROR(__xludf.DUMMYFUNCTION("""COMPUTED_VALUE"""),1.54748412E8)</f>
        <v>154748412</v>
      </c>
      <c r="C20" s="343">
        <f>IFERROR(__xludf.DUMMYFUNCTION("""COMPUTED_VALUE"""),6355.0)</f>
        <v>6355</v>
      </c>
      <c r="D20" s="343">
        <f>IFERROR(__xludf.DUMMYFUNCTION("""COMPUTED_VALUE"""),1.42113977E8)</f>
        <v>142113977</v>
      </c>
      <c r="E20" s="343">
        <f>IFERROR(__xludf.DUMMYFUNCTION("""COMPUTED_VALUE"""),6489.0)</f>
        <v>6489</v>
      </c>
      <c r="F20" s="343">
        <f>IFERROR(__xludf.DUMMYFUNCTION("""COMPUTED_VALUE"""),1.38842989E8)</f>
        <v>138842989</v>
      </c>
      <c r="G20" s="343">
        <f>IFERROR(__xludf.DUMMYFUNCTION("""COMPUTED_VALUE"""),5950.0)</f>
        <v>5950</v>
      </c>
      <c r="H20" s="343">
        <f>IFERROR(__xludf.DUMMYFUNCTION("""COMPUTED_VALUE"""),1.13136433E8)</f>
        <v>113136433</v>
      </c>
      <c r="I20" s="343">
        <f>IFERROR(__xludf.DUMMYFUNCTION("""COMPUTED_VALUE"""),5038.0)</f>
        <v>5038</v>
      </c>
      <c r="J20" s="343">
        <f>IFERROR(__xludf.DUMMYFUNCTION("""COMPUTED_VALUE"""),1.49350204E8)</f>
        <v>149350204</v>
      </c>
      <c r="K20" s="343">
        <f>IFERROR(__xludf.DUMMYFUNCTION("""COMPUTED_VALUE"""),5946.0)</f>
        <v>5946</v>
      </c>
      <c r="L20" s="343">
        <f>IFERROR(__xludf.DUMMYFUNCTION("""COMPUTED_VALUE"""),1.12417005E8)</f>
        <v>112417005</v>
      </c>
      <c r="M20" s="343">
        <f>IFERROR(__xludf.DUMMYFUNCTION("""COMPUTED_VALUE"""),4102.0)</f>
        <v>4102</v>
      </c>
      <c r="N20" s="343">
        <f>IFERROR(__xludf.DUMMYFUNCTION("""COMPUTED_VALUE"""),1.63235397E8)</f>
        <v>163235397</v>
      </c>
      <c r="O20" s="343">
        <f>IFERROR(__xludf.DUMMYFUNCTION("""COMPUTED_VALUE"""),6700.0)</f>
        <v>6700</v>
      </c>
      <c r="P20" s="343">
        <f>IFERROR(__xludf.DUMMYFUNCTION("""COMPUTED_VALUE"""),9.73844417E8)</f>
        <v>973844417</v>
      </c>
      <c r="Q20" s="343">
        <f>IFERROR(__xludf.DUMMYFUNCTION("""COMPUTED_VALUE"""),40580.0)</f>
        <v>40580</v>
      </c>
      <c r="R20" s="359">
        <f>IFERROR(__xludf.DUMMYFUNCTION("""COMPUTED_VALUE"""),5.0818392E7)</f>
        <v>50818392</v>
      </c>
      <c r="S20" s="345">
        <f>IFERROR(__xludf.DUMMYFUNCTION("""COMPUTED_VALUE"""),2598.0)</f>
        <v>2598</v>
      </c>
      <c r="T20" s="343">
        <f>IFERROR(__xludf.DUMMYFUNCTION("""COMPUTED_VALUE"""),2.795166404E9)</f>
        <v>2795166404</v>
      </c>
      <c r="U20" s="343">
        <f>IFERROR(__xludf.DUMMYFUNCTION("""COMPUTED_VALUE"""),3.028133731E9)</f>
        <v>3028133731</v>
      </c>
      <c r="V20" s="343">
        <f>IFERROR(__xludf.DUMMYFUNCTION("""COMPUTED_VALUE"""),-2.32967327E8)</f>
        <v>-232967327</v>
      </c>
      <c r="W20" s="26"/>
      <c r="X20" s="26"/>
      <c r="Y20" s="26"/>
      <c r="Z20" s="26"/>
    </row>
    <row r="21">
      <c r="A21" s="364"/>
      <c r="B21" s="365"/>
      <c r="C21" s="365"/>
      <c r="D21" s="365"/>
      <c r="E21" s="365"/>
      <c r="F21" s="365"/>
      <c r="G21" s="365"/>
      <c r="H21" s="365"/>
      <c r="I21" s="365"/>
      <c r="J21" s="365"/>
      <c r="K21" s="365"/>
      <c r="L21" s="365"/>
      <c r="M21" s="365"/>
      <c r="N21" s="365"/>
      <c r="O21" s="365"/>
      <c r="P21" s="365"/>
      <c r="Q21" s="365"/>
      <c r="R21" s="365"/>
      <c r="S21" s="365"/>
      <c r="T21" s="366"/>
      <c r="U21" s="366"/>
      <c r="V21" s="366"/>
      <c r="W21" s="26"/>
      <c r="X21" s="26"/>
      <c r="Y21" s="26"/>
      <c r="Z21" s="26"/>
    </row>
    <row r="22">
      <c r="A22" s="367"/>
      <c r="B22" s="367"/>
      <c r="C22" s="367"/>
      <c r="D22" s="367"/>
      <c r="E22" s="367"/>
      <c r="F22" s="367"/>
      <c r="G22" s="367"/>
      <c r="H22" s="367"/>
      <c r="I22" s="367"/>
      <c r="J22" s="367"/>
      <c r="K22" s="367"/>
      <c r="L22" s="367"/>
      <c r="M22" s="367"/>
      <c r="N22" s="367"/>
      <c r="O22" s="367"/>
      <c r="P22" s="367"/>
      <c r="Q22" s="367"/>
      <c r="R22" s="367"/>
      <c r="S22" s="367"/>
      <c r="T22" s="367"/>
      <c r="U22" s="368"/>
      <c r="V22" s="368"/>
      <c r="W22" s="26"/>
      <c r="X22" s="26"/>
      <c r="Y22" s="26"/>
      <c r="Z22" s="26"/>
    </row>
    <row r="23">
      <c r="A23" s="369"/>
      <c r="B23" s="370"/>
      <c r="C23" s="370"/>
      <c r="D23" s="370"/>
      <c r="E23" s="370"/>
      <c r="F23" s="370"/>
      <c r="G23" s="370"/>
      <c r="H23" s="370"/>
      <c r="I23" s="370"/>
      <c r="J23" s="370"/>
      <c r="K23" s="370"/>
      <c r="L23" s="370"/>
      <c r="M23" s="370"/>
      <c r="N23" s="370"/>
      <c r="O23" s="370"/>
      <c r="P23" s="371"/>
      <c r="Q23" s="371"/>
      <c r="R23" s="372"/>
      <c r="S23" s="372"/>
      <c r="T23" s="373"/>
      <c r="U23" s="374"/>
      <c r="V23" s="375"/>
      <c r="W23" s="26"/>
      <c r="X23" s="26"/>
      <c r="Y23" s="26"/>
      <c r="Z23" s="26"/>
    </row>
    <row r="24">
      <c r="A24" s="376"/>
      <c r="B24" s="377" t="str">
        <f>IFERROR(__xludf.DUMMYFUNCTION("""COMPUTED_VALUE"""),"DT GIAO TRẢ TC THEO SO")</f>
        <v>DT GIAO TRẢ TC THEO SO</v>
      </c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5"/>
      <c r="P24" s="378" t="str">
        <f>IFERROR(__xludf.DUMMYFUNCTION("""COMPUTED_VALUE"""),"Ngày báo cáo (N)")</f>
        <v>Ngày báo cáo (N)</v>
      </c>
      <c r="Q24" s="75"/>
      <c r="R24" s="329" t="str">
        <f>IFERROR(__xludf.DUMMYFUNCTION("""COMPUTED_VALUE"""),"SO SÁNH ")</f>
        <v>SO SÁNH </v>
      </c>
      <c r="S24" s="75"/>
      <c r="T24" s="330" t="str">
        <f>IFERROR(__xludf.DUMMYFUNCTION("""COMPUTED_VALUE"""),"Doanh thu luỹ kế tháng 5")</f>
        <v>Doanh thu luỹ kế tháng 5</v>
      </c>
      <c r="U24" s="330" t="str">
        <f>IFERROR(__xludf.DUMMYFUNCTION("""COMPUTED_VALUE"""),"Doanh Thu Cùng kỳ tháng 4")</f>
        <v>Doanh Thu Cùng kỳ tháng 4</v>
      </c>
      <c r="V24" s="331" t="str">
        <f>IFERROR(__xludf.DUMMYFUNCTION("""COMPUTED_VALUE"""),"So  Vs cùng kỳ ")</f>
        <v>So  Vs cùng kỳ </v>
      </c>
      <c r="W24" s="26"/>
      <c r="X24" s="26"/>
      <c r="Y24" s="26"/>
      <c r="Z24" s="26"/>
    </row>
    <row r="25">
      <c r="A25" s="332"/>
      <c r="B25" s="333">
        <f>IFERROR(__xludf.DUMMYFUNCTION("""COMPUTED_VALUE"""),46156.0)</f>
        <v>46156</v>
      </c>
      <c r="C25" s="75"/>
      <c r="D25" s="333">
        <f>IFERROR(__xludf.DUMMYFUNCTION("""COMPUTED_VALUE"""),46157.0)</f>
        <v>46157</v>
      </c>
      <c r="E25" s="75"/>
      <c r="F25" s="333">
        <f>IFERROR(__xludf.DUMMYFUNCTION("""COMPUTED_VALUE"""),46158.0)</f>
        <v>46158</v>
      </c>
      <c r="G25" s="75"/>
      <c r="H25" s="333">
        <f>IFERROR(__xludf.DUMMYFUNCTION("""COMPUTED_VALUE"""),46159.0)</f>
        <v>46159</v>
      </c>
      <c r="I25" s="75"/>
      <c r="J25" s="334">
        <f>IFERROR(__xludf.DUMMYFUNCTION("""COMPUTED_VALUE"""),46160.0)</f>
        <v>46160</v>
      </c>
      <c r="K25" s="75"/>
      <c r="L25" s="334">
        <f>IFERROR(__xludf.DUMMYFUNCTION("""COMPUTED_VALUE"""),46161.0)</f>
        <v>46161</v>
      </c>
      <c r="M25" s="75"/>
      <c r="N25" s="334">
        <f>IFERROR(__xludf.DUMMYFUNCTION("""COMPUTED_VALUE"""),46162.0)</f>
        <v>46162</v>
      </c>
      <c r="O25" s="75"/>
      <c r="P25" s="379" t="str">
        <f>IFERROR(__xludf.DUMMYFUNCTION("""COMPUTED_VALUE"""),"Tổng cộng")</f>
        <v>Tổng cộng</v>
      </c>
      <c r="Q25" s="75"/>
      <c r="R25" s="336" t="str">
        <f>IFERROR(__xludf.DUMMYFUNCTION("""COMPUTED_VALUE""")," Ngày N-1")</f>
        <v> Ngày N-1</v>
      </c>
      <c r="S25" s="75"/>
      <c r="T25" s="337"/>
      <c r="U25" s="337"/>
      <c r="V25" s="337"/>
      <c r="W25" s="26"/>
      <c r="X25" s="26"/>
      <c r="Y25" s="26"/>
      <c r="Z25" s="26"/>
    </row>
    <row r="26">
      <c r="A26" s="338" t="str">
        <f>IFERROR(__xludf.DUMMYFUNCTION("""COMPUTED_VALUE"""),"AM")</f>
        <v>AM</v>
      </c>
      <c r="B26" s="339" t="str">
        <f>IFERROR(__xludf.DUMMYFUNCTION("""COMPUTED_VALUE"""),"Doanh Thu")</f>
        <v>Doanh Thu</v>
      </c>
      <c r="C26" s="339" t="str">
        <f>IFERROR(__xludf.DUMMYFUNCTION("""COMPUTED_VALUE""")," Volume")</f>
        <v> Volume</v>
      </c>
      <c r="D26" s="339" t="str">
        <f>IFERROR(__xludf.DUMMYFUNCTION("""COMPUTED_VALUE"""),"Doanh Thu")</f>
        <v>Doanh Thu</v>
      </c>
      <c r="E26" s="339" t="str">
        <f>IFERROR(__xludf.DUMMYFUNCTION("""COMPUTED_VALUE""")," Volume")</f>
        <v> Volume</v>
      </c>
      <c r="F26" s="339" t="str">
        <f>IFERROR(__xludf.DUMMYFUNCTION("""COMPUTED_VALUE"""),"Doanh Thu")</f>
        <v>Doanh Thu</v>
      </c>
      <c r="G26" s="339" t="str">
        <f>IFERROR(__xludf.DUMMYFUNCTION("""COMPUTED_VALUE""")," Volume")</f>
        <v> Volume</v>
      </c>
      <c r="H26" s="339" t="str">
        <f>IFERROR(__xludf.DUMMYFUNCTION("""COMPUTED_VALUE"""),"Doanh Thu")</f>
        <v>Doanh Thu</v>
      </c>
      <c r="I26" s="339" t="str">
        <f>IFERROR(__xludf.DUMMYFUNCTION("""COMPUTED_VALUE""")," Volume")</f>
        <v> Volume</v>
      </c>
      <c r="J26" s="340" t="str">
        <f>IFERROR(__xludf.DUMMYFUNCTION("""COMPUTED_VALUE"""),"Doanh Thu")</f>
        <v>Doanh Thu</v>
      </c>
      <c r="K26" s="340" t="str">
        <f>IFERROR(__xludf.DUMMYFUNCTION("""COMPUTED_VALUE""")," Volume")</f>
        <v> Volume</v>
      </c>
      <c r="L26" s="340" t="str">
        <f>IFERROR(__xludf.DUMMYFUNCTION("""COMPUTED_VALUE"""),"Doanh Thu")</f>
        <v>Doanh Thu</v>
      </c>
      <c r="M26" s="340" t="str">
        <f>IFERROR(__xludf.DUMMYFUNCTION("""COMPUTED_VALUE""")," Volume")</f>
        <v> Volume</v>
      </c>
      <c r="N26" s="340" t="str">
        <f>IFERROR(__xludf.DUMMYFUNCTION("""COMPUTED_VALUE"""),"Doanh Thu")</f>
        <v>Doanh Thu</v>
      </c>
      <c r="O26" s="340" t="str">
        <f>IFERROR(__xludf.DUMMYFUNCTION("""COMPUTED_VALUE""")," Volume")</f>
        <v> Volume</v>
      </c>
      <c r="P26" s="380" t="str">
        <f>IFERROR(__xludf.DUMMYFUNCTION("""COMPUTED_VALUE"""),"Doanh Thu")</f>
        <v>Doanh Thu</v>
      </c>
      <c r="Q26" s="381" t="str">
        <f>IFERROR(__xludf.DUMMYFUNCTION("""COMPUTED_VALUE""")," Volume")</f>
        <v> Volume</v>
      </c>
      <c r="R26" s="340" t="str">
        <f>IFERROR(__xludf.DUMMYFUNCTION("""COMPUTED_VALUE"""),"Doanh Thu")</f>
        <v>Doanh Thu</v>
      </c>
      <c r="S26" s="340" t="str">
        <f>IFERROR(__xludf.DUMMYFUNCTION("""COMPUTED_VALUE"""),"Volume")</f>
        <v>Volume</v>
      </c>
      <c r="T26" s="84"/>
      <c r="U26" s="84"/>
      <c r="V26" s="84"/>
      <c r="W26" s="26"/>
      <c r="X26" s="26"/>
      <c r="Y26" s="26"/>
      <c r="Z26" s="26"/>
    </row>
    <row r="27">
      <c r="A27" s="351" t="str">
        <f>IFERROR(__xludf.DUMMYFUNCTION("""COMPUTED_VALUE"""),"-")</f>
        <v>-</v>
      </c>
      <c r="B27" s="346">
        <f>IFERROR(__xludf.DUMMYFUNCTION("""COMPUTED_VALUE"""),41759.0)</f>
        <v>41759</v>
      </c>
      <c r="C27" s="346">
        <f>IFERROR(__xludf.DUMMYFUNCTION("""COMPUTED_VALUE"""),2.0)</f>
        <v>2</v>
      </c>
      <c r="D27" s="346">
        <f>IFERROR(__xludf.DUMMYFUNCTION("""COMPUTED_VALUE"""),67223.0)</f>
        <v>67223</v>
      </c>
      <c r="E27" s="346">
        <f>IFERROR(__xludf.DUMMYFUNCTION("""COMPUTED_VALUE"""),3.0)</f>
        <v>3</v>
      </c>
      <c r="F27" s="346">
        <f>IFERROR(__xludf.DUMMYFUNCTION("""COMPUTED_VALUE"""),57038.0)</f>
        <v>57038</v>
      </c>
      <c r="G27" s="346">
        <f>IFERROR(__xludf.DUMMYFUNCTION("""COMPUTED_VALUE"""),2.0)</f>
        <v>2</v>
      </c>
      <c r="H27" s="346"/>
      <c r="I27" s="346"/>
      <c r="J27" s="346">
        <f>IFERROR(__xludf.DUMMYFUNCTION("""COMPUTED_VALUE"""),83335.0)</f>
        <v>83335</v>
      </c>
      <c r="K27" s="346">
        <f>IFERROR(__xludf.DUMMYFUNCTION("""COMPUTED_VALUE"""),3.0)</f>
        <v>3</v>
      </c>
      <c r="L27" s="346"/>
      <c r="M27" s="346"/>
      <c r="N27" s="346">
        <f>IFERROR(__xludf.DUMMYFUNCTION("""COMPUTED_VALUE"""),95744.0)</f>
        <v>95744</v>
      </c>
      <c r="O27" s="346">
        <f>IFERROR(__xludf.DUMMYFUNCTION("""COMPUTED_VALUE"""),4.0)</f>
        <v>4</v>
      </c>
      <c r="P27" s="346">
        <f>IFERROR(__xludf.DUMMYFUNCTION("""COMPUTED_VALUE"""),345099.0)</f>
        <v>345099</v>
      </c>
      <c r="Q27" s="346">
        <f>IFERROR(__xludf.DUMMYFUNCTION("""COMPUTED_VALUE"""),14.0)</f>
        <v>14</v>
      </c>
      <c r="R27" s="382">
        <f>IFERROR(__xludf.DUMMYFUNCTION("""COMPUTED_VALUE"""),95744.0)</f>
        <v>95744</v>
      </c>
      <c r="S27" s="345">
        <f>IFERROR(__xludf.DUMMYFUNCTION("""COMPUTED_VALUE"""),4.0)</f>
        <v>4</v>
      </c>
      <c r="T27" s="346">
        <f>IFERROR(__xludf.DUMMYFUNCTION("""COMPUTED_VALUE"""),784926.0)</f>
        <v>784926</v>
      </c>
      <c r="U27" s="346">
        <f>IFERROR(__xludf.DUMMYFUNCTION("""COMPUTED_VALUE"""),1468794.0)</f>
        <v>1468794</v>
      </c>
      <c r="V27" s="343">
        <f>IFERROR(__xludf.DUMMYFUNCTION("""COMPUTED_VALUE"""),-683868.0)</f>
        <v>-683868</v>
      </c>
      <c r="W27" s="26"/>
      <c r="X27" s="26"/>
      <c r="Y27" s="26"/>
      <c r="Z27" s="26"/>
    </row>
    <row r="28">
      <c r="A28" s="351" t="str">
        <f>IFERROR(__xludf.DUMMYFUNCTION("""COMPUTED_VALUE"""),"241743-Phan Thanh Thức")</f>
        <v>241743-Phan Thanh Thức</v>
      </c>
      <c r="B28" s="346">
        <f>IFERROR(__xludf.DUMMYFUNCTION("""COMPUTED_VALUE"""),8059479.0)</f>
        <v>8059479</v>
      </c>
      <c r="C28" s="346">
        <f>IFERROR(__xludf.DUMMYFUNCTION("""COMPUTED_VALUE"""),258.0)</f>
        <v>258</v>
      </c>
      <c r="D28" s="346">
        <f>IFERROR(__xludf.DUMMYFUNCTION("""COMPUTED_VALUE"""),1.0767899E7)</f>
        <v>10767899</v>
      </c>
      <c r="E28" s="346">
        <f>IFERROR(__xludf.DUMMYFUNCTION("""COMPUTED_VALUE"""),336.0)</f>
        <v>336</v>
      </c>
      <c r="F28" s="346">
        <f>IFERROR(__xludf.DUMMYFUNCTION("""COMPUTED_VALUE"""),8713423.0)</f>
        <v>8713423</v>
      </c>
      <c r="G28" s="346">
        <f>IFERROR(__xludf.DUMMYFUNCTION("""COMPUTED_VALUE"""),282.0)</f>
        <v>282</v>
      </c>
      <c r="H28" s="346">
        <f>IFERROR(__xludf.DUMMYFUNCTION("""COMPUTED_VALUE"""),7907332.0)</f>
        <v>7907332</v>
      </c>
      <c r="I28" s="346">
        <f>IFERROR(__xludf.DUMMYFUNCTION("""COMPUTED_VALUE"""),222.0)</f>
        <v>222</v>
      </c>
      <c r="J28" s="346">
        <f>IFERROR(__xludf.DUMMYFUNCTION("""COMPUTED_VALUE"""),1.4403198E7)</f>
        <v>14403198</v>
      </c>
      <c r="K28" s="346">
        <f>IFERROR(__xludf.DUMMYFUNCTION("""COMPUTED_VALUE"""),364.0)</f>
        <v>364</v>
      </c>
      <c r="L28" s="346">
        <f>IFERROR(__xludf.DUMMYFUNCTION("""COMPUTED_VALUE"""),1.0596888E7)</f>
        <v>10596888</v>
      </c>
      <c r="M28" s="346">
        <f>IFERROR(__xludf.DUMMYFUNCTION("""COMPUTED_VALUE"""),301.0)</f>
        <v>301</v>
      </c>
      <c r="N28" s="346">
        <f>IFERROR(__xludf.DUMMYFUNCTION("""COMPUTED_VALUE"""),9966508.0)</f>
        <v>9966508</v>
      </c>
      <c r="O28" s="346">
        <f>IFERROR(__xludf.DUMMYFUNCTION("""COMPUTED_VALUE"""),282.0)</f>
        <v>282</v>
      </c>
      <c r="P28" s="346">
        <f>IFERROR(__xludf.DUMMYFUNCTION("""COMPUTED_VALUE"""),7.0414727E7)</f>
        <v>70414727</v>
      </c>
      <c r="Q28" s="346">
        <f>IFERROR(__xludf.DUMMYFUNCTION("""COMPUTED_VALUE"""),2045.0)</f>
        <v>2045</v>
      </c>
      <c r="R28" s="383">
        <f>IFERROR(__xludf.DUMMYFUNCTION("""COMPUTED_VALUE"""),-630380.0)</f>
        <v>-630380</v>
      </c>
      <c r="S28" s="345">
        <f>IFERROR(__xludf.DUMMYFUNCTION("""COMPUTED_VALUE"""),-19.0)</f>
        <v>-19</v>
      </c>
      <c r="T28" s="346">
        <f>IFERROR(__xludf.DUMMYFUNCTION("""COMPUTED_VALUE"""),1.79120778E8)</f>
        <v>179120778</v>
      </c>
      <c r="U28" s="346">
        <f>IFERROR(__xludf.DUMMYFUNCTION("""COMPUTED_VALUE"""),1.98166227E8)</f>
        <v>198166227</v>
      </c>
      <c r="V28" s="343">
        <f>IFERROR(__xludf.DUMMYFUNCTION("""COMPUTED_VALUE"""),-1.9045449E7)</f>
        <v>-19045449</v>
      </c>
      <c r="W28" s="26"/>
      <c r="X28" s="26"/>
      <c r="Y28" s="26"/>
      <c r="Z28" s="26"/>
    </row>
    <row r="29">
      <c r="A29" s="351" t="str">
        <f>IFERROR(__xludf.DUMMYFUNCTION("""COMPUTED_VALUE"""),"252005-Lê Trọng Khiêm")</f>
        <v>252005-Lê Trọng Khiêm</v>
      </c>
      <c r="B29" s="346">
        <f>IFERROR(__xludf.DUMMYFUNCTION("""COMPUTED_VALUE"""),8514187.0)</f>
        <v>8514187</v>
      </c>
      <c r="C29" s="346">
        <f>IFERROR(__xludf.DUMMYFUNCTION("""COMPUTED_VALUE"""),337.0)</f>
        <v>337</v>
      </c>
      <c r="D29" s="346">
        <f>IFERROR(__xludf.DUMMYFUNCTION("""COMPUTED_VALUE"""),7812533.0)</f>
        <v>7812533</v>
      </c>
      <c r="E29" s="346">
        <f>IFERROR(__xludf.DUMMYFUNCTION("""COMPUTED_VALUE"""),315.0)</f>
        <v>315</v>
      </c>
      <c r="F29" s="346">
        <f>IFERROR(__xludf.DUMMYFUNCTION("""COMPUTED_VALUE"""),7717700.0)</f>
        <v>7717700</v>
      </c>
      <c r="G29" s="346">
        <f>IFERROR(__xludf.DUMMYFUNCTION("""COMPUTED_VALUE"""),336.0)</f>
        <v>336</v>
      </c>
      <c r="H29" s="346">
        <f>IFERROR(__xludf.DUMMYFUNCTION("""COMPUTED_VALUE"""),6471143.0)</f>
        <v>6471143</v>
      </c>
      <c r="I29" s="346">
        <f>IFERROR(__xludf.DUMMYFUNCTION("""COMPUTED_VALUE"""),281.0)</f>
        <v>281</v>
      </c>
      <c r="J29" s="346">
        <f>IFERROR(__xludf.DUMMYFUNCTION("""COMPUTED_VALUE"""),7811206.0)</f>
        <v>7811206</v>
      </c>
      <c r="K29" s="346">
        <f>IFERROR(__xludf.DUMMYFUNCTION("""COMPUTED_VALUE"""),336.0)</f>
        <v>336</v>
      </c>
      <c r="L29" s="346">
        <f>IFERROR(__xludf.DUMMYFUNCTION("""COMPUTED_VALUE"""),9093884.0)</f>
        <v>9093884</v>
      </c>
      <c r="M29" s="346">
        <f>IFERROR(__xludf.DUMMYFUNCTION("""COMPUTED_VALUE"""),387.0)</f>
        <v>387</v>
      </c>
      <c r="N29" s="346">
        <f>IFERROR(__xludf.DUMMYFUNCTION("""COMPUTED_VALUE"""),8813824.0)</f>
        <v>8813824</v>
      </c>
      <c r="O29" s="346">
        <f>IFERROR(__xludf.DUMMYFUNCTION("""COMPUTED_VALUE"""),344.0)</f>
        <v>344</v>
      </c>
      <c r="P29" s="346">
        <f>IFERROR(__xludf.DUMMYFUNCTION("""COMPUTED_VALUE"""),5.6234477E7)</f>
        <v>56234477</v>
      </c>
      <c r="Q29" s="346">
        <f>IFERROR(__xludf.DUMMYFUNCTION("""COMPUTED_VALUE"""),2336.0)</f>
        <v>2336</v>
      </c>
      <c r="R29" s="383">
        <f>IFERROR(__xludf.DUMMYFUNCTION("""COMPUTED_VALUE"""),-280060.0)</f>
        <v>-280060</v>
      </c>
      <c r="S29" s="345">
        <f>IFERROR(__xludf.DUMMYFUNCTION("""COMPUTED_VALUE"""),-43.0)</f>
        <v>-43</v>
      </c>
      <c r="T29" s="346">
        <f>IFERROR(__xludf.DUMMYFUNCTION("""COMPUTED_VALUE"""),1.60444463E8)</f>
        <v>160444463</v>
      </c>
      <c r="U29" s="346">
        <f>IFERROR(__xludf.DUMMYFUNCTION("""COMPUTED_VALUE"""),1.69790664E8)</f>
        <v>169790664</v>
      </c>
      <c r="V29" s="343">
        <f>IFERROR(__xludf.DUMMYFUNCTION("""COMPUTED_VALUE"""),-9346201.0)</f>
        <v>-9346201</v>
      </c>
      <c r="W29" s="26"/>
      <c r="X29" s="26"/>
      <c r="Y29" s="26"/>
      <c r="Z29" s="26"/>
    </row>
    <row r="30">
      <c r="A30" s="351" t="str">
        <f>IFERROR(__xludf.DUMMYFUNCTION("""COMPUTED_VALUE"""),"255280-Trần Nhật Thương")</f>
        <v>255280-Trần Nhật Thương</v>
      </c>
      <c r="B30" s="346">
        <f>IFERROR(__xludf.DUMMYFUNCTION("""COMPUTED_VALUE"""),1.599865E7)</f>
        <v>15998650</v>
      </c>
      <c r="C30" s="346">
        <f>IFERROR(__xludf.DUMMYFUNCTION("""COMPUTED_VALUE"""),602.0)</f>
        <v>602</v>
      </c>
      <c r="D30" s="346">
        <f>IFERROR(__xludf.DUMMYFUNCTION("""COMPUTED_VALUE"""),1.3240713E7)</f>
        <v>13240713</v>
      </c>
      <c r="E30" s="346">
        <f>IFERROR(__xludf.DUMMYFUNCTION("""COMPUTED_VALUE"""),558.0)</f>
        <v>558</v>
      </c>
      <c r="F30" s="346">
        <f>IFERROR(__xludf.DUMMYFUNCTION("""COMPUTED_VALUE"""),1.971386E7)</f>
        <v>19713860</v>
      </c>
      <c r="G30" s="346">
        <f>IFERROR(__xludf.DUMMYFUNCTION("""COMPUTED_VALUE"""),634.0)</f>
        <v>634</v>
      </c>
      <c r="H30" s="346">
        <f>IFERROR(__xludf.DUMMYFUNCTION("""COMPUTED_VALUE"""),1.4597636E7)</f>
        <v>14597636</v>
      </c>
      <c r="I30" s="346">
        <f>IFERROR(__xludf.DUMMYFUNCTION("""COMPUTED_VALUE"""),542.0)</f>
        <v>542</v>
      </c>
      <c r="J30" s="346">
        <f>IFERROR(__xludf.DUMMYFUNCTION("""COMPUTED_VALUE"""),1.5756524E7)</f>
        <v>15756524</v>
      </c>
      <c r="K30" s="346">
        <f>IFERROR(__xludf.DUMMYFUNCTION("""COMPUTED_VALUE"""),679.0)</f>
        <v>679</v>
      </c>
      <c r="L30" s="346">
        <f>IFERROR(__xludf.DUMMYFUNCTION("""COMPUTED_VALUE"""),1.2205573E7)</f>
        <v>12205573</v>
      </c>
      <c r="M30" s="346">
        <f>IFERROR(__xludf.DUMMYFUNCTION("""COMPUTED_VALUE"""),551.0)</f>
        <v>551</v>
      </c>
      <c r="N30" s="346">
        <f>IFERROR(__xludf.DUMMYFUNCTION("""COMPUTED_VALUE"""),1.6950398E7)</f>
        <v>16950398</v>
      </c>
      <c r="O30" s="346">
        <f>IFERROR(__xludf.DUMMYFUNCTION("""COMPUTED_VALUE"""),516.0)</f>
        <v>516</v>
      </c>
      <c r="P30" s="346">
        <f>IFERROR(__xludf.DUMMYFUNCTION("""COMPUTED_VALUE"""),1.08463354E8)</f>
        <v>108463354</v>
      </c>
      <c r="Q30" s="346">
        <f>IFERROR(__xludf.DUMMYFUNCTION("""COMPUTED_VALUE"""),4082.0)</f>
        <v>4082</v>
      </c>
      <c r="R30" s="384">
        <f>IFERROR(__xludf.DUMMYFUNCTION("""COMPUTED_VALUE"""),4744825.0)</f>
        <v>4744825</v>
      </c>
      <c r="S30" s="345">
        <f>IFERROR(__xludf.DUMMYFUNCTION("""COMPUTED_VALUE"""),-35.0)</f>
        <v>-35</v>
      </c>
      <c r="T30" s="346">
        <f>IFERROR(__xludf.DUMMYFUNCTION("""COMPUTED_VALUE"""),3.02256799E8)</f>
        <v>302256799</v>
      </c>
      <c r="U30" s="346">
        <f>IFERROR(__xludf.DUMMYFUNCTION("""COMPUTED_VALUE"""),3.20177471E8)</f>
        <v>320177471</v>
      </c>
      <c r="V30" s="343">
        <f>IFERROR(__xludf.DUMMYFUNCTION("""COMPUTED_VALUE"""),-1.7920672E7)</f>
        <v>-17920672</v>
      </c>
      <c r="W30" s="26"/>
      <c r="X30" s="26"/>
      <c r="Y30" s="26"/>
      <c r="Z30" s="26"/>
    </row>
    <row r="31">
      <c r="A31" s="351" t="str">
        <f>IFERROR(__xludf.DUMMYFUNCTION("""COMPUTED_VALUE"""),"3030939-Nguyễn Công Luận")</f>
        <v>3030939-Nguyễn Công Luận</v>
      </c>
      <c r="B31" s="346">
        <f>IFERROR(__xludf.DUMMYFUNCTION("""COMPUTED_VALUE"""),3.7112848E7)</f>
        <v>37112848</v>
      </c>
      <c r="C31" s="346">
        <f>IFERROR(__xludf.DUMMYFUNCTION("""COMPUTED_VALUE"""),2014.0)</f>
        <v>2014</v>
      </c>
      <c r="D31" s="346">
        <f>IFERROR(__xludf.DUMMYFUNCTION("""COMPUTED_VALUE"""),3.3717005E7)</f>
        <v>33717005</v>
      </c>
      <c r="E31" s="346">
        <f>IFERROR(__xludf.DUMMYFUNCTION("""COMPUTED_VALUE"""),2000.0)</f>
        <v>2000</v>
      </c>
      <c r="F31" s="346">
        <f>IFERROR(__xludf.DUMMYFUNCTION("""COMPUTED_VALUE"""),3.2820397E7)</f>
        <v>32820397</v>
      </c>
      <c r="G31" s="346">
        <f>IFERROR(__xludf.DUMMYFUNCTION("""COMPUTED_VALUE"""),1873.0)</f>
        <v>1873</v>
      </c>
      <c r="H31" s="346">
        <f>IFERROR(__xludf.DUMMYFUNCTION("""COMPUTED_VALUE"""),2.7510999E7)</f>
        <v>27510999</v>
      </c>
      <c r="I31" s="346">
        <f>IFERROR(__xludf.DUMMYFUNCTION("""COMPUTED_VALUE"""),1662.0)</f>
        <v>1662</v>
      </c>
      <c r="J31" s="346">
        <f>IFERROR(__xludf.DUMMYFUNCTION("""COMPUTED_VALUE"""),3.5821387E7)</f>
        <v>35821387</v>
      </c>
      <c r="K31" s="346">
        <f>IFERROR(__xludf.DUMMYFUNCTION("""COMPUTED_VALUE"""),2100.0)</f>
        <v>2100</v>
      </c>
      <c r="L31" s="346">
        <f>IFERROR(__xludf.DUMMYFUNCTION("""COMPUTED_VALUE"""),3.0363279E7)</f>
        <v>30363279</v>
      </c>
      <c r="M31" s="346">
        <f>IFERROR(__xludf.DUMMYFUNCTION("""COMPUTED_VALUE"""),1746.0)</f>
        <v>1746</v>
      </c>
      <c r="N31" s="346">
        <f>IFERROR(__xludf.DUMMYFUNCTION("""COMPUTED_VALUE"""),3.2345457E7)</f>
        <v>32345457</v>
      </c>
      <c r="O31" s="346">
        <f>IFERROR(__xludf.DUMMYFUNCTION("""COMPUTED_VALUE"""),1872.0)</f>
        <v>1872</v>
      </c>
      <c r="P31" s="346">
        <f>IFERROR(__xludf.DUMMYFUNCTION("""COMPUTED_VALUE"""),2.29691372E8)</f>
        <v>229691372</v>
      </c>
      <c r="Q31" s="346">
        <f>IFERROR(__xludf.DUMMYFUNCTION("""COMPUTED_VALUE"""),13267.0)</f>
        <v>13267</v>
      </c>
      <c r="R31" s="385">
        <f>IFERROR(__xludf.DUMMYFUNCTION("""COMPUTED_VALUE"""),1982178.0)</f>
        <v>1982178</v>
      </c>
      <c r="S31" s="346">
        <f>IFERROR(__xludf.DUMMYFUNCTION("""COMPUTED_VALUE"""),126.0)</f>
        <v>126</v>
      </c>
      <c r="T31" s="346">
        <f>IFERROR(__xludf.DUMMYFUNCTION("""COMPUTED_VALUE"""),5.83274999E8)</f>
        <v>583274999</v>
      </c>
      <c r="U31" s="346">
        <f>IFERROR(__xludf.DUMMYFUNCTION("""COMPUTED_VALUE"""),6.56300606E8)</f>
        <v>656300606</v>
      </c>
      <c r="V31" s="343">
        <f>IFERROR(__xludf.DUMMYFUNCTION("""COMPUTED_VALUE"""),-7.3025607E7)</f>
        <v>-73025607</v>
      </c>
      <c r="W31" s="26"/>
      <c r="X31" s="26"/>
      <c r="Y31" s="26"/>
      <c r="Z31" s="26"/>
    </row>
    <row r="32">
      <c r="A32" s="351" t="str">
        <f>IFERROR(__xludf.DUMMYFUNCTION("""COMPUTED_VALUE"""),"3039937-Nguyễn Đình Trung")</f>
        <v>3039937-Nguyễn Đình Trung</v>
      </c>
      <c r="B32" s="346">
        <f>IFERROR(__xludf.DUMMYFUNCTION("""COMPUTED_VALUE"""),1.1158169E7)</f>
        <v>11158169</v>
      </c>
      <c r="C32" s="346">
        <f>IFERROR(__xludf.DUMMYFUNCTION("""COMPUTED_VALUE"""),457.0)</f>
        <v>457</v>
      </c>
      <c r="D32" s="346">
        <f>IFERROR(__xludf.DUMMYFUNCTION("""COMPUTED_VALUE"""),1.0350407E7)</f>
        <v>10350407</v>
      </c>
      <c r="E32" s="346">
        <f>IFERROR(__xludf.DUMMYFUNCTION("""COMPUTED_VALUE"""),383.0)</f>
        <v>383</v>
      </c>
      <c r="F32" s="346">
        <f>IFERROR(__xludf.DUMMYFUNCTION("""COMPUTED_VALUE"""),1.1393178E7)</f>
        <v>11393178</v>
      </c>
      <c r="G32" s="346">
        <f>IFERROR(__xludf.DUMMYFUNCTION("""COMPUTED_VALUE"""),424.0)</f>
        <v>424</v>
      </c>
      <c r="H32" s="346">
        <f>IFERROR(__xludf.DUMMYFUNCTION("""COMPUTED_VALUE"""),8381536.0)</f>
        <v>8381536</v>
      </c>
      <c r="I32" s="346">
        <f>IFERROR(__xludf.DUMMYFUNCTION("""COMPUTED_VALUE"""),362.0)</f>
        <v>362</v>
      </c>
      <c r="J32" s="346">
        <f>IFERROR(__xludf.DUMMYFUNCTION("""COMPUTED_VALUE"""),1.1059227E7)</f>
        <v>11059227</v>
      </c>
      <c r="K32" s="346">
        <f>IFERROR(__xludf.DUMMYFUNCTION("""COMPUTED_VALUE"""),458.0)</f>
        <v>458</v>
      </c>
      <c r="L32" s="346">
        <f>IFERROR(__xludf.DUMMYFUNCTION("""COMPUTED_VALUE"""),1.3950359E7)</f>
        <v>13950359</v>
      </c>
      <c r="M32" s="346">
        <f>IFERROR(__xludf.DUMMYFUNCTION("""COMPUTED_VALUE"""),472.0)</f>
        <v>472</v>
      </c>
      <c r="N32" s="346">
        <f>IFERROR(__xludf.DUMMYFUNCTION("""COMPUTED_VALUE"""),1.3131182E7)</f>
        <v>13131182</v>
      </c>
      <c r="O32" s="346">
        <f>IFERROR(__xludf.DUMMYFUNCTION("""COMPUTED_VALUE"""),534.0)</f>
        <v>534</v>
      </c>
      <c r="P32" s="346">
        <f>IFERROR(__xludf.DUMMYFUNCTION("""COMPUTED_VALUE"""),7.9424058E7)</f>
        <v>79424058</v>
      </c>
      <c r="Q32" s="346">
        <f>IFERROR(__xludf.DUMMYFUNCTION("""COMPUTED_VALUE"""),3090.0)</f>
        <v>3090</v>
      </c>
      <c r="R32" s="386">
        <f>IFERROR(__xludf.DUMMYFUNCTION("""COMPUTED_VALUE"""),-819177.0)</f>
        <v>-819177</v>
      </c>
      <c r="S32" s="346">
        <f>IFERROR(__xludf.DUMMYFUNCTION("""COMPUTED_VALUE"""),62.0)</f>
        <v>62</v>
      </c>
      <c r="T32" s="346">
        <f>IFERROR(__xludf.DUMMYFUNCTION("""COMPUTED_VALUE"""),2.12138121E8)</f>
        <v>212138121</v>
      </c>
      <c r="U32" s="346">
        <f>IFERROR(__xludf.DUMMYFUNCTION("""COMPUTED_VALUE"""),2.24187466E8)</f>
        <v>224187466</v>
      </c>
      <c r="V32" s="343">
        <f>IFERROR(__xludf.DUMMYFUNCTION("""COMPUTED_VALUE"""),-1.2049345E7)</f>
        <v>-12049345</v>
      </c>
      <c r="W32" s="26"/>
      <c r="X32" s="26"/>
      <c r="Y32" s="26"/>
      <c r="Z32" s="26"/>
    </row>
    <row r="33">
      <c r="A33" s="351" t="str">
        <f>IFERROR(__xludf.DUMMYFUNCTION("""COMPUTED_VALUE"""),"3071955-Lê Văn Tài")</f>
        <v>3071955-Lê Văn Tài</v>
      </c>
      <c r="B33" s="346">
        <f>IFERROR(__xludf.DUMMYFUNCTION("""COMPUTED_VALUE"""),6857493.0)</f>
        <v>6857493</v>
      </c>
      <c r="C33" s="346">
        <f>IFERROR(__xludf.DUMMYFUNCTION("""COMPUTED_VALUE"""),238.0)</f>
        <v>238</v>
      </c>
      <c r="D33" s="346">
        <f>IFERROR(__xludf.DUMMYFUNCTION("""COMPUTED_VALUE"""),8219932.0)</f>
        <v>8219932</v>
      </c>
      <c r="E33" s="346">
        <f>IFERROR(__xludf.DUMMYFUNCTION("""COMPUTED_VALUE"""),301.0)</f>
        <v>301</v>
      </c>
      <c r="F33" s="346">
        <f>IFERROR(__xludf.DUMMYFUNCTION("""COMPUTED_VALUE"""),6364719.0)</f>
        <v>6364719</v>
      </c>
      <c r="G33" s="346">
        <f>IFERROR(__xludf.DUMMYFUNCTION("""COMPUTED_VALUE"""),245.0)</f>
        <v>245</v>
      </c>
      <c r="H33" s="346">
        <f>IFERROR(__xludf.DUMMYFUNCTION("""COMPUTED_VALUE"""),4590741.0)</f>
        <v>4590741</v>
      </c>
      <c r="I33" s="346">
        <f>IFERROR(__xludf.DUMMYFUNCTION("""COMPUTED_VALUE"""),170.0)</f>
        <v>170</v>
      </c>
      <c r="J33" s="346">
        <f>IFERROR(__xludf.DUMMYFUNCTION("""COMPUTED_VALUE"""),6334345.0)</f>
        <v>6334345</v>
      </c>
      <c r="K33" s="346">
        <f>IFERROR(__xludf.DUMMYFUNCTION("""COMPUTED_VALUE"""),239.0)</f>
        <v>239</v>
      </c>
      <c r="L33" s="346">
        <f>IFERROR(__xludf.DUMMYFUNCTION("""COMPUTED_VALUE"""),4597075.0)</f>
        <v>4597075</v>
      </c>
      <c r="M33" s="346">
        <f>IFERROR(__xludf.DUMMYFUNCTION("""COMPUTED_VALUE"""),194.0)</f>
        <v>194</v>
      </c>
      <c r="N33" s="346">
        <f>IFERROR(__xludf.DUMMYFUNCTION("""COMPUTED_VALUE"""),5041951.0)</f>
        <v>5041951</v>
      </c>
      <c r="O33" s="346">
        <f>IFERROR(__xludf.DUMMYFUNCTION("""COMPUTED_VALUE"""),207.0)</f>
        <v>207</v>
      </c>
      <c r="P33" s="346">
        <f>IFERROR(__xludf.DUMMYFUNCTION("""COMPUTED_VALUE"""),4.2006256E7)</f>
        <v>42006256</v>
      </c>
      <c r="Q33" s="346">
        <f>IFERROR(__xludf.DUMMYFUNCTION("""COMPUTED_VALUE"""),1594.0)</f>
        <v>1594</v>
      </c>
      <c r="R33" s="387">
        <f>IFERROR(__xludf.DUMMYFUNCTION("""COMPUTED_VALUE"""),444876.0)</f>
        <v>444876</v>
      </c>
      <c r="S33" s="346">
        <f>IFERROR(__xludf.DUMMYFUNCTION("""COMPUTED_VALUE"""),13.0)</f>
        <v>13</v>
      </c>
      <c r="T33" s="346">
        <f>IFERROR(__xludf.DUMMYFUNCTION("""COMPUTED_VALUE"""),1.25151792E8)</f>
        <v>125151792</v>
      </c>
      <c r="U33" s="346">
        <f>IFERROR(__xludf.DUMMYFUNCTION("""COMPUTED_VALUE"""),1.34977125E8)</f>
        <v>134977125</v>
      </c>
      <c r="V33" s="343">
        <f>IFERROR(__xludf.DUMMYFUNCTION("""COMPUTED_VALUE"""),-9825333.0)</f>
        <v>-9825333</v>
      </c>
      <c r="W33" s="26"/>
      <c r="X33" s="26"/>
      <c r="Y33" s="26"/>
      <c r="Z33" s="26"/>
    </row>
    <row r="34">
      <c r="A34" s="351" t="str">
        <f>IFERROR(__xludf.DUMMYFUNCTION("""COMPUTED_VALUE"""),"3082533-Nguyễn Thị Bảo Nhi")</f>
        <v>3082533-Nguyễn Thị Bảo Nhi</v>
      </c>
      <c r="B34" s="346">
        <f>IFERROR(__xludf.DUMMYFUNCTION("""COMPUTED_VALUE"""),8170973.0)</f>
        <v>8170973</v>
      </c>
      <c r="C34" s="346">
        <f>IFERROR(__xludf.DUMMYFUNCTION("""COMPUTED_VALUE"""),267.0)</f>
        <v>267</v>
      </c>
      <c r="D34" s="346">
        <f>IFERROR(__xludf.DUMMYFUNCTION("""COMPUTED_VALUE"""),6375369.0)</f>
        <v>6375369</v>
      </c>
      <c r="E34" s="346">
        <f>IFERROR(__xludf.DUMMYFUNCTION("""COMPUTED_VALUE"""),244.0)</f>
        <v>244</v>
      </c>
      <c r="F34" s="346">
        <f>IFERROR(__xludf.DUMMYFUNCTION("""COMPUTED_VALUE"""),8193631.0)</f>
        <v>8193631</v>
      </c>
      <c r="G34" s="346">
        <f>IFERROR(__xludf.DUMMYFUNCTION("""COMPUTED_VALUE"""),290.0)</f>
        <v>290</v>
      </c>
      <c r="H34" s="346">
        <f>IFERROR(__xludf.DUMMYFUNCTION("""COMPUTED_VALUE"""),7100694.0)</f>
        <v>7100694</v>
      </c>
      <c r="I34" s="346">
        <f>IFERROR(__xludf.DUMMYFUNCTION("""COMPUTED_VALUE"""),258.0)</f>
        <v>258</v>
      </c>
      <c r="J34" s="346">
        <f>IFERROR(__xludf.DUMMYFUNCTION("""COMPUTED_VALUE"""),8452558.0)</f>
        <v>8452558</v>
      </c>
      <c r="K34" s="346">
        <f>IFERROR(__xludf.DUMMYFUNCTION("""COMPUTED_VALUE"""),309.0)</f>
        <v>309</v>
      </c>
      <c r="L34" s="346">
        <f>IFERROR(__xludf.DUMMYFUNCTION("""COMPUTED_VALUE"""),5949621.0)</f>
        <v>5949621</v>
      </c>
      <c r="M34" s="346">
        <f>IFERROR(__xludf.DUMMYFUNCTION("""COMPUTED_VALUE"""),246.0)</f>
        <v>246</v>
      </c>
      <c r="N34" s="346">
        <f>IFERROR(__xludf.DUMMYFUNCTION("""COMPUTED_VALUE"""),6846701.0)</f>
        <v>6846701</v>
      </c>
      <c r="O34" s="346">
        <f>IFERROR(__xludf.DUMMYFUNCTION("""COMPUTED_VALUE"""),261.0)</f>
        <v>261</v>
      </c>
      <c r="P34" s="346">
        <f>IFERROR(__xludf.DUMMYFUNCTION("""COMPUTED_VALUE"""),5.1089547E7)</f>
        <v>51089547</v>
      </c>
      <c r="Q34" s="346">
        <f>IFERROR(__xludf.DUMMYFUNCTION("""COMPUTED_VALUE"""),1875.0)</f>
        <v>1875</v>
      </c>
      <c r="R34" s="388">
        <f>IFERROR(__xludf.DUMMYFUNCTION("""COMPUTED_VALUE"""),897080.0)</f>
        <v>897080</v>
      </c>
      <c r="S34" s="345">
        <f>IFERROR(__xludf.DUMMYFUNCTION("""COMPUTED_VALUE"""),15.0)</f>
        <v>15</v>
      </c>
      <c r="T34" s="346">
        <f>IFERROR(__xludf.DUMMYFUNCTION("""COMPUTED_VALUE"""),1.39716755E8)</f>
        <v>139716755</v>
      </c>
      <c r="U34" s="346">
        <f>IFERROR(__xludf.DUMMYFUNCTION("""COMPUTED_VALUE"""),1.591316E8)</f>
        <v>159131600</v>
      </c>
      <c r="V34" s="343">
        <f>IFERROR(__xludf.DUMMYFUNCTION("""COMPUTED_VALUE"""),-1.9414845E7)</f>
        <v>-19414845</v>
      </c>
      <c r="W34" s="26"/>
      <c r="X34" s="26"/>
      <c r="Y34" s="26"/>
      <c r="Z34" s="26"/>
    </row>
    <row r="35">
      <c r="A35" s="354" t="str">
        <f>IFERROR(__xludf.DUMMYFUNCTION("""COMPUTED_VALUE"""),"3104208-Mai Đức Hoàng Long")</f>
        <v>3104208-Mai Đức Hoàng Long</v>
      </c>
      <c r="B35" s="346">
        <f>IFERROR(__xludf.DUMMYFUNCTION("""COMPUTED_VALUE"""),5710096.0)</f>
        <v>5710096</v>
      </c>
      <c r="C35" s="346">
        <f>IFERROR(__xludf.DUMMYFUNCTION("""COMPUTED_VALUE"""),180.0)</f>
        <v>180</v>
      </c>
      <c r="D35" s="346">
        <f>IFERROR(__xludf.DUMMYFUNCTION("""COMPUTED_VALUE"""),5786769.0)</f>
        <v>5786769</v>
      </c>
      <c r="E35" s="346">
        <f>IFERROR(__xludf.DUMMYFUNCTION("""COMPUTED_VALUE"""),192.0)</f>
        <v>192</v>
      </c>
      <c r="F35" s="346">
        <f>IFERROR(__xludf.DUMMYFUNCTION("""COMPUTED_VALUE"""),4393631.0)</f>
        <v>4393631</v>
      </c>
      <c r="G35" s="346">
        <f>IFERROR(__xludf.DUMMYFUNCTION("""COMPUTED_VALUE"""),139.0)</f>
        <v>139</v>
      </c>
      <c r="H35" s="346">
        <f>IFERROR(__xludf.DUMMYFUNCTION("""COMPUTED_VALUE"""),5886225.0)</f>
        <v>5886225</v>
      </c>
      <c r="I35" s="346">
        <f>IFERROR(__xludf.DUMMYFUNCTION("""COMPUTED_VALUE"""),185.0)</f>
        <v>185</v>
      </c>
      <c r="J35" s="346">
        <f>IFERROR(__xludf.DUMMYFUNCTION("""COMPUTED_VALUE"""),4422144.0)</f>
        <v>4422144</v>
      </c>
      <c r="K35" s="346">
        <f>IFERROR(__xludf.DUMMYFUNCTION("""COMPUTED_VALUE"""),129.0)</f>
        <v>129</v>
      </c>
      <c r="L35" s="346">
        <f>IFERROR(__xludf.DUMMYFUNCTION("""COMPUTED_VALUE"""),4562260.0)</f>
        <v>4562260</v>
      </c>
      <c r="M35" s="346">
        <f>IFERROR(__xludf.DUMMYFUNCTION("""COMPUTED_VALUE"""),147.0)</f>
        <v>147</v>
      </c>
      <c r="N35" s="346">
        <f>IFERROR(__xludf.DUMMYFUNCTION("""COMPUTED_VALUE"""),4213916.0)</f>
        <v>4213916</v>
      </c>
      <c r="O35" s="346">
        <f>IFERROR(__xludf.DUMMYFUNCTION("""COMPUTED_VALUE"""),174.0)</f>
        <v>174</v>
      </c>
      <c r="P35" s="346">
        <f>IFERROR(__xludf.DUMMYFUNCTION("""COMPUTED_VALUE"""),3.4975041E7)</f>
        <v>34975041</v>
      </c>
      <c r="Q35" s="346">
        <f>IFERROR(__xludf.DUMMYFUNCTION("""COMPUTED_VALUE"""),1146.0)</f>
        <v>1146</v>
      </c>
      <c r="R35" s="389">
        <f>IFERROR(__xludf.DUMMYFUNCTION("""COMPUTED_VALUE"""),-348344.0)</f>
        <v>-348344</v>
      </c>
      <c r="S35" s="345">
        <f>IFERROR(__xludf.DUMMYFUNCTION("""COMPUTED_VALUE"""),27.0)</f>
        <v>27</v>
      </c>
      <c r="T35" s="346">
        <f>IFERROR(__xludf.DUMMYFUNCTION("""COMPUTED_VALUE"""),8.1476614E7)</f>
        <v>81476614</v>
      </c>
      <c r="U35" s="346">
        <f>IFERROR(__xludf.DUMMYFUNCTION("""COMPUTED_VALUE"""),1.44184748E8)</f>
        <v>144184748</v>
      </c>
      <c r="V35" s="343">
        <f>IFERROR(__xludf.DUMMYFUNCTION("""COMPUTED_VALUE"""),-6.2708134E7)</f>
        <v>-62708134</v>
      </c>
      <c r="W35" s="26"/>
      <c r="X35" s="26"/>
      <c r="Y35" s="26"/>
      <c r="Z35" s="26"/>
    </row>
    <row r="36">
      <c r="A36" s="351" t="str">
        <f>IFERROR(__xludf.DUMMYFUNCTION("""COMPUTED_VALUE"""),"3129557-Nguyễn Hoàng Anh")</f>
        <v>3129557-Nguyễn Hoàng Anh</v>
      </c>
      <c r="B36" s="346">
        <f>IFERROR(__xludf.DUMMYFUNCTION("""COMPUTED_VALUE"""),4660174.0)</f>
        <v>4660174</v>
      </c>
      <c r="C36" s="346">
        <f>IFERROR(__xludf.DUMMYFUNCTION("""COMPUTED_VALUE"""),137.0)</f>
        <v>137</v>
      </c>
      <c r="D36" s="346">
        <f>IFERROR(__xludf.DUMMYFUNCTION("""COMPUTED_VALUE"""),3973429.0)</f>
        <v>3973429</v>
      </c>
      <c r="E36" s="346">
        <f>IFERROR(__xludf.DUMMYFUNCTION("""COMPUTED_VALUE"""),99.0)</f>
        <v>99</v>
      </c>
      <c r="F36" s="346">
        <f>IFERROR(__xludf.DUMMYFUNCTION("""COMPUTED_VALUE"""),3995183.0)</f>
        <v>3995183</v>
      </c>
      <c r="G36" s="346">
        <f>IFERROR(__xludf.DUMMYFUNCTION("""COMPUTED_VALUE"""),96.0)</f>
        <v>96</v>
      </c>
      <c r="H36" s="346"/>
      <c r="I36" s="346"/>
      <c r="J36" s="346">
        <f>IFERROR(__xludf.DUMMYFUNCTION("""COMPUTED_VALUE"""),4096670.0)</f>
        <v>4096670</v>
      </c>
      <c r="K36" s="346">
        <f>IFERROR(__xludf.DUMMYFUNCTION("""COMPUTED_VALUE"""),110.0)</f>
        <v>110</v>
      </c>
      <c r="L36" s="346">
        <f>IFERROR(__xludf.DUMMYFUNCTION("""COMPUTED_VALUE"""),2139270.0)</f>
        <v>2139270</v>
      </c>
      <c r="M36" s="346">
        <f>IFERROR(__xludf.DUMMYFUNCTION("""COMPUTED_VALUE"""),64.0)</f>
        <v>64</v>
      </c>
      <c r="N36" s="346">
        <f>IFERROR(__xludf.DUMMYFUNCTION("""COMPUTED_VALUE"""),4757861.0)</f>
        <v>4757861</v>
      </c>
      <c r="O36" s="346">
        <f>IFERROR(__xludf.DUMMYFUNCTION("""COMPUTED_VALUE"""),114.0)</f>
        <v>114</v>
      </c>
      <c r="P36" s="346">
        <f>IFERROR(__xludf.DUMMYFUNCTION("""COMPUTED_VALUE"""),2.3622587E7)</f>
        <v>23622587</v>
      </c>
      <c r="Q36" s="346">
        <f>IFERROR(__xludf.DUMMYFUNCTION("""COMPUTED_VALUE"""),620.0)</f>
        <v>620</v>
      </c>
      <c r="R36" s="390">
        <f>IFERROR(__xludf.DUMMYFUNCTION("""COMPUTED_VALUE"""),2618591.0)</f>
        <v>2618591</v>
      </c>
      <c r="S36" s="345">
        <f>IFERROR(__xludf.DUMMYFUNCTION("""COMPUTED_VALUE"""),50.0)</f>
        <v>50</v>
      </c>
      <c r="T36" s="346">
        <f>IFERROR(__xludf.DUMMYFUNCTION("""COMPUTED_VALUE"""),6.3145695E7)</f>
        <v>63145695</v>
      </c>
      <c r="U36" s="346">
        <f>IFERROR(__xludf.DUMMYFUNCTION("""COMPUTED_VALUE"""),7.9571869E7)</f>
        <v>79571869</v>
      </c>
      <c r="V36" s="343">
        <f>IFERROR(__xludf.DUMMYFUNCTION("""COMPUTED_VALUE"""),-1.6426174E7)</f>
        <v>-16426174</v>
      </c>
      <c r="W36" s="26"/>
      <c r="X36" s="26"/>
      <c r="Y36" s="26"/>
      <c r="Z36" s="26"/>
    </row>
    <row r="37">
      <c r="A37" s="351" t="str">
        <f>IFERROR(__xludf.DUMMYFUNCTION("""COMPUTED_VALUE"""),"3132320-Võ Thanh Diệu")</f>
        <v>3132320-Võ Thanh Diệu</v>
      </c>
      <c r="B37" s="346">
        <f>IFERROR(__xludf.DUMMYFUNCTION("""COMPUTED_VALUE"""),1.2758056E7)</f>
        <v>12758056</v>
      </c>
      <c r="C37" s="346">
        <f>IFERROR(__xludf.DUMMYFUNCTION("""COMPUTED_VALUE"""),613.0)</f>
        <v>613</v>
      </c>
      <c r="D37" s="346">
        <f>IFERROR(__xludf.DUMMYFUNCTION("""COMPUTED_VALUE"""),1.4044658E7)</f>
        <v>14044658</v>
      </c>
      <c r="E37" s="346">
        <f>IFERROR(__xludf.DUMMYFUNCTION("""COMPUTED_VALUE"""),617.0)</f>
        <v>617</v>
      </c>
      <c r="F37" s="346">
        <f>IFERROR(__xludf.DUMMYFUNCTION("""COMPUTED_VALUE"""),9459233.0)</f>
        <v>9459233</v>
      </c>
      <c r="G37" s="346">
        <f>IFERROR(__xludf.DUMMYFUNCTION("""COMPUTED_VALUE"""),540.0)</f>
        <v>540</v>
      </c>
      <c r="H37" s="346">
        <f>IFERROR(__xludf.DUMMYFUNCTION("""COMPUTED_VALUE"""),9773193.0)</f>
        <v>9773193</v>
      </c>
      <c r="I37" s="346">
        <f>IFERROR(__xludf.DUMMYFUNCTION("""COMPUTED_VALUE"""),499.0)</f>
        <v>499</v>
      </c>
      <c r="J37" s="346">
        <f>IFERROR(__xludf.DUMMYFUNCTION("""COMPUTED_VALUE"""),1.0794676E7)</f>
        <v>10794676</v>
      </c>
      <c r="K37" s="346">
        <f>IFERROR(__xludf.DUMMYFUNCTION("""COMPUTED_VALUE"""),585.0)</f>
        <v>585</v>
      </c>
      <c r="L37" s="346">
        <f>IFERROR(__xludf.DUMMYFUNCTION("""COMPUTED_VALUE"""),9314107.0)</f>
        <v>9314107</v>
      </c>
      <c r="M37" s="346">
        <f>IFERROR(__xludf.DUMMYFUNCTION("""COMPUTED_VALUE"""),480.0)</f>
        <v>480</v>
      </c>
      <c r="N37" s="346">
        <f>IFERROR(__xludf.DUMMYFUNCTION("""COMPUTED_VALUE"""),9607799.0)</f>
        <v>9607799</v>
      </c>
      <c r="O37" s="346">
        <f>IFERROR(__xludf.DUMMYFUNCTION("""COMPUTED_VALUE"""),444.0)</f>
        <v>444</v>
      </c>
      <c r="P37" s="346">
        <f>IFERROR(__xludf.DUMMYFUNCTION("""COMPUTED_VALUE"""),7.5751722E7)</f>
        <v>75751722</v>
      </c>
      <c r="Q37" s="346">
        <f>IFERROR(__xludf.DUMMYFUNCTION("""COMPUTED_VALUE"""),3778.0)</f>
        <v>3778</v>
      </c>
      <c r="R37" s="385">
        <f>IFERROR(__xludf.DUMMYFUNCTION("""COMPUTED_VALUE"""),293692.0)</f>
        <v>293692</v>
      </c>
      <c r="S37" s="345">
        <f>IFERROR(__xludf.DUMMYFUNCTION("""COMPUTED_VALUE"""),-36.0)</f>
        <v>-36</v>
      </c>
      <c r="T37" s="346">
        <f>IFERROR(__xludf.DUMMYFUNCTION("""COMPUTED_VALUE"""),1.87652875E8)</f>
        <v>187652875</v>
      </c>
      <c r="U37" s="346">
        <f>IFERROR(__xludf.DUMMYFUNCTION("""COMPUTED_VALUE"""),1.80194247E8)</f>
        <v>180194247</v>
      </c>
      <c r="V37" s="343">
        <f>IFERROR(__xludf.DUMMYFUNCTION("""COMPUTED_VALUE"""),7458628.0)</f>
        <v>7458628</v>
      </c>
      <c r="W37" s="26"/>
      <c r="X37" s="26"/>
      <c r="Y37" s="26"/>
      <c r="Z37" s="26"/>
    </row>
    <row r="38">
      <c r="A38" s="351" t="str">
        <f>IFERROR(__xludf.DUMMYFUNCTION("""COMPUTED_VALUE"""),"3133838-Nguyễn Văn Sáng")</f>
        <v>3133838-Nguyễn Văn Sáng</v>
      </c>
      <c r="B38" s="346">
        <f>IFERROR(__xludf.DUMMYFUNCTION("""COMPUTED_VALUE"""),1.1361077E7)</f>
        <v>11361077</v>
      </c>
      <c r="C38" s="346">
        <f>IFERROR(__xludf.DUMMYFUNCTION("""COMPUTED_VALUE"""),350.0)</f>
        <v>350</v>
      </c>
      <c r="D38" s="346">
        <f>IFERROR(__xludf.DUMMYFUNCTION("""COMPUTED_VALUE"""),1.1005648E7)</f>
        <v>11005648</v>
      </c>
      <c r="E38" s="346">
        <f>IFERROR(__xludf.DUMMYFUNCTION("""COMPUTED_VALUE"""),397.0)</f>
        <v>397</v>
      </c>
      <c r="F38" s="346">
        <f>IFERROR(__xludf.DUMMYFUNCTION("""COMPUTED_VALUE"""),1.0209617E7)</f>
        <v>10209617</v>
      </c>
      <c r="G38" s="346">
        <f>IFERROR(__xludf.DUMMYFUNCTION("""COMPUTED_VALUE"""),314.0)</f>
        <v>314</v>
      </c>
      <c r="H38" s="346">
        <f>IFERROR(__xludf.DUMMYFUNCTION("""COMPUTED_VALUE"""),8689564.0)</f>
        <v>8689564</v>
      </c>
      <c r="I38" s="346">
        <f>IFERROR(__xludf.DUMMYFUNCTION("""COMPUTED_VALUE"""),266.0)</f>
        <v>266</v>
      </c>
      <c r="J38" s="346">
        <f>IFERROR(__xludf.DUMMYFUNCTION("""COMPUTED_VALUE"""),1.239202E7)</f>
        <v>12392020</v>
      </c>
      <c r="K38" s="346">
        <f>IFERROR(__xludf.DUMMYFUNCTION("""COMPUTED_VALUE"""),394.0)</f>
        <v>394</v>
      </c>
      <c r="L38" s="346">
        <f>IFERROR(__xludf.DUMMYFUNCTION("""COMPUTED_VALUE"""),8790056.0)</f>
        <v>8790056</v>
      </c>
      <c r="M38" s="346">
        <f>IFERROR(__xludf.DUMMYFUNCTION("""COMPUTED_VALUE"""),317.0)</f>
        <v>317</v>
      </c>
      <c r="N38" s="346">
        <f>IFERROR(__xludf.DUMMYFUNCTION("""COMPUTED_VALUE"""),7900348.0)</f>
        <v>7900348</v>
      </c>
      <c r="O38" s="346">
        <f>IFERROR(__xludf.DUMMYFUNCTION("""COMPUTED_VALUE"""),268.0)</f>
        <v>268</v>
      </c>
      <c r="P38" s="346">
        <f>IFERROR(__xludf.DUMMYFUNCTION("""COMPUTED_VALUE"""),7.034833E7)</f>
        <v>70348330</v>
      </c>
      <c r="Q38" s="346">
        <f>IFERROR(__xludf.DUMMYFUNCTION("""COMPUTED_VALUE"""),2306.0)</f>
        <v>2306</v>
      </c>
      <c r="R38" s="391">
        <f>IFERROR(__xludf.DUMMYFUNCTION("""COMPUTED_VALUE"""),-889708.0)</f>
        <v>-889708</v>
      </c>
      <c r="S38" s="345">
        <f>IFERROR(__xludf.DUMMYFUNCTION("""COMPUTED_VALUE"""),-49.0)</f>
        <v>-49</v>
      </c>
      <c r="T38" s="346">
        <f>IFERROR(__xludf.DUMMYFUNCTION("""COMPUTED_VALUE"""),1.95050731E8)</f>
        <v>195050731</v>
      </c>
      <c r="U38" s="346">
        <f>IFERROR(__xludf.DUMMYFUNCTION("""COMPUTED_VALUE"""),2.08399896E8)</f>
        <v>208399896</v>
      </c>
      <c r="V38" s="343">
        <f>IFERROR(__xludf.DUMMYFUNCTION("""COMPUTED_VALUE"""),-1.3349165E7)</f>
        <v>-13349165</v>
      </c>
      <c r="W38" s="26"/>
      <c r="X38" s="26"/>
      <c r="Y38" s="26"/>
      <c r="Z38" s="26"/>
    </row>
    <row r="39">
      <c r="A39" s="351" t="str">
        <f>IFERROR(__xludf.DUMMYFUNCTION("""COMPUTED_VALUE"""),"3158766-Ngô Thị Bích Trâm")</f>
        <v>3158766-Ngô Thị Bích Trâm</v>
      </c>
      <c r="B39" s="346">
        <f>IFERROR(__xludf.DUMMYFUNCTION("""COMPUTED_VALUE"""),5270197.0)</f>
        <v>5270197</v>
      </c>
      <c r="C39" s="346">
        <f>IFERROR(__xludf.DUMMYFUNCTION("""COMPUTED_VALUE"""),178.0)</f>
        <v>178</v>
      </c>
      <c r="D39" s="346">
        <f>IFERROR(__xludf.DUMMYFUNCTION("""COMPUTED_VALUE"""),5897114.0)</f>
        <v>5897114</v>
      </c>
      <c r="E39" s="346">
        <f>IFERROR(__xludf.DUMMYFUNCTION("""COMPUTED_VALUE"""),205.0)</f>
        <v>205</v>
      </c>
      <c r="F39" s="346">
        <f>IFERROR(__xludf.DUMMYFUNCTION("""COMPUTED_VALUE"""),6230838.0)</f>
        <v>6230838</v>
      </c>
      <c r="G39" s="346">
        <f>IFERROR(__xludf.DUMMYFUNCTION("""COMPUTED_VALUE"""),203.0)</f>
        <v>203</v>
      </c>
      <c r="H39" s="346">
        <f>IFERROR(__xludf.DUMMYFUNCTION("""COMPUTED_VALUE"""),4848313.0)</f>
        <v>4848313</v>
      </c>
      <c r="I39" s="346">
        <f>IFERROR(__xludf.DUMMYFUNCTION("""COMPUTED_VALUE"""),158.0)</f>
        <v>158</v>
      </c>
      <c r="J39" s="346">
        <f>IFERROR(__xludf.DUMMYFUNCTION("""COMPUTED_VALUE"""),5768681.0)</f>
        <v>5768681</v>
      </c>
      <c r="K39" s="346">
        <f>IFERROR(__xludf.DUMMYFUNCTION("""COMPUTED_VALUE"""),171.0)</f>
        <v>171</v>
      </c>
      <c r="L39" s="346">
        <f>IFERROR(__xludf.DUMMYFUNCTION("""COMPUTED_VALUE"""),4504600.0)</f>
        <v>4504600</v>
      </c>
      <c r="M39" s="346">
        <f>IFERROR(__xludf.DUMMYFUNCTION("""COMPUTED_VALUE"""),152.0)</f>
        <v>152</v>
      </c>
      <c r="N39" s="346">
        <f>IFERROR(__xludf.DUMMYFUNCTION("""COMPUTED_VALUE"""),5139765.0)</f>
        <v>5139765</v>
      </c>
      <c r="O39" s="346">
        <f>IFERROR(__xludf.DUMMYFUNCTION("""COMPUTED_VALUE"""),189.0)</f>
        <v>189</v>
      </c>
      <c r="P39" s="346">
        <f>IFERROR(__xludf.DUMMYFUNCTION("""COMPUTED_VALUE"""),3.7659508E7)</f>
        <v>37659508</v>
      </c>
      <c r="Q39" s="346">
        <f>IFERROR(__xludf.DUMMYFUNCTION("""COMPUTED_VALUE"""),1256.0)</f>
        <v>1256</v>
      </c>
      <c r="R39" s="392">
        <f>IFERROR(__xludf.DUMMYFUNCTION("""COMPUTED_VALUE"""),635165.0)</f>
        <v>635165</v>
      </c>
      <c r="S39" s="345">
        <f>IFERROR(__xludf.DUMMYFUNCTION("""COMPUTED_VALUE"""),37.0)</f>
        <v>37</v>
      </c>
      <c r="T39" s="346">
        <f>IFERROR(__xludf.DUMMYFUNCTION("""COMPUTED_VALUE"""),1.16477928E8)</f>
        <v>116477928</v>
      </c>
      <c r="U39" s="346">
        <f>IFERROR(__xludf.DUMMYFUNCTION("""COMPUTED_VALUE"""),1.60381446E8)</f>
        <v>160381446</v>
      </c>
      <c r="V39" s="343">
        <f>IFERROR(__xludf.DUMMYFUNCTION("""COMPUTED_VALUE"""),-4.3903518E7)</f>
        <v>-43903518</v>
      </c>
      <c r="W39" s="26"/>
      <c r="X39" s="26"/>
      <c r="Y39" s="26"/>
      <c r="Z39" s="26"/>
    </row>
    <row r="40">
      <c r="A40" s="351" t="str">
        <f>IFERROR(__xludf.DUMMYFUNCTION("""COMPUTED_VALUE"""),"3160881-Huỳnh Thị Mới")</f>
        <v>3160881-Huỳnh Thị Mới</v>
      </c>
      <c r="B40" s="346">
        <f>IFERROR(__xludf.DUMMYFUNCTION("""COMPUTED_VALUE"""),5127419.0)</f>
        <v>5127419</v>
      </c>
      <c r="C40" s="346">
        <f>IFERROR(__xludf.DUMMYFUNCTION("""COMPUTED_VALUE"""),210.0)</f>
        <v>210</v>
      </c>
      <c r="D40" s="346">
        <f>IFERROR(__xludf.DUMMYFUNCTION("""COMPUTED_VALUE"""),6434698.0)</f>
        <v>6434698</v>
      </c>
      <c r="E40" s="346">
        <f>IFERROR(__xludf.DUMMYFUNCTION("""COMPUTED_VALUE"""),257.0)</f>
        <v>257</v>
      </c>
      <c r="F40" s="346">
        <f>IFERROR(__xludf.DUMMYFUNCTION("""COMPUTED_VALUE"""),5496872.0)</f>
        <v>5496872</v>
      </c>
      <c r="G40" s="346">
        <f>IFERROR(__xludf.DUMMYFUNCTION("""COMPUTED_VALUE"""),210.0)</f>
        <v>210</v>
      </c>
      <c r="H40" s="346">
        <f>IFERROR(__xludf.DUMMYFUNCTION("""COMPUTED_VALUE"""),4703293.0)</f>
        <v>4703293</v>
      </c>
      <c r="I40" s="346">
        <f>IFERROR(__xludf.DUMMYFUNCTION("""COMPUTED_VALUE"""),175.0)</f>
        <v>175</v>
      </c>
      <c r="J40" s="346">
        <f>IFERROR(__xludf.DUMMYFUNCTION("""COMPUTED_VALUE"""),5269904.0)</f>
        <v>5269904</v>
      </c>
      <c r="K40" s="346">
        <f>IFERROR(__xludf.DUMMYFUNCTION("""COMPUTED_VALUE"""),196.0)</f>
        <v>196</v>
      </c>
      <c r="L40" s="346">
        <f>IFERROR(__xludf.DUMMYFUNCTION("""COMPUTED_VALUE"""),6677322.0)</f>
        <v>6677322</v>
      </c>
      <c r="M40" s="346">
        <f>IFERROR(__xludf.DUMMYFUNCTION("""COMPUTED_VALUE"""),252.0)</f>
        <v>252</v>
      </c>
      <c r="N40" s="346">
        <f>IFERROR(__xludf.DUMMYFUNCTION("""COMPUTED_VALUE"""),7991884.0)</f>
        <v>7991884</v>
      </c>
      <c r="O40" s="346">
        <f>IFERROR(__xludf.DUMMYFUNCTION("""COMPUTED_VALUE"""),302.0)</f>
        <v>302</v>
      </c>
      <c r="P40" s="346">
        <f>IFERROR(__xludf.DUMMYFUNCTION("""COMPUTED_VALUE"""),4.1701392E7)</f>
        <v>41701392</v>
      </c>
      <c r="Q40" s="346">
        <f>IFERROR(__xludf.DUMMYFUNCTION("""COMPUTED_VALUE"""),1602.0)</f>
        <v>1602</v>
      </c>
      <c r="R40" s="393">
        <f>IFERROR(__xludf.DUMMYFUNCTION("""COMPUTED_VALUE"""),1314562.0)</f>
        <v>1314562</v>
      </c>
      <c r="S40" s="345">
        <f>IFERROR(__xludf.DUMMYFUNCTION("""COMPUTED_VALUE"""),50.0)</f>
        <v>50</v>
      </c>
      <c r="T40" s="346">
        <f>IFERROR(__xludf.DUMMYFUNCTION("""COMPUTED_VALUE"""),1.00749755E8)</f>
        <v>100749755</v>
      </c>
      <c r="U40" s="346">
        <f>IFERROR(__xludf.DUMMYFUNCTION("""COMPUTED_VALUE"""),1.1152863E8)</f>
        <v>111528630</v>
      </c>
      <c r="V40" s="343">
        <f>IFERROR(__xludf.DUMMYFUNCTION("""COMPUTED_VALUE"""),-1.0778875E7)</f>
        <v>-10778875</v>
      </c>
      <c r="W40" s="26"/>
      <c r="X40" s="26"/>
      <c r="Y40" s="26"/>
      <c r="Z40" s="26"/>
    </row>
    <row r="41">
      <c r="A41" s="346" t="str">
        <f>IFERROR(__xludf.DUMMYFUNCTION("""COMPUTED_VALUE"""),"3163131-Nguyễn Ngọc Hà")</f>
        <v>3163131-Nguyễn Ngọc Hà</v>
      </c>
      <c r="B41" s="346">
        <f>IFERROR(__xludf.DUMMYFUNCTION("""COMPUTED_VALUE"""),7484204.0)</f>
        <v>7484204</v>
      </c>
      <c r="C41" s="346">
        <f>IFERROR(__xludf.DUMMYFUNCTION("""COMPUTED_VALUE"""),332.0)</f>
        <v>332</v>
      </c>
      <c r="D41" s="346">
        <f>IFERROR(__xludf.DUMMYFUNCTION("""COMPUTED_VALUE"""),6743432.0)</f>
        <v>6743432</v>
      </c>
      <c r="E41" s="346">
        <f>IFERROR(__xludf.DUMMYFUNCTION("""COMPUTED_VALUE"""),271.0)</f>
        <v>271</v>
      </c>
      <c r="F41" s="346">
        <f>IFERROR(__xludf.DUMMYFUNCTION("""COMPUTED_VALUE"""),6797400.0)</f>
        <v>6797400</v>
      </c>
      <c r="G41" s="346">
        <f>IFERROR(__xludf.DUMMYFUNCTION("""COMPUTED_VALUE"""),287.0)</f>
        <v>287</v>
      </c>
      <c r="H41" s="346">
        <f>IFERROR(__xludf.DUMMYFUNCTION("""COMPUTED_VALUE"""),6219593.0)</f>
        <v>6219593</v>
      </c>
      <c r="I41" s="346">
        <f>IFERROR(__xludf.DUMMYFUNCTION("""COMPUTED_VALUE"""),288.0)</f>
        <v>288</v>
      </c>
      <c r="J41" s="346">
        <f>IFERROR(__xludf.DUMMYFUNCTION("""COMPUTED_VALUE"""),6723481.0)</f>
        <v>6723481</v>
      </c>
      <c r="K41" s="346">
        <f>IFERROR(__xludf.DUMMYFUNCTION("""COMPUTED_VALUE"""),337.0)</f>
        <v>337</v>
      </c>
      <c r="L41" s="346">
        <f>IFERROR(__xludf.DUMMYFUNCTION("""COMPUTED_VALUE"""),5933749.0)</f>
        <v>5933749</v>
      </c>
      <c r="M41" s="346">
        <f>IFERROR(__xludf.DUMMYFUNCTION("""COMPUTED_VALUE"""),306.0)</f>
        <v>306</v>
      </c>
      <c r="N41" s="346">
        <f>IFERROR(__xludf.DUMMYFUNCTION("""COMPUTED_VALUE"""),5658795.0)</f>
        <v>5658795</v>
      </c>
      <c r="O41" s="346">
        <f>IFERROR(__xludf.DUMMYFUNCTION("""COMPUTED_VALUE"""),278.0)</f>
        <v>278</v>
      </c>
      <c r="P41" s="346">
        <f>IFERROR(__xludf.DUMMYFUNCTION("""COMPUTED_VALUE"""),4.5560654E7)</f>
        <v>45560654</v>
      </c>
      <c r="Q41" s="346">
        <f>IFERROR(__xludf.DUMMYFUNCTION("""COMPUTED_VALUE"""),2099.0)</f>
        <v>2099</v>
      </c>
      <c r="R41" s="355">
        <f>IFERROR(__xludf.DUMMYFUNCTION("""COMPUTED_VALUE"""),-274954.0)</f>
        <v>-274954</v>
      </c>
      <c r="S41" s="345">
        <f>IFERROR(__xludf.DUMMYFUNCTION("""COMPUTED_VALUE"""),-28.0)</f>
        <v>-28</v>
      </c>
      <c r="T41" s="346">
        <f>IFERROR(__xludf.DUMMYFUNCTION("""COMPUTED_VALUE"""),1.32299252E8)</f>
        <v>132299252</v>
      </c>
      <c r="U41" s="346">
        <f>IFERROR(__xludf.DUMMYFUNCTION("""COMPUTED_VALUE"""),1.39541581E8)</f>
        <v>139541581</v>
      </c>
      <c r="V41" s="343">
        <f>IFERROR(__xludf.DUMMYFUNCTION("""COMPUTED_VALUE"""),-7242329.0)</f>
        <v>-7242329</v>
      </c>
      <c r="W41" s="26"/>
      <c r="X41" s="26"/>
      <c r="Y41" s="26"/>
      <c r="Z41" s="26"/>
    </row>
    <row r="42">
      <c r="A42" s="342" t="str">
        <f>IFERROR(__xludf.DUMMYFUNCTION("""COMPUTED_VALUE"""),"3167274-Phan Thị Mỹ Chi")</f>
        <v>3167274-Phan Thị Mỹ Chi</v>
      </c>
      <c r="B42" s="343">
        <f>IFERROR(__xludf.DUMMYFUNCTION("""COMPUTED_VALUE"""),6625317.0)</f>
        <v>6625317</v>
      </c>
      <c r="C42" s="343">
        <f>IFERROR(__xludf.DUMMYFUNCTION("""COMPUTED_VALUE"""),232.0)</f>
        <v>232</v>
      </c>
      <c r="D42" s="343">
        <f>IFERROR(__xludf.DUMMYFUNCTION("""COMPUTED_VALUE"""),9316294.0)</f>
        <v>9316294</v>
      </c>
      <c r="E42" s="343">
        <f>IFERROR(__xludf.DUMMYFUNCTION("""COMPUTED_VALUE"""),296.0)</f>
        <v>296</v>
      </c>
      <c r="F42" s="343">
        <f>IFERROR(__xludf.DUMMYFUNCTION("""COMPUTED_VALUE"""),7118022.0)</f>
        <v>7118022</v>
      </c>
      <c r="G42" s="343">
        <f>IFERROR(__xludf.DUMMYFUNCTION("""COMPUTED_VALUE"""),252.0)</f>
        <v>252</v>
      </c>
      <c r="H42" s="343">
        <f>IFERROR(__xludf.DUMMYFUNCTION("""COMPUTED_VALUE"""),6477698.0)</f>
        <v>6477698</v>
      </c>
      <c r="I42" s="343">
        <f>IFERROR(__xludf.DUMMYFUNCTION("""COMPUTED_VALUE"""),248.0)</f>
        <v>248</v>
      </c>
      <c r="J42" s="343">
        <f>IFERROR(__xludf.DUMMYFUNCTION("""COMPUTED_VALUE"""),9600446.0)</f>
        <v>9600446</v>
      </c>
      <c r="K42" s="343">
        <f>IFERROR(__xludf.DUMMYFUNCTION("""COMPUTED_VALUE"""),334.0)</f>
        <v>334</v>
      </c>
      <c r="L42" s="343">
        <f>IFERROR(__xludf.DUMMYFUNCTION("""COMPUTED_VALUE"""),7739237.0)</f>
        <v>7739237</v>
      </c>
      <c r="M42" s="343">
        <f>IFERROR(__xludf.DUMMYFUNCTION("""COMPUTED_VALUE"""),277.0)</f>
        <v>277</v>
      </c>
      <c r="N42" s="343">
        <f>IFERROR(__xludf.DUMMYFUNCTION("""COMPUTED_VALUE"""),7784335.0)</f>
        <v>7784335</v>
      </c>
      <c r="O42" s="343">
        <f>IFERROR(__xludf.DUMMYFUNCTION("""COMPUTED_VALUE"""),284.0)</f>
        <v>284</v>
      </c>
      <c r="P42" s="343">
        <f>IFERROR(__xludf.DUMMYFUNCTION("""COMPUTED_VALUE"""),5.4661349E7)</f>
        <v>54661349</v>
      </c>
      <c r="Q42" s="343">
        <f>IFERROR(__xludf.DUMMYFUNCTION("""COMPUTED_VALUE"""),1923.0)</f>
        <v>1923</v>
      </c>
      <c r="R42" s="346">
        <f>IFERROR(__xludf.DUMMYFUNCTION("""COMPUTED_VALUE"""),45098.0)</f>
        <v>45098</v>
      </c>
      <c r="S42" s="345">
        <f>IFERROR(__xludf.DUMMYFUNCTION("""COMPUTED_VALUE"""),7.0)</f>
        <v>7</v>
      </c>
      <c r="T42" s="343">
        <f>IFERROR(__xludf.DUMMYFUNCTION("""COMPUTED_VALUE"""),1.33378918E8)</f>
        <v>133378918</v>
      </c>
      <c r="U42" s="343">
        <f>IFERROR(__xludf.DUMMYFUNCTION("""COMPUTED_VALUE"""),1.26494605E8)</f>
        <v>126494605</v>
      </c>
      <c r="V42" s="343">
        <f>IFERROR(__xludf.DUMMYFUNCTION("""COMPUTED_VALUE"""),6884313.0)</f>
        <v>6884313</v>
      </c>
      <c r="W42" s="26"/>
      <c r="X42" s="26"/>
      <c r="Y42" s="26"/>
      <c r="Z42" s="26"/>
    </row>
    <row r="43">
      <c r="A43" s="343" t="str">
        <f>IFERROR(__xludf.DUMMYFUNCTION("""COMPUTED_VALUE"""),"Tổng cộng")</f>
        <v>Tổng cộng</v>
      </c>
      <c r="B43" s="343">
        <f>IFERROR(__xludf.DUMMYFUNCTION("""COMPUTED_VALUE"""),1.54910098E8)</f>
        <v>154910098</v>
      </c>
      <c r="C43" s="343">
        <f>IFERROR(__xludf.DUMMYFUNCTION("""COMPUTED_VALUE"""),6407.0)</f>
        <v>6407</v>
      </c>
      <c r="D43" s="343">
        <f>IFERROR(__xludf.DUMMYFUNCTION("""COMPUTED_VALUE"""),1.53753123E8)</f>
        <v>153753123</v>
      </c>
      <c r="E43" s="343">
        <f>IFERROR(__xludf.DUMMYFUNCTION("""COMPUTED_VALUE"""),6474.0)</f>
        <v>6474</v>
      </c>
      <c r="F43" s="343">
        <f>IFERROR(__xludf.DUMMYFUNCTION("""COMPUTED_VALUE"""),1.48674742E8)</f>
        <v>148674742</v>
      </c>
      <c r="G43" s="343">
        <f>IFERROR(__xludf.DUMMYFUNCTION("""COMPUTED_VALUE"""),6127.0)</f>
        <v>6127</v>
      </c>
      <c r="H43" s="343">
        <f>IFERROR(__xludf.DUMMYFUNCTION("""COMPUTED_VALUE"""),1.2315796E8)</f>
        <v>123157960</v>
      </c>
      <c r="I43" s="343">
        <f>IFERROR(__xludf.DUMMYFUNCTION("""COMPUTED_VALUE"""),5316.0)</f>
        <v>5316</v>
      </c>
      <c r="J43" s="343">
        <f>IFERROR(__xludf.DUMMYFUNCTION("""COMPUTED_VALUE"""),1.58789802E8)</f>
        <v>158789802</v>
      </c>
      <c r="K43" s="343">
        <f>IFERROR(__xludf.DUMMYFUNCTION("""COMPUTED_VALUE"""),6744.0)</f>
        <v>6744</v>
      </c>
      <c r="L43" s="343">
        <f>IFERROR(__xludf.DUMMYFUNCTION("""COMPUTED_VALUE"""),1.3641728E8)</f>
        <v>136417280</v>
      </c>
      <c r="M43" s="343">
        <f>IFERROR(__xludf.DUMMYFUNCTION("""COMPUTED_VALUE"""),5892.0)</f>
        <v>5892</v>
      </c>
      <c r="N43" s="343">
        <f>IFERROR(__xludf.DUMMYFUNCTION("""COMPUTED_VALUE"""),1.46246468E8)</f>
        <v>146246468</v>
      </c>
      <c r="O43" s="343">
        <f>IFERROR(__xludf.DUMMYFUNCTION("""COMPUTED_VALUE"""),6073.0)</f>
        <v>6073</v>
      </c>
      <c r="P43" s="343">
        <f>IFERROR(__xludf.DUMMYFUNCTION("""COMPUTED_VALUE"""),1.021949473E9)</f>
        <v>1021949473</v>
      </c>
      <c r="Q43" s="343">
        <f>IFERROR(__xludf.DUMMYFUNCTION("""COMPUTED_VALUE"""),43033.0)</f>
        <v>43033</v>
      </c>
      <c r="R43" s="394">
        <f>IFERROR(__xludf.DUMMYFUNCTION("""COMPUTED_VALUE"""),9829188.0)</f>
        <v>9829188</v>
      </c>
      <c r="S43" s="345">
        <f>IFERROR(__xludf.DUMMYFUNCTION("""COMPUTED_VALUE"""),181.0)</f>
        <v>181</v>
      </c>
      <c r="T43" s="343">
        <f>IFERROR(__xludf.DUMMYFUNCTION("""COMPUTED_VALUE"""),2.713120401E9)</f>
        <v>2713120401</v>
      </c>
      <c r="U43" s="343">
        <f>IFERROR(__xludf.DUMMYFUNCTION("""COMPUTED_VALUE"""),3.014496975E9)</f>
        <v>3014496975</v>
      </c>
      <c r="V43" s="343">
        <f>IFERROR(__xludf.DUMMYFUNCTION("""COMPUTED_VALUE"""),-3.01376574E8)</f>
        <v>-301376574</v>
      </c>
      <c r="W43" s="26"/>
      <c r="X43" s="26"/>
      <c r="Y43" s="26"/>
      <c r="Z43" s="26"/>
    </row>
    <row r="44">
      <c r="A44" s="365"/>
      <c r="B44" s="365"/>
      <c r="C44" s="365"/>
      <c r="D44" s="365"/>
      <c r="E44" s="365"/>
      <c r="F44" s="365"/>
      <c r="G44" s="365"/>
      <c r="H44" s="365"/>
      <c r="I44" s="365"/>
      <c r="J44" s="365"/>
      <c r="K44" s="365"/>
      <c r="L44" s="365"/>
      <c r="M44" s="365"/>
      <c r="N44" s="365"/>
      <c r="O44" s="365"/>
      <c r="P44" s="365"/>
      <c r="Q44" s="365"/>
      <c r="R44" s="395"/>
      <c r="S44" s="360"/>
      <c r="T44" s="366"/>
      <c r="U44" s="366"/>
      <c r="V44" s="366"/>
      <c r="W44" s="396"/>
      <c r="X44" s="396"/>
      <c r="Y44" s="396"/>
      <c r="Z44" s="396"/>
    </row>
    <row r="45">
      <c r="A45" s="368"/>
      <c r="B45" s="368"/>
      <c r="C45" s="368"/>
      <c r="D45" s="368"/>
      <c r="E45" s="368"/>
      <c r="F45" s="368"/>
      <c r="G45" s="368"/>
      <c r="H45" s="368"/>
      <c r="I45" s="368"/>
      <c r="J45" s="368"/>
      <c r="K45" s="368"/>
      <c r="L45" s="368"/>
      <c r="M45" s="368"/>
      <c r="N45" s="368"/>
      <c r="O45" s="368"/>
      <c r="P45" s="368"/>
      <c r="Q45" s="368"/>
      <c r="R45" s="368"/>
      <c r="S45" s="368"/>
      <c r="T45" s="368"/>
      <c r="U45" s="368"/>
      <c r="V45" s="368"/>
      <c r="W45" s="26"/>
      <c r="X45" s="26"/>
      <c r="Y45" s="26"/>
      <c r="Z45" s="26"/>
    </row>
    <row r="46">
      <c r="A46" s="368"/>
      <c r="B46" s="368"/>
      <c r="D46" s="368"/>
      <c r="E46" s="368"/>
      <c r="F46" s="368"/>
      <c r="G46" s="368"/>
      <c r="H46" s="368"/>
      <c r="J46" s="368"/>
      <c r="K46" s="368"/>
      <c r="L46" s="368"/>
      <c r="M46" s="368"/>
      <c r="N46" s="368"/>
      <c r="O46" s="368"/>
      <c r="P46" s="368"/>
      <c r="Q46" s="368"/>
      <c r="R46" s="368"/>
      <c r="S46" s="368"/>
      <c r="T46" s="368"/>
      <c r="U46" s="368"/>
      <c r="V46" s="368"/>
      <c r="W46" s="26"/>
      <c r="X46" s="26"/>
      <c r="Y46" s="26"/>
      <c r="Z46" s="26"/>
    </row>
    <row r="47">
      <c r="A47" s="368"/>
      <c r="B47" s="368"/>
      <c r="D47" s="368"/>
      <c r="E47" s="368"/>
      <c r="F47" s="368"/>
      <c r="G47" s="368"/>
      <c r="H47" s="368"/>
      <c r="J47" s="368"/>
      <c r="K47" s="368"/>
      <c r="L47" s="368"/>
      <c r="M47" s="368"/>
      <c r="N47" s="368"/>
      <c r="O47" s="368"/>
      <c r="P47" s="368"/>
      <c r="Q47" s="368"/>
      <c r="R47" s="368"/>
      <c r="S47" s="368"/>
      <c r="T47" s="368"/>
      <c r="U47" s="368"/>
      <c r="V47" s="368"/>
      <c r="W47" s="26"/>
      <c r="X47" s="26"/>
      <c r="Y47" s="26"/>
      <c r="Z47" s="26"/>
    </row>
    <row r="48">
      <c r="A48" s="368"/>
      <c r="B48" s="368"/>
      <c r="D48" s="368"/>
      <c r="E48" s="368"/>
      <c r="F48" s="368"/>
      <c r="G48" s="368"/>
      <c r="H48" s="368"/>
      <c r="J48" s="368"/>
      <c r="K48" s="368"/>
      <c r="L48" s="368"/>
      <c r="M48" s="368"/>
      <c r="N48" s="368"/>
      <c r="O48" s="368"/>
      <c r="P48" s="368"/>
      <c r="Q48" s="368"/>
      <c r="R48" s="368"/>
      <c r="S48" s="368"/>
      <c r="T48" s="368"/>
      <c r="U48" s="368"/>
      <c r="V48" s="368"/>
      <c r="W48" s="26"/>
      <c r="X48" s="26"/>
      <c r="Y48" s="26"/>
      <c r="Z48" s="26"/>
    </row>
    <row r="49">
      <c r="A49" s="368"/>
      <c r="B49" s="368"/>
      <c r="C49" s="368"/>
      <c r="D49" s="368"/>
      <c r="E49" s="368"/>
      <c r="F49" s="368"/>
      <c r="G49" s="368"/>
      <c r="H49" s="368"/>
      <c r="J49" s="368"/>
      <c r="K49" s="368"/>
      <c r="L49" s="368"/>
      <c r="M49" s="368"/>
      <c r="N49" s="368"/>
      <c r="O49" s="368"/>
      <c r="P49" s="368"/>
      <c r="Q49" s="368"/>
      <c r="R49" s="368"/>
      <c r="S49" s="368"/>
      <c r="T49" s="368"/>
      <c r="U49" s="368"/>
      <c r="V49" s="368"/>
      <c r="W49" s="26"/>
      <c r="X49" s="26"/>
      <c r="Y49" s="26"/>
      <c r="Z49" s="26"/>
    </row>
    <row r="50">
      <c r="A50" s="368"/>
      <c r="B50" s="368"/>
      <c r="C50" s="368"/>
      <c r="D50" s="368"/>
      <c r="E50" s="368"/>
      <c r="F50" s="368"/>
      <c r="G50" s="368"/>
      <c r="H50" s="368"/>
      <c r="J50" s="368"/>
      <c r="K50" s="368"/>
      <c r="L50" s="368"/>
      <c r="M50" s="368"/>
      <c r="N50" s="368"/>
      <c r="O50" s="368"/>
      <c r="P50" s="368"/>
      <c r="Q50" s="368"/>
      <c r="R50" s="368"/>
      <c r="S50" s="368"/>
      <c r="T50" s="368"/>
      <c r="U50" s="368"/>
      <c r="V50" s="368"/>
      <c r="W50" s="26"/>
      <c r="X50" s="26"/>
      <c r="Y50" s="26"/>
      <c r="Z50" s="26"/>
    </row>
    <row r="51">
      <c r="A51" s="368"/>
      <c r="B51" s="368"/>
      <c r="C51" s="368"/>
      <c r="D51" s="368"/>
      <c r="E51" s="368"/>
      <c r="F51" s="368"/>
      <c r="G51" s="368"/>
      <c r="H51" s="368"/>
      <c r="J51" s="368"/>
      <c r="K51" s="368"/>
      <c r="L51" s="368"/>
      <c r="M51" s="368"/>
      <c r="N51" s="368"/>
      <c r="O51" s="368"/>
      <c r="P51" s="368"/>
      <c r="Q51" s="368"/>
      <c r="R51" s="368"/>
      <c r="S51" s="368"/>
      <c r="T51" s="368"/>
      <c r="U51" s="368"/>
      <c r="V51" s="368"/>
      <c r="W51" s="26"/>
      <c r="X51" s="26"/>
      <c r="Y51" s="26"/>
      <c r="Z51" s="26"/>
    </row>
    <row r="52">
      <c r="A52" s="368"/>
      <c r="B52" s="368"/>
      <c r="C52" s="368"/>
      <c r="D52" s="368"/>
      <c r="E52" s="368"/>
      <c r="F52" s="368"/>
      <c r="G52" s="368"/>
      <c r="H52" s="368"/>
      <c r="J52" s="368"/>
      <c r="K52" s="368"/>
      <c r="L52" s="368"/>
      <c r="M52" s="368"/>
      <c r="N52" s="368"/>
      <c r="O52" s="368"/>
      <c r="P52" s="368"/>
      <c r="Q52" s="368"/>
      <c r="R52" s="368"/>
      <c r="S52" s="368"/>
      <c r="T52" s="368"/>
      <c r="U52" s="368"/>
      <c r="V52" s="368"/>
      <c r="W52" s="26"/>
      <c r="X52" s="26"/>
      <c r="Y52" s="26"/>
      <c r="Z52" s="26"/>
    </row>
    <row r="53">
      <c r="A53" s="368"/>
      <c r="B53" s="368"/>
      <c r="C53" s="368"/>
      <c r="D53" s="368"/>
      <c r="E53" s="368"/>
      <c r="F53" s="368"/>
      <c r="G53" s="368"/>
      <c r="H53" s="368"/>
      <c r="J53" s="368"/>
      <c r="K53" s="368"/>
      <c r="L53" s="368"/>
      <c r="M53" s="368"/>
      <c r="N53" s="368"/>
      <c r="O53" s="368"/>
      <c r="P53" s="368"/>
      <c r="Q53" s="368"/>
      <c r="R53" s="368"/>
      <c r="S53" s="368"/>
      <c r="T53" s="368"/>
      <c r="U53" s="368"/>
      <c r="V53" s="368"/>
      <c r="W53" s="26"/>
      <c r="X53" s="26"/>
      <c r="Y53" s="26"/>
      <c r="Z53" s="26"/>
    </row>
    <row r="54">
      <c r="A54" s="368"/>
      <c r="B54" s="368"/>
      <c r="C54" s="368"/>
      <c r="D54" s="368"/>
      <c r="E54" s="368"/>
      <c r="F54" s="368"/>
      <c r="G54" s="368"/>
      <c r="H54" s="368"/>
      <c r="J54" s="368"/>
      <c r="K54" s="368"/>
      <c r="L54" s="368"/>
      <c r="M54" s="368"/>
      <c r="N54" s="368"/>
      <c r="O54" s="368"/>
      <c r="P54" s="368"/>
      <c r="Q54" s="368"/>
      <c r="R54" s="368"/>
      <c r="S54" s="368"/>
      <c r="T54" s="368"/>
      <c r="U54" s="368"/>
      <c r="V54" s="368"/>
      <c r="W54" s="26"/>
      <c r="X54" s="26"/>
      <c r="Y54" s="26"/>
      <c r="Z54" s="26"/>
    </row>
    <row r="55">
      <c r="A55" s="368"/>
      <c r="B55" s="368"/>
      <c r="C55" s="368"/>
      <c r="D55" s="368"/>
      <c r="E55" s="368"/>
      <c r="F55" s="368"/>
      <c r="G55" s="368"/>
      <c r="H55" s="368"/>
      <c r="J55" s="368"/>
      <c r="K55" s="368"/>
      <c r="L55" s="368"/>
      <c r="M55" s="368"/>
      <c r="N55" s="368"/>
      <c r="O55" s="368"/>
      <c r="P55" s="368"/>
      <c r="Q55" s="368"/>
      <c r="R55" s="368"/>
      <c r="S55" s="368"/>
      <c r="T55" s="368"/>
      <c r="U55" s="368"/>
      <c r="V55" s="368"/>
      <c r="W55" s="26"/>
      <c r="X55" s="26"/>
      <c r="Y55" s="26"/>
      <c r="Z55" s="26"/>
    </row>
    <row r="56">
      <c r="A56" s="368"/>
      <c r="B56" s="368"/>
      <c r="C56" s="368"/>
      <c r="D56" s="368"/>
      <c r="E56" s="368"/>
      <c r="F56" s="368"/>
      <c r="G56" s="368"/>
      <c r="H56" s="368"/>
      <c r="J56" s="368"/>
      <c r="K56" s="368"/>
      <c r="L56" s="368"/>
      <c r="M56" s="368"/>
      <c r="N56" s="368"/>
      <c r="O56" s="368"/>
      <c r="P56" s="368"/>
      <c r="Q56" s="368"/>
      <c r="R56" s="368"/>
      <c r="S56" s="368"/>
      <c r="T56" s="368"/>
      <c r="U56" s="368"/>
      <c r="V56" s="368"/>
      <c r="W56" s="26"/>
      <c r="X56" s="26"/>
      <c r="Y56" s="26"/>
      <c r="Z56" s="26"/>
    </row>
    <row r="57">
      <c r="A57" s="368"/>
      <c r="B57" s="368"/>
      <c r="C57" s="368"/>
      <c r="D57" s="368"/>
      <c r="E57" s="368"/>
      <c r="F57" s="368"/>
      <c r="G57" s="368"/>
      <c r="H57" s="368"/>
      <c r="I57" s="368"/>
      <c r="J57" s="368"/>
      <c r="K57" s="368"/>
      <c r="L57" s="368"/>
      <c r="M57" s="368"/>
      <c r="N57" s="368"/>
      <c r="O57" s="368"/>
      <c r="P57" s="368"/>
      <c r="Q57" s="368"/>
      <c r="R57" s="368"/>
      <c r="S57" s="368"/>
      <c r="T57" s="368"/>
      <c r="U57" s="368"/>
      <c r="V57" s="368"/>
      <c r="W57" s="26"/>
      <c r="X57" s="26"/>
      <c r="Y57" s="26"/>
      <c r="Z57" s="26"/>
    </row>
    <row r="58">
      <c r="A58" s="368"/>
      <c r="B58" s="368"/>
      <c r="C58" s="368"/>
      <c r="D58" s="368"/>
      <c r="E58" s="368"/>
      <c r="F58" s="368"/>
      <c r="G58" s="368"/>
      <c r="H58" s="368"/>
      <c r="I58" s="368"/>
      <c r="J58" s="368"/>
      <c r="K58" s="368"/>
      <c r="L58" s="368"/>
      <c r="M58" s="368"/>
      <c r="N58" s="368"/>
      <c r="O58" s="368"/>
      <c r="P58" s="368"/>
      <c r="Q58" s="368"/>
      <c r="R58" s="368"/>
      <c r="S58" s="368"/>
      <c r="T58" s="368"/>
      <c r="U58" s="368"/>
      <c r="V58" s="368"/>
      <c r="W58" s="26"/>
      <c r="X58" s="26"/>
      <c r="Y58" s="26"/>
      <c r="Z58" s="26"/>
    </row>
    <row r="59">
      <c r="A59" s="368"/>
      <c r="B59" s="368"/>
      <c r="C59" s="368"/>
      <c r="D59" s="368"/>
      <c r="E59" s="368"/>
      <c r="F59" s="368"/>
      <c r="G59" s="368"/>
      <c r="H59" s="368"/>
      <c r="I59" s="368"/>
      <c r="J59" s="368"/>
      <c r="K59" s="368"/>
      <c r="L59" s="368"/>
      <c r="M59" s="368"/>
      <c r="N59" s="368"/>
      <c r="O59" s="368"/>
      <c r="P59" s="368"/>
      <c r="Q59" s="368"/>
      <c r="R59" s="368"/>
      <c r="S59" s="368"/>
      <c r="T59" s="368"/>
      <c r="U59" s="368"/>
      <c r="V59" s="368"/>
      <c r="W59" s="26"/>
      <c r="X59" s="26"/>
      <c r="Y59" s="26"/>
      <c r="Z59" s="26"/>
    </row>
    <row r="60">
      <c r="A60" s="368"/>
      <c r="B60" s="368"/>
      <c r="C60" s="368"/>
      <c r="D60" s="368"/>
      <c r="E60" s="368"/>
      <c r="F60" s="368"/>
      <c r="G60" s="368"/>
      <c r="H60" s="368"/>
      <c r="I60" s="368"/>
      <c r="J60" s="368"/>
      <c r="K60" s="368"/>
      <c r="L60" s="368"/>
      <c r="M60" s="368"/>
      <c r="N60" s="368"/>
      <c r="O60" s="368"/>
      <c r="P60" s="368"/>
      <c r="Q60" s="368"/>
      <c r="R60" s="368"/>
      <c r="S60" s="368"/>
      <c r="T60" s="368"/>
      <c r="U60" s="368"/>
      <c r="V60" s="368"/>
      <c r="W60" s="26"/>
      <c r="X60" s="26"/>
      <c r="Y60" s="26"/>
      <c r="Z60" s="26"/>
    </row>
    <row r="61">
      <c r="A61" s="368"/>
      <c r="B61" s="368"/>
      <c r="C61" s="368"/>
      <c r="D61" s="368"/>
      <c r="E61" s="368"/>
      <c r="F61" s="368"/>
      <c r="G61" s="368"/>
      <c r="H61" s="368"/>
      <c r="I61" s="368"/>
      <c r="J61" s="368"/>
      <c r="K61" s="368"/>
      <c r="L61" s="368"/>
      <c r="M61" s="368"/>
      <c r="N61" s="368"/>
      <c r="O61" s="368"/>
      <c r="P61" s="368"/>
      <c r="Q61" s="368"/>
      <c r="R61" s="368"/>
      <c r="S61" s="368"/>
      <c r="T61" s="368"/>
      <c r="U61" s="368"/>
      <c r="V61" s="368"/>
      <c r="W61" s="26"/>
      <c r="X61" s="26"/>
      <c r="Y61" s="26"/>
      <c r="Z61" s="26"/>
    </row>
    <row r="62">
      <c r="A62" s="368"/>
      <c r="B62" s="368"/>
      <c r="C62" s="368"/>
      <c r="D62" s="368"/>
      <c r="E62" s="368"/>
      <c r="F62" s="368"/>
      <c r="G62" s="368"/>
      <c r="H62" s="368"/>
      <c r="I62" s="368"/>
      <c r="J62" s="368"/>
      <c r="K62" s="368"/>
      <c r="L62" s="368"/>
      <c r="M62" s="368"/>
      <c r="N62" s="368"/>
      <c r="O62" s="368"/>
      <c r="P62" s="368"/>
      <c r="Q62" s="368"/>
      <c r="R62" s="368"/>
      <c r="S62" s="368"/>
      <c r="T62" s="368"/>
      <c r="U62" s="368"/>
      <c r="V62" s="368"/>
      <c r="W62" s="26"/>
      <c r="X62" s="26"/>
      <c r="Y62" s="26"/>
      <c r="Z62" s="26"/>
    </row>
    <row r="63">
      <c r="A63" s="368"/>
      <c r="B63" s="368"/>
      <c r="C63" s="368"/>
      <c r="D63" s="368"/>
      <c r="E63" s="368"/>
      <c r="F63" s="368"/>
      <c r="G63" s="368"/>
      <c r="H63" s="368"/>
      <c r="I63" s="368"/>
      <c r="J63" s="368"/>
      <c r="K63" s="368"/>
      <c r="L63" s="368"/>
      <c r="M63" s="368"/>
      <c r="N63" s="368"/>
      <c r="O63" s="368"/>
      <c r="P63" s="368"/>
      <c r="Q63" s="368"/>
      <c r="R63" s="368"/>
      <c r="S63" s="368"/>
      <c r="T63" s="368"/>
      <c r="U63" s="368"/>
      <c r="V63" s="368"/>
      <c r="W63" s="26"/>
      <c r="X63" s="26"/>
      <c r="Y63" s="26"/>
      <c r="Z63" s="26"/>
    </row>
    <row r="64">
      <c r="A64" s="368"/>
      <c r="B64" s="368"/>
      <c r="C64" s="368"/>
      <c r="D64" s="368"/>
      <c r="E64" s="368"/>
      <c r="F64" s="368"/>
      <c r="G64" s="368"/>
      <c r="H64" s="368"/>
      <c r="I64" s="368"/>
      <c r="J64" s="368"/>
      <c r="K64" s="368"/>
      <c r="L64" s="368"/>
      <c r="M64" s="368"/>
      <c r="N64" s="368"/>
      <c r="O64" s="368"/>
      <c r="P64" s="368"/>
      <c r="Q64" s="368"/>
      <c r="R64" s="368"/>
      <c r="S64" s="368"/>
      <c r="T64" s="368"/>
      <c r="U64" s="368"/>
      <c r="V64" s="368"/>
      <c r="W64" s="26"/>
      <c r="X64" s="26"/>
      <c r="Y64" s="26"/>
      <c r="Z64" s="26"/>
    </row>
    <row r="65">
      <c r="A65" s="368"/>
      <c r="B65" s="368"/>
      <c r="C65" s="368"/>
      <c r="D65" s="368"/>
      <c r="E65" s="368"/>
      <c r="F65" s="368"/>
      <c r="G65" s="368"/>
      <c r="H65" s="368"/>
      <c r="I65" s="368"/>
      <c r="J65" s="368"/>
      <c r="K65" s="368"/>
      <c r="L65" s="368"/>
      <c r="M65" s="368"/>
      <c r="N65" s="368"/>
      <c r="O65" s="368"/>
      <c r="P65" s="368"/>
      <c r="Q65" s="368"/>
      <c r="R65" s="368"/>
      <c r="S65" s="368"/>
      <c r="T65" s="368"/>
      <c r="U65" s="368"/>
      <c r="V65" s="368"/>
      <c r="W65" s="26"/>
      <c r="X65" s="26"/>
      <c r="Y65" s="26"/>
      <c r="Z65" s="26"/>
    </row>
    <row r="66">
      <c r="A66" s="368"/>
      <c r="B66" s="368"/>
      <c r="C66" s="368"/>
      <c r="D66" s="368"/>
      <c r="E66" s="368"/>
      <c r="F66" s="368"/>
      <c r="G66" s="368"/>
      <c r="H66" s="368"/>
      <c r="I66" s="368"/>
      <c r="J66" s="368"/>
      <c r="K66" s="368"/>
      <c r="L66" s="368"/>
      <c r="M66" s="368"/>
      <c r="N66" s="368"/>
      <c r="O66" s="368"/>
      <c r="P66" s="368"/>
      <c r="Q66" s="368"/>
      <c r="R66" s="368"/>
      <c r="S66" s="368"/>
      <c r="T66" s="368"/>
      <c r="U66" s="368"/>
      <c r="V66" s="368"/>
      <c r="W66" s="26"/>
      <c r="X66" s="26"/>
      <c r="Y66" s="26"/>
      <c r="Z66" s="26"/>
    </row>
    <row r="67">
      <c r="A67" s="368"/>
      <c r="B67" s="368"/>
      <c r="C67" s="368"/>
      <c r="D67" s="368"/>
      <c r="E67" s="368"/>
      <c r="F67" s="368"/>
      <c r="G67" s="368"/>
      <c r="H67" s="368"/>
      <c r="I67" s="368"/>
      <c r="J67" s="368"/>
      <c r="K67" s="368"/>
      <c r="L67" s="368"/>
      <c r="M67" s="368"/>
      <c r="N67" s="368"/>
      <c r="O67" s="368"/>
      <c r="P67" s="368"/>
      <c r="Q67" s="368"/>
      <c r="R67" s="368"/>
      <c r="S67" s="368"/>
      <c r="T67" s="368"/>
      <c r="U67" s="368"/>
      <c r="V67" s="368"/>
      <c r="W67" s="26"/>
      <c r="X67" s="26"/>
      <c r="Y67" s="26"/>
      <c r="Z67" s="26"/>
    </row>
    <row r="68">
      <c r="A68" s="368"/>
      <c r="B68" s="368"/>
      <c r="C68" s="368"/>
      <c r="D68" s="368"/>
      <c r="E68" s="368"/>
      <c r="F68" s="368"/>
      <c r="G68" s="368"/>
      <c r="H68" s="368"/>
      <c r="I68" s="368"/>
      <c r="J68" s="368"/>
      <c r="K68" s="368"/>
      <c r="L68" s="368"/>
      <c r="M68" s="368"/>
      <c r="N68" s="368"/>
      <c r="O68" s="368"/>
      <c r="P68" s="368"/>
      <c r="Q68" s="368"/>
      <c r="R68" s="368"/>
      <c r="S68" s="368"/>
      <c r="T68" s="368"/>
      <c r="U68" s="368"/>
      <c r="V68" s="368"/>
      <c r="W68" s="26"/>
      <c r="X68" s="26"/>
      <c r="Y68" s="26"/>
      <c r="Z68" s="26"/>
    </row>
    <row r="69">
      <c r="A69" s="368"/>
      <c r="B69" s="368"/>
      <c r="C69" s="368"/>
      <c r="D69" s="368"/>
      <c r="E69" s="368"/>
      <c r="F69" s="368"/>
      <c r="G69" s="368"/>
      <c r="H69" s="368"/>
      <c r="I69" s="368"/>
      <c r="J69" s="368"/>
      <c r="K69" s="368"/>
      <c r="L69" s="368"/>
      <c r="M69" s="368"/>
      <c r="N69" s="368"/>
      <c r="O69" s="368"/>
      <c r="P69" s="368"/>
      <c r="Q69" s="368"/>
      <c r="R69" s="368"/>
      <c r="S69" s="368"/>
      <c r="T69" s="368"/>
      <c r="U69" s="368"/>
      <c r="V69" s="368"/>
      <c r="W69" s="26"/>
      <c r="X69" s="26"/>
      <c r="Y69" s="26"/>
      <c r="Z69" s="26"/>
    </row>
    <row r="70">
      <c r="A70" s="368"/>
      <c r="B70" s="368"/>
      <c r="C70" s="368"/>
      <c r="D70" s="368"/>
      <c r="E70" s="368"/>
      <c r="F70" s="368"/>
      <c r="G70" s="368"/>
      <c r="H70" s="368"/>
      <c r="I70" s="368"/>
      <c r="J70" s="368"/>
      <c r="K70" s="368"/>
      <c r="L70" s="368"/>
      <c r="M70" s="368"/>
      <c r="N70" s="368"/>
      <c r="O70" s="368"/>
      <c r="P70" s="368"/>
      <c r="Q70" s="368"/>
      <c r="R70" s="368"/>
      <c r="S70" s="368"/>
      <c r="T70" s="368"/>
      <c r="U70" s="368"/>
      <c r="V70" s="368"/>
      <c r="W70" s="26"/>
      <c r="X70" s="26"/>
      <c r="Y70" s="26"/>
      <c r="Z70" s="26"/>
    </row>
    <row r="71">
      <c r="A71" s="368"/>
      <c r="B71" s="368"/>
      <c r="C71" s="368"/>
      <c r="D71" s="368"/>
      <c r="E71" s="368"/>
      <c r="F71" s="368"/>
      <c r="G71" s="368"/>
      <c r="H71" s="368"/>
      <c r="I71" s="368"/>
      <c r="J71" s="368"/>
      <c r="K71" s="368"/>
      <c r="L71" s="368"/>
      <c r="M71" s="368"/>
      <c r="N71" s="368"/>
      <c r="O71" s="368"/>
      <c r="P71" s="368"/>
      <c r="Q71" s="368"/>
      <c r="R71" s="368"/>
      <c r="S71" s="368"/>
      <c r="T71" s="368"/>
      <c r="U71" s="368"/>
      <c r="V71" s="368"/>
      <c r="W71" s="26"/>
      <c r="X71" s="26"/>
      <c r="Y71" s="26"/>
      <c r="Z71" s="26"/>
    </row>
    <row r="72">
      <c r="A72" s="368"/>
      <c r="B72" s="368"/>
      <c r="C72" s="368"/>
      <c r="D72" s="368"/>
      <c r="E72" s="368"/>
      <c r="F72" s="368"/>
      <c r="G72" s="368"/>
      <c r="H72" s="368"/>
      <c r="I72" s="368"/>
      <c r="J72" s="368"/>
      <c r="K72" s="368"/>
      <c r="L72" s="368"/>
      <c r="M72" s="368"/>
      <c r="N72" s="368"/>
      <c r="O72" s="368"/>
      <c r="P72" s="368"/>
      <c r="Q72" s="368"/>
      <c r="R72" s="368"/>
      <c r="S72" s="368"/>
      <c r="T72" s="368"/>
      <c r="U72" s="368"/>
      <c r="V72" s="368"/>
      <c r="W72" s="26"/>
      <c r="X72" s="26"/>
      <c r="Y72" s="26"/>
      <c r="Z72" s="26"/>
    </row>
    <row r="73">
      <c r="A73" s="368"/>
      <c r="B73" s="368"/>
      <c r="C73" s="368"/>
      <c r="D73" s="368"/>
      <c r="E73" s="368"/>
      <c r="F73" s="368"/>
      <c r="G73" s="368"/>
      <c r="H73" s="368"/>
      <c r="I73" s="368"/>
      <c r="J73" s="368"/>
      <c r="K73" s="368"/>
      <c r="L73" s="368"/>
      <c r="M73" s="368"/>
      <c r="N73" s="368"/>
      <c r="O73" s="368"/>
      <c r="P73" s="368"/>
      <c r="Q73" s="368"/>
      <c r="R73" s="368"/>
      <c r="S73" s="368"/>
      <c r="T73" s="368"/>
      <c r="U73" s="368"/>
      <c r="V73" s="368"/>
      <c r="W73" s="26"/>
      <c r="X73" s="26"/>
      <c r="Y73" s="26"/>
      <c r="Z73" s="26"/>
    </row>
    <row r="74">
      <c r="A74" s="368"/>
      <c r="B74" s="368"/>
      <c r="C74" s="368"/>
      <c r="D74" s="368"/>
      <c r="E74" s="368"/>
      <c r="F74" s="368"/>
      <c r="G74" s="368"/>
      <c r="H74" s="368"/>
      <c r="I74" s="368"/>
      <c r="J74" s="368"/>
      <c r="K74" s="368"/>
      <c r="L74" s="368"/>
      <c r="M74" s="368"/>
      <c r="N74" s="368"/>
      <c r="O74" s="368"/>
      <c r="P74" s="368"/>
      <c r="Q74" s="368"/>
      <c r="R74" s="368"/>
      <c r="S74" s="368"/>
      <c r="T74" s="368"/>
      <c r="U74" s="368"/>
      <c r="V74" s="368"/>
      <c r="W74" s="26"/>
      <c r="X74" s="26"/>
      <c r="Y74" s="26"/>
      <c r="Z74" s="26"/>
    </row>
    <row r="75">
      <c r="A75" s="368"/>
      <c r="B75" s="368"/>
      <c r="C75" s="368"/>
      <c r="D75" s="368"/>
      <c r="E75" s="368"/>
      <c r="F75" s="368"/>
      <c r="G75" s="368"/>
      <c r="H75" s="368"/>
      <c r="I75" s="368"/>
      <c r="J75" s="368"/>
      <c r="K75" s="368"/>
      <c r="L75" s="368"/>
      <c r="M75" s="368"/>
      <c r="N75" s="368"/>
      <c r="O75" s="368"/>
      <c r="P75" s="368"/>
      <c r="Q75" s="368"/>
      <c r="R75" s="368"/>
      <c r="S75" s="368"/>
      <c r="T75" s="368"/>
      <c r="U75" s="368"/>
      <c r="V75" s="368"/>
      <c r="W75" s="26"/>
      <c r="X75" s="26"/>
      <c r="Y75" s="26"/>
      <c r="Z75" s="26"/>
    </row>
    <row r="76">
      <c r="A76" s="368"/>
      <c r="B76" s="368"/>
      <c r="C76" s="368"/>
      <c r="D76" s="368"/>
      <c r="E76" s="368"/>
      <c r="F76" s="368"/>
      <c r="G76" s="368"/>
      <c r="H76" s="368"/>
      <c r="I76" s="368"/>
      <c r="J76" s="368"/>
      <c r="K76" s="368"/>
      <c r="L76" s="368"/>
      <c r="M76" s="368"/>
      <c r="N76" s="368"/>
      <c r="O76" s="368"/>
      <c r="P76" s="368"/>
      <c r="Q76" s="368"/>
      <c r="R76" s="368"/>
      <c r="S76" s="368"/>
      <c r="T76" s="368"/>
      <c r="U76" s="368"/>
      <c r="V76" s="368"/>
      <c r="W76" s="26"/>
      <c r="X76" s="26"/>
      <c r="Y76" s="26"/>
      <c r="Z76" s="26"/>
    </row>
    <row r="77">
      <c r="A77" s="368"/>
      <c r="B77" s="368"/>
      <c r="C77" s="368"/>
      <c r="D77" s="368"/>
      <c r="E77" s="368"/>
      <c r="F77" s="368"/>
      <c r="G77" s="368"/>
      <c r="H77" s="368"/>
      <c r="I77" s="368"/>
      <c r="J77" s="368"/>
      <c r="K77" s="368"/>
      <c r="L77" s="368"/>
      <c r="M77" s="368"/>
      <c r="N77" s="368"/>
      <c r="O77" s="368"/>
      <c r="P77" s="368"/>
      <c r="Q77" s="368"/>
      <c r="R77" s="368"/>
      <c r="S77" s="368"/>
      <c r="T77" s="368"/>
      <c r="U77" s="368"/>
      <c r="V77" s="368"/>
      <c r="W77" s="26"/>
      <c r="X77" s="26"/>
      <c r="Y77" s="26"/>
      <c r="Z77" s="26"/>
    </row>
    <row r="78">
      <c r="A78" s="368"/>
      <c r="B78" s="368"/>
      <c r="C78" s="368"/>
      <c r="D78" s="368"/>
      <c r="E78" s="368"/>
      <c r="F78" s="368"/>
      <c r="G78" s="368"/>
      <c r="H78" s="368"/>
      <c r="I78" s="368"/>
      <c r="J78" s="368"/>
      <c r="K78" s="368"/>
      <c r="L78" s="368"/>
      <c r="M78" s="368"/>
      <c r="N78" s="368"/>
      <c r="O78" s="368"/>
      <c r="P78" s="368"/>
      <c r="Q78" s="368"/>
      <c r="R78" s="368"/>
      <c r="S78" s="368"/>
      <c r="T78" s="368"/>
      <c r="U78" s="368"/>
      <c r="V78" s="368"/>
      <c r="W78" s="26"/>
      <c r="X78" s="26"/>
      <c r="Y78" s="26"/>
      <c r="Z78" s="26"/>
    </row>
    <row r="79">
      <c r="A79" s="368"/>
      <c r="B79" s="368"/>
      <c r="C79" s="368"/>
      <c r="D79" s="368"/>
      <c r="E79" s="368"/>
      <c r="F79" s="368"/>
      <c r="G79" s="368"/>
      <c r="H79" s="368"/>
      <c r="I79" s="368"/>
      <c r="J79" s="368"/>
      <c r="K79" s="368"/>
      <c r="L79" s="368"/>
      <c r="M79" s="368"/>
      <c r="N79" s="368"/>
      <c r="O79" s="368"/>
      <c r="P79" s="368"/>
      <c r="Q79" s="368"/>
      <c r="R79" s="368"/>
      <c r="S79" s="368"/>
      <c r="T79" s="368"/>
      <c r="U79" s="368"/>
      <c r="V79" s="368"/>
      <c r="W79" s="26"/>
      <c r="X79" s="26"/>
      <c r="Y79" s="26"/>
      <c r="Z79" s="26"/>
    </row>
    <row r="80">
      <c r="A80" s="368"/>
      <c r="B80" s="368"/>
      <c r="C80" s="368"/>
      <c r="D80" s="368"/>
      <c r="E80" s="368"/>
      <c r="F80" s="368"/>
      <c r="G80" s="368"/>
      <c r="H80" s="368"/>
      <c r="I80" s="368"/>
      <c r="J80" s="368"/>
      <c r="K80" s="368"/>
      <c r="L80" s="368"/>
      <c r="M80" s="368"/>
      <c r="N80" s="368"/>
      <c r="O80" s="368"/>
      <c r="P80" s="368"/>
      <c r="Q80" s="368"/>
      <c r="R80" s="368"/>
      <c r="S80" s="368"/>
      <c r="T80" s="368"/>
      <c r="U80" s="368"/>
      <c r="V80" s="368"/>
      <c r="W80" s="26"/>
      <c r="X80" s="26"/>
      <c r="Y80" s="26"/>
      <c r="Z80" s="26"/>
    </row>
    <row r="81">
      <c r="A81" s="368"/>
      <c r="B81" s="368"/>
      <c r="C81" s="368"/>
      <c r="D81" s="368"/>
      <c r="E81" s="368"/>
      <c r="F81" s="368"/>
      <c r="G81" s="368"/>
      <c r="H81" s="368"/>
      <c r="I81" s="368"/>
      <c r="J81" s="368"/>
      <c r="K81" s="368"/>
      <c r="L81" s="368"/>
      <c r="M81" s="368"/>
      <c r="N81" s="368"/>
      <c r="O81" s="368"/>
      <c r="P81" s="368"/>
      <c r="Q81" s="368"/>
      <c r="R81" s="368"/>
      <c r="S81" s="368"/>
      <c r="T81" s="368"/>
      <c r="U81" s="368"/>
      <c r="V81" s="368"/>
      <c r="W81" s="26"/>
      <c r="X81" s="26"/>
      <c r="Y81" s="26"/>
      <c r="Z81" s="26"/>
    </row>
    <row r="82">
      <c r="A82" s="368"/>
      <c r="B82" s="368"/>
      <c r="C82" s="368"/>
      <c r="D82" s="368"/>
      <c r="E82" s="368"/>
      <c r="F82" s="368"/>
      <c r="G82" s="368"/>
      <c r="H82" s="368"/>
      <c r="I82" s="368"/>
      <c r="J82" s="368"/>
      <c r="K82" s="368"/>
      <c r="L82" s="368"/>
      <c r="M82" s="368"/>
      <c r="N82" s="368"/>
      <c r="O82" s="368"/>
      <c r="P82" s="368"/>
      <c r="Q82" s="368"/>
      <c r="R82" s="368"/>
      <c r="S82" s="368"/>
      <c r="T82" s="368"/>
      <c r="U82" s="368"/>
      <c r="V82" s="368"/>
      <c r="W82" s="26"/>
      <c r="X82" s="26"/>
      <c r="Y82" s="26"/>
      <c r="Z82" s="26"/>
    </row>
    <row r="83">
      <c r="A83" s="368"/>
      <c r="B83" s="368"/>
      <c r="C83" s="368"/>
      <c r="D83" s="368"/>
      <c r="E83" s="368"/>
      <c r="F83" s="368"/>
      <c r="G83" s="368"/>
      <c r="H83" s="368"/>
      <c r="I83" s="368"/>
      <c r="J83" s="368"/>
      <c r="K83" s="368"/>
      <c r="L83" s="368"/>
      <c r="M83" s="368"/>
      <c r="N83" s="368"/>
      <c r="O83" s="368"/>
      <c r="P83" s="368"/>
      <c r="Q83" s="368"/>
      <c r="R83" s="368"/>
      <c r="S83" s="368"/>
      <c r="T83" s="368"/>
      <c r="U83" s="368"/>
      <c r="V83" s="368"/>
      <c r="W83" s="26"/>
      <c r="X83" s="26"/>
      <c r="Y83" s="26"/>
      <c r="Z83" s="26"/>
    </row>
    <row r="84">
      <c r="A84" s="368"/>
      <c r="B84" s="368"/>
      <c r="C84" s="368"/>
      <c r="D84" s="368"/>
      <c r="E84" s="368"/>
      <c r="F84" s="368"/>
      <c r="G84" s="368"/>
      <c r="H84" s="368"/>
      <c r="I84" s="368"/>
      <c r="J84" s="368"/>
      <c r="K84" s="368"/>
      <c r="L84" s="368"/>
      <c r="M84" s="368"/>
      <c r="N84" s="368"/>
      <c r="O84" s="368"/>
      <c r="P84" s="368"/>
      <c r="Q84" s="368"/>
      <c r="R84" s="368"/>
      <c r="S84" s="368"/>
      <c r="T84" s="368"/>
      <c r="U84" s="368"/>
      <c r="V84" s="368"/>
      <c r="W84" s="26"/>
      <c r="X84" s="26"/>
      <c r="Y84" s="26"/>
      <c r="Z84" s="26"/>
    </row>
    <row r="85">
      <c r="A85" s="368"/>
      <c r="B85" s="368"/>
      <c r="C85" s="368"/>
      <c r="D85" s="368"/>
      <c r="E85" s="368"/>
      <c r="F85" s="368"/>
      <c r="G85" s="368"/>
      <c r="H85" s="368"/>
      <c r="I85" s="368"/>
      <c r="J85" s="368"/>
      <c r="K85" s="368"/>
      <c r="L85" s="368"/>
      <c r="M85" s="368"/>
      <c r="N85" s="368"/>
      <c r="O85" s="368"/>
      <c r="P85" s="368"/>
      <c r="Q85" s="368"/>
      <c r="R85" s="368"/>
      <c r="S85" s="368"/>
      <c r="T85" s="368"/>
      <c r="U85" s="368"/>
      <c r="V85" s="368"/>
      <c r="W85" s="26"/>
      <c r="X85" s="26"/>
      <c r="Y85" s="26"/>
      <c r="Z85" s="26"/>
    </row>
    <row r="86">
      <c r="A86" s="368"/>
      <c r="B86" s="368"/>
      <c r="C86" s="368"/>
      <c r="D86" s="368"/>
      <c r="E86" s="368"/>
      <c r="F86" s="368"/>
      <c r="G86" s="368"/>
      <c r="H86" s="368"/>
      <c r="I86" s="368"/>
      <c r="J86" s="368"/>
      <c r="K86" s="368"/>
      <c r="L86" s="368"/>
      <c r="M86" s="368"/>
      <c r="N86" s="368"/>
      <c r="O86" s="368"/>
      <c r="P86" s="368"/>
      <c r="Q86" s="368"/>
      <c r="R86" s="368"/>
      <c r="S86" s="368"/>
      <c r="T86" s="368"/>
      <c r="U86" s="368"/>
      <c r="V86" s="368"/>
      <c r="W86" s="26"/>
      <c r="X86" s="26"/>
      <c r="Y86" s="26"/>
      <c r="Z86" s="26"/>
    </row>
    <row r="87">
      <c r="A87" s="368"/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26"/>
      <c r="X87" s="26"/>
      <c r="Y87" s="26"/>
      <c r="Z87" s="26"/>
    </row>
    <row r="88">
      <c r="A88" s="368"/>
      <c r="B88" s="368"/>
      <c r="C88" s="368"/>
      <c r="D88" s="368"/>
      <c r="E88" s="368"/>
      <c r="F88" s="368"/>
      <c r="G88" s="368"/>
      <c r="H88" s="368"/>
      <c r="I88" s="368"/>
      <c r="J88" s="368"/>
      <c r="K88" s="368"/>
      <c r="L88" s="368"/>
      <c r="M88" s="368"/>
      <c r="N88" s="368"/>
      <c r="O88" s="368"/>
      <c r="P88" s="368"/>
      <c r="Q88" s="368"/>
      <c r="R88" s="368"/>
      <c r="S88" s="368"/>
      <c r="T88" s="368"/>
      <c r="U88" s="368"/>
      <c r="V88" s="368"/>
      <c r="W88" s="26"/>
      <c r="X88" s="26"/>
      <c r="Y88" s="26"/>
      <c r="Z88" s="26"/>
    </row>
    <row r="89">
      <c r="A89" s="368"/>
      <c r="B89" s="368"/>
      <c r="C89" s="368"/>
      <c r="D89" s="368"/>
      <c r="E89" s="368"/>
      <c r="F89" s="368"/>
      <c r="G89" s="368"/>
      <c r="H89" s="368"/>
      <c r="I89" s="368"/>
      <c r="J89" s="368"/>
      <c r="K89" s="368"/>
      <c r="L89" s="368"/>
      <c r="M89" s="368"/>
      <c r="N89" s="368"/>
      <c r="O89" s="368"/>
      <c r="P89" s="368"/>
      <c r="Q89" s="368"/>
      <c r="R89" s="368"/>
      <c r="S89" s="368"/>
      <c r="T89" s="368"/>
      <c r="U89" s="368"/>
      <c r="V89" s="368"/>
      <c r="W89" s="26"/>
      <c r="X89" s="26"/>
      <c r="Y89" s="26"/>
      <c r="Z89" s="26"/>
    </row>
    <row r="90">
      <c r="A90" s="368"/>
      <c r="B90" s="368"/>
      <c r="C90" s="368"/>
      <c r="D90" s="368"/>
      <c r="E90" s="368"/>
      <c r="F90" s="368"/>
      <c r="G90" s="368"/>
      <c r="H90" s="368"/>
      <c r="I90" s="368"/>
      <c r="J90" s="368"/>
      <c r="K90" s="368"/>
      <c r="L90" s="368"/>
      <c r="M90" s="368"/>
      <c r="N90" s="368"/>
      <c r="O90" s="368"/>
      <c r="P90" s="368"/>
      <c r="Q90" s="368"/>
      <c r="R90" s="368"/>
      <c r="S90" s="368"/>
      <c r="T90" s="368"/>
      <c r="U90" s="368"/>
      <c r="V90" s="368"/>
      <c r="W90" s="26"/>
      <c r="X90" s="26"/>
      <c r="Y90" s="26"/>
      <c r="Z90" s="26"/>
    </row>
    <row r="91">
      <c r="A91" s="368"/>
      <c r="B91" s="368"/>
      <c r="C91" s="368"/>
      <c r="D91" s="368"/>
      <c r="E91" s="368"/>
      <c r="F91" s="368"/>
      <c r="G91" s="368"/>
      <c r="H91" s="368"/>
      <c r="I91" s="368"/>
      <c r="J91" s="368"/>
      <c r="K91" s="368"/>
      <c r="L91" s="368"/>
      <c r="M91" s="368"/>
      <c r="N91" s="368"/>
      <c r="O91" s="368"/>
      <c r="P91" s="368"/>
      <c r="Q91" s="368"/>
      <c r="R91" s="368"/>
      <c r="S91" s="368"/>
      <c r="T91" s="368"/>
      <c r="U91" s="368"/>
      <c r="V91" s="368"/>
      <c r="W91" s="26"/>
      <c r="X91" s="26"/>
      <c r="Y91" s="26"/>
      <c r="Z91" s="26"/>
    </row>
    <row r="92">
      <c r="A92" s="368"/>
      <c r="B92" s="368"/>
      <c r="C92" s="368"/>
      <c r="D92" s="368"/>
      <c r="E92" s="368"/>
      <c r="F92" s="368"/>
      <c r="G92" s="368"/>
      <c r="H92" s="368"/>
      <c r="I92" s="368"/>
      <c r="J92" s="368"/>
      <c r="K92" s="368"/>
      <c r="L92" s="368"/>
      <c r="M92" s="368"/>
      <c r="N92" s="368"/>
      <c r="O92" s="368"/>
      <c r="P92" s="368"/>
      <c r="Q92" s="368"/>
      <c r="R92" s="368"/>
      <c r="S92" s="368"/>
      <c r="T92" s="368"/>
      <c r="U92" s="368"/>
      <c r="V92" s="368"/>
      <c r="W92" s="26"/>
      <c r="X92" s="26"/>
      <c r="Y92" s="26"/>
      <c r="Z92" s="26"/>
    </row>
    <row r="93">
      <c r="A93" s="368"/>
      <c r="B93" s="368"/>
      <c r="C93" s="368"/>
      <c r="D93" s="368"/>
      <c r="E93" s="368"/>
      <c r="F93" s="368"/>
      <c r="G93" s="368"/>
      <c r="H93" s="368"/>
      <c r="I93" s="368"/>
      <c r="J93" s="368"/>
      <c r="K93" s="368"/>
      <c r="L93" s="368"/>
      <c r="M93" s="368"/>
      <c r="N93" s="368"/>
      <c r="O93" s="368"/>
      <c r="P93" s="368"/>
      <c r="Q93" s="368"/>
      <c r="R93" s="368"/>
      <c r="S93" s="368"/>
      <c r="T93" s="368"/>
      <c r="U93" s="368"/>
      <c r="V93" s="368"/>
      <c r="W93" s="26"/>
      <c r="X93" s="26"/>
      <c r="Y93" s="26"/>
      <c r="Z93" s="26"/>
    </row>
    <row r="94">
      <c r="A94" s="368"/>
      <c r="B94" s="368"/>
      <c r="C94" s="368"/>
      <c r="D94" s="368"/>
      <c r="E94" s="368"/>
      <c r="F94" s="368"/>
      <c r="G94" s="368"/>
      <c r="H94" s="368"/>
      <c r="I94" s="368"/>
      <c r="J94" s="368"/>
      <c r="K94" s="368"/>
      <c r="L94" s="368"/>
      <c r="M94" s="368"/>
      <c r="N94" s="368"/>
      <c r="O94" s="368"/>
      <c r="P94" s="368"/>
      <c r="Q94" s="368"/>
      <c r="R94" s="368"/>
      <c r="S94" s="368"/>
      <c r="T94" s="368"/>
      <c r="U94" s="368"/>
      <c r="V94" s="368"/>
      <c r="W94" s="26"/>
      <c r="X94" s="26"/>
      <c r="Y94" s="26"/>
      <c r="Z94" s="26"/>
    </row>
    <row r="95">
      <c r="A95" s="368"/>
      <c r="B95" s="368"/>
      <c r="C95" s="368"/>
      <c r="D95" s="368"/>
      <c r="E95" s="368"/>
      <c r="F95" s="368"/>
      <c r="G95" s="368"/>
      <c r="H95" s="368"/>
      <c r="I95" s="368"/>
      <c r="J95" s="368"/>
      <c r="K95" s="368"/>
      <c r="L95" s="368"/>
      <c r="M95" s="368"/>
      <c r="N95" s="368"/>
      <c r="O95" s="368"/>
      <c r="P95" s="368"/>
      <c r="Q95" s="368"/>
      <c r="R95" s="368"/>
      <c r="S95" s="368"/>
      <c r="T95" s="368"/>
      <c r="U95" s="368"/>
      <c r="V95" s="368"/>
      <c r="W95" s="26"/>
      <c r="X95" s="26"/>
      <c r="Y95" s="26"/>
      <c r="Z95" s="26"/>
    </row>
    <row r="96">
      <c r="A96" s="368"/>
      <c r="B96" s="368"/>
      <c r="C96" s="368"/>
      <c r="D96" s="368"/>
      <c r="E96" s="368"/>
      <c r="F96" s="368"/>
      <c r="G96" s="368"/>
      <c r="H96" s="368"/>
      <c r="I96" s="368"/>
      <c r="J96" s="368"/>
      <c r="K96" s="368"/>
      <c r="L96" s="368"/>
      <c r="M96" s="368"/>
      <c r="N96" s="368"/>
      <c r="O96" s="368"/>
      <c r="P96" s="368"/>
      <c r="Q96" s="368"/>
      <c r="R96" s="368"/>
      <c r="S96" s="368"/>
      <c r="T96" s="368"/>
      <c r="U96" s="368"/>
      <c r="V96" s="368"/>
      <c r="W96" s="26"/>
      <c r="X96" s="26"/>
      <c r="Y96" s="26"/>
      <c r="Z96" s="26"/>
    </row>
    <row r="97">
      <c r="A97" s="368"/>
      <c r="B97" s="368"/>
      <c r="C97" s="368"/>
      <c r="D97" s="368"/>
      <c r="E97" s="368"/>
      <c r="F97" s="368"/>
      <c r="G97" s="368"/>
      <c r="H97" s="368"/>
      <c r="I97" s="368"/>
      <c r="J97" s="368"/>
      <c r="K97" s="368"/>
      <c r="L97" s="368"/>
      <c r="M97" s="368"/>
      <c r="N97" s="368"/>
      <c r="O97" s="368"/>
      <c r="P97" s="368"/>
      <c r="Q97" s="368"/>
      <c r="R97" s="368"/>
      <c r="S97" s="368"/>
      <c r="T97" s="368"/>
      <c r="U97" s="368"/>
      <c r="V97" s="368"/>
      <c r="W97" s="26"/>
      <c r="X97" s="26"/>
      <c r="Y97" s="26"/>
      <c r="Z97" s="26"/>
    </row>
    <row r="98">
      <c r="A98" s="368"/>
      <c r="B98" s="368"/>
      <c r="C98" s="368"/>
      <c r="D98" s="368"/>
      <c r="E98" s="368"/>
      <c r="F98" s="368"/>
      <c r="G98" s="368"/>
      <c r="H98" s="368"/>
      <c r="I98" s="368"/>
      <c r="J98" s="368"/>
      <c r="K98" s="368"/>
      <c r="L98" s="368"/>
      <c r="M98" s="368"/>
      <c r="N98" s="368"/>
      <c r="O98" s="368"/>
      <c r="P98" s="368"/>
      <c r="Q98" s="368"/>
      <c r="R98" s="368"/>
      <c r="S98" s="368"/>
      <c r="T98" s="368"/>
      <c r="U98" s="368"/>
      <c r="V98" s="368"/>
      <c r="W98" s="26"/>
      <c r="X98" s="26"/>
      <c r="Y98" s="26"/>
      <c r="Z98" s="26"/>
    </row>
    <row r="99">
      <c r="A99" s="368"/>
      <c r="B99" s="368"/>
      <c r="C99" s="368"/>
      <c r="D99" s="368"/>
      <c r="E99" s="368"/>
      <c r="F99" s="368"/>
      <c r="G99" s="368"/>
      <c r="H99" s="368"/>
      <c r="I99" s="368"/>
      <c r="J99" s="368"/>
      <c r="K99" s="368"/>
      <c r="L99" s="368"/>
      <c r="M99" s="368"/>
      <c r="N99" s="368"/>
      <c r="O99" s="368"/>
      <c r="P99" s="368"/>
      <c r="Q99" s="368"/>
      <c r="R99" s="368"/>
      <c r="S99" s="368"/>
      <c r="T99" s="368"/>
      <c r="U99" s="368"/>
      <c r="V99" s="368"/>
      <c r="W99" s="26"/>
      <c r="X99" s="26"/>
      <c r="Y99" s="26"/>
      <c r="Z99" s="26"/>
    </row>
    <row r="100">
      <c r="A100" s="368"/>
      <c r="B100" s="368"/>
      <c r="C100" s="368"/>
      <c r="D100" s="368"/>
      <c r="E100" s="368"/>
      <c r="F100" s="368"/>
      <c r="G100" s="368"/>
      <c r="H100" s="368"/>
      <c r="I100" s="368"/>
      <c r="J100" s="368"/>
      <c r="K100" s="368"/>
      <c r="L100" s="368"/>
      <c r="M100" s="368"/>
      <c r="N100" s="368"/>
      <c r="O100" s="368"/>
      <c r="P100" s="368"/>
      <c r="Q100" s="368"/>
      <c r="R100" s="368"/>
      <c r="S100" s="368"/>
      <c r="T100" s="368"/>
      <c r="U100" s="368"/>
      <c r="V100" s="368"/>
      <c r="W100" s="26"/>
      <c r="X100" s="26"/>
      <c r="Y100" s="26"/>
      <c r="Z100" s="26"/>
    </row>
    <row r="101">
      <c r="A101" s="368"/>
      <c r="B101" s="368"/>
      <c r="C101" s="368"/>
      <c r="D101" s="368"/>
      <c r="E101" s="368"/>
      <c r="F101" s="368"/>
      <c r="G101" s="368"/>
      <c r="H101" s="368"/>
      <c r="I101" s="368"/>
      <c r="J101" s="368"/>
      <c r="K101" s="368"/>
      <c r="L101" s="368"/>
      <c r="M101" s="368"/>
      <c r="N101" s="368"/>
      <c r="O101" s="368"/>
      <c r="P101" s="368"/>
      <c r="Q101" s="368"/>
      <c r="R101" s="368"/>
      <c r="S101" s="368"/>
      <c r="T101" s="368"/>
      <c r="U101" s="368"/>
      <c r="V101" s="368"/>
      <c r="W101" s="26"/>
      <c r="X101" s="26"/>
      <c r="Y101" s="26"/>
      <c r="Z101" s="26"/>
    </row>
    <row r="102">
      <c r="A102" s="368"/>
      <c r="B102" s="368"/>
      <c r="C102" s="368"/>
      <c r="D102" s="368"/>
      <c r="E102" s="368"/>
      <c r="F102" s="368"/>
      <c r="G102" s="368"/>
      <c r="H102" s="368"/>
      <c r="I102" s="368"/>
      <c r="J102" s="368"/>
      <c r="K102" s="368"/>
      <c r="L102" s="368"/>
      <c r="M102" s="368"/>
      <c r="N102" s="368"/>
      <c r="O102" s="368"/>
      <c r="P102" s="368"/>
      <c r="Q102" s="368"/>
      <c r="R102" s="368"/>
      <c r="S102" s="368"/>
      <c r="T102" s="368"/>
      <c r="U102" s="368"/>
      <c r="V102" s="368"/>
      <c r="W102" s="26"/>
      <c r="X102" s="26"/>
      <c r="Y102" s="26"/>
      <c r="Z102" s="26"/>
    </row>
    <row r="103">
      <c r="A103" s="368"/>
      <c r="B103" s="368"/>
      <c r="C103" s="368"/>
      <c r="D103" s="368"/>
      <c r="E103" s="368"/>
      <c r="F103" s="368"/>
      <c r="G103" s="368"/>
      <c r="H103" s="368"/>
      <c r="I103" s="368"/>
      <c r="J103" s="368"/>
      <c r="K103" s="368"/>
      <c r="L103" s="368"/>
      <c r="M103" s="368"/>
      <c r="N103" s="368"/>
      <c r="O103" s="368"/>
      <c r="P103" s="368"/>
      <c r="Q103" s="368"/>
      <c r="R103" s="368"/>
      <c r="S103" s="368"/>
      <c r="T103" s="368"/>
      <c r="U103" s="368"/>
      <c r="V103" s="368"/>
      <c r="W103" s="26"/>
      <c r="X103" s="26"/>
      <c r="Y103" s="26"/>
      <c r="Z103" s="26"/>
    </row>
    <row r="104">
      <c r="A104" s="368"/>
      <c r="B104" s="368"/>
      <c r="C104" s="368"/>
      <c r="D104" s="368"/>
      <c r="E104" s="368"/>
      <c r="F104" s="368"/>
      <c r="G104" s="368"/>
      <c r="H104" s="368"/>
      <c r="I104" s="368"/>
      <c r="J104" s="368"/>
      <c r="K104" s="368"/>
      <c r="L104" s="368"/>
      <c r="M104" s="368"/>
      <c r="N104" s="368"/>
      <c r="O104" s="368"/>
      <c r="P104" s="368"/>
      <c r="Q104" s="368"/>
      <c r="R104" s="368"/>
      <c r="S104" s="368"/>
      <c r="T104" s="368"/>
      <c r="U104" s="368"/>
      <c r="V104" s="368"/>
      <c r="W104" s="26"/>
      <c r="X104" s="26"/>
      <c r="Y104" s="26"/>
      <c r="Z104" s="26"/>
    </row>
    <row r="105">
      <c r="A105" s="368"/>
      <c r="B105" s="368"/>
      <c r="C105" s="368"/>
      <c r="D105" s="368"/>
      <c r="E105" s="368"/>
      <c r="F105" s="368"/>
      <c r="G105" s="368"/>
      <c r="H105" s="368"/>
      <c r="I105" s="368"/>
      <c r="J105" s="368"/>
      <c r="K105" s="368"/>
      <c r="L105" s="368"/>
      <c r="M105" s="368"/>
      <c r="N105" s="368"/>
      <c r="O105" s="368"/>
      <c r="P105" s="368"/>
      <c r="Q105" s="368"/>
      <c r="R105" s="368"/>
      <c r="S105" s="368"/>
      <c r="T105" s="368"/>
      <c r="U105" s="368"/>
      <c r="V105" s="368"/>
      <c r="W105" s="26"/>
      <c r="X105" s="26"/>
      <c r="Y105" s="26"/>
      <c r="Z105" s="26"/>
    </row>
    <row r="106">
      <c r="A106" s="368"/>
      <c r="B106" s="368"/>
      <c r="C106" s="368"/>
      <c r="D106" s="368"/>
      <c r="E106" s="368"/>
      <c r="F106" s="368"/>
      <c r="G106" s="368"/>
      <c r="H106" s="368"/>
      <c r="I106" s="368"/>
      <c r="J106" s="368"/>
      <c r="K106" s="368"/>
      <c r="L106" s="368"/>
      <c r="M106" s="368"/>
      <c r="N106" s="368"/>
      <c r="O106" s="368"/>
      <c r="P106" s="368"/>
      <c r="Q106" s="368"/>
      <c r="R106" s="368"/>
      <c r="S106" s="368"/>
      <c r="T106" s="368"/>
      <c r="U106" s="368"/>
      <c r="V106" s="368"/>
      <c r="W106" s="26"/>
      <c r="X106" s="26"/>
      <c r="Y106" s="26"/>
      <c r="Z106" s="26"/>
    </row>
    <row r="107">
      <c r="A107" s="368"/>
      <c r="B107" s="368"/>
      <c r="C107" s="368"/>
      <c r="D107" s="368"/>
      <c r="E107" s="368"/>
      <c r="F107" s="368"/>
      <c r="G107" s="368"/>
      <c r="H107" s="368"/>
      <c r="I107" s="368"/>
      <c r="J107" s="368"/>
      <c r="K107" s="368"/>
      <c r="L107" s="368"/>
      <c r="M107" s="368"/>
      <c r="N107" s="368"/>
      <c r="O107" s="368"/>
      <c r="P107" s="368"/>
      <c r="Q107" s="368"/>
      <c r="R107" s="368"/>
      <c r="S107" s="368"/>
      <c r="T107" s="368"/>
      <c r="U107" s="368"/>
      <c r="V107" s="368"/>
      <c r="W107" s="26"/>
      <c r="X107" s="26"/>
      <c r="Y107" s="26"/>
      <c r="Z107" s="26"/>
    </row>
    <row r="108">
      <c r="A108" s="368"/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26"/>
      <c r="X108" s="26"/>
      <c r="Y108" s="26"/>
      <c r="Z108" s="26"/>
    </row>
    <row r="109">
      <c r="A109" s="368"/>
      <c r="B109" s="368"/>
      <c r="C109" s="368"/>
      <c r="D109" s="368"/>
      <c r="E109" s="368"/>
      <c r="F109" s="368"/>
      <c r="G109" s="368"/>
      <c r="H109" s="368"/>
      <c r="I109" s="368"/>
      <c r="J109" s="368"/>
      <c r="K109" s="368"/>
      <c r="L109" s="368"/>
      <c r="M109" s="368"/>
      <c r="N109" s="368"/>
      <c r="O109" s="368"/>
      <c r="P109" s="368"/>
      <c r="Q109" s="368"/>
      <c r="R109" s="368"/>
      <c r="S109" s="368"/>
      <c r="T109" s="368"/>
      <c r="U109" s="368"/>
      <c r="V109" s="368"/>
      <c r="W109" s="26"/>
      <c r="X109" s="26"/>
      <c r="Y109" s="26"/>
      <c r="Z109" s="26"/>
    </row>
    <row r="110">
      <c r="A110" s="368"/>
      <c r="B110" s="368"/>
      <c r="C110" s="368"/>
      <c r="D110" s="368"/>
      <c r="E110" s="368"/>
      <c r="F110" s="368"/>
      <c r="G110" s="368"/>
      <c r="H110" s="368"/>
      <c r="I110" s="368"/>
      <c r="J110" s="368"/>
      <c r="K110" s="368"/>
      <c r="L110" s="368"/>
      <c r="M110" s="368"/>
      <c r="N110" s="368"/>
      <c r="O110" s="368"/>
      <c r="P110" s="368"/>
      <c r="Q110" s="368"/>
      <c r="R110" s="368"/>
      <c r="S110" s="368"/>
      <c r="T110" s="368"/>
      <c r="U110" s="368"/>
      <c r="V110" s="368"/>
      <c r="W110" s="26"/>
      <c r="X110" s="26"/>
      <c r="Y110" s="26"/>
      <c r="Z110" s="26"/>
    </row>
    <row r="111">
      <c r="A111" s="368"/>
      <c r="B111" s="368"/>
      <c r="C111" s="368"/>
      <c r="D111" s="368"/>
      <c r="E111" s="368"/>
      <c r="F111" s="368"/>
      <c r="G111" s="368"/>
      <c r="H111" s="368"/>
      <c r="I111" s="368"/>
      <c r="J111" s="368"/>
      <c r="K111" s="368"/>
      <c r="L111" s="368"/>
      <c r="M111" s="368"/>
      <c r="N111" s="368"/>
      <c r="O111" s="368"/>
      <c r="P111" s="368"/>
      <c r="Q111" s="368"/>
      <c r="R111" s="368"/>
      <c r="S111" s="368"/>
      <c r="T111" s="368"/>
      <c r="U111" s="368"/>
      <c r="V111" s="368"/>
      <c r="W111" s="26"/>
      <c r="X111" s="26"/>
      <c r="Y111" s="26"/>
      <c r="Z111" s="26"/>
    </row>
    <row r="112">
      <c r="A112" s="368"/>
      <c r="B112" s="368"/>
      <c r="C112" s="368"/>
      <c r="D112" s="368"/>
      <c r="E112" s="368"/>
      <c r="F112" s="368"/>
      <c r="G112" s="368"/>
      <c r="H112" s="368"/>
      <c r="I112" s="368"/>
      <c r="J112" s="368"/>
      <c r="K112" s="368"/>
      <c r="L112" s="368"/>
      <c r="M112" s="368"/>
      <c r="N112" s="368"/>
      <c r="O112" s="368"/>
      <c r="P112" s="368"/>
      <c r="Q112" s="368"/>
      <c r="R112" s="368"/>
      <c r="S112" s="368"/>
      <c r="T112" s="368"/>
      <c r="U112" s="368"/>
      <c r="V112" s="368"/>
      <c r="W112" s="26"/>
      <c r="X112" s="26"/>
      <c r="Y112" s="26"/>
      <c r="Z112" s="26"/>
    </row>
    <row r="113">
      <c r="A113" s="368"/>
      <c r="B113" s="368"/>
      <c r="C113" s="368"/>
      <c r="D113" s="368"/>
      <c r="E113" s="368"/>
      <c r="F113" s="368"/>
      <c r="G113" s="368"/>
      <c r="H113" s="368"/>
      <c r="I113" s="368"/>
      <c r="J113" s="368"/>
      <c r="K113" s="368"/>
      <c r="L113" s="368"/>
      <c r="M113" s="368"/>
      <c r="N113" s="368"/>
      <c r="O113" s="368"/>
      <c r="P113" s="368"/>
      <c r="Q113" s="368"/>
      <c r="R113" s="368"/>
      <c r="S113" s="368"/>
      <c r="T113" s="368"/>
      <c r="U113" s="368"/>
      <c r="V113" s="368"/>
      <c r="W113" s="26"/>
      <c r="X113" s="26"/>
      <c r="Y113" s="26"/>
      <c r="Z113" s="26"/>
    </row>
    <row r="114">
      <c r="A114" s="368"/>
      <c r="B114" s="368"/>
      <c r="C114" s="368"/>
      <c r="D114" s="368"/>
      <c r="E114" s="368"/>
      <c r="F114" s="368"/>
      <c r="G114" s="368"/>
      <c r="H114" s="368"/>
      <c r="I114" s="368"/>
      <c r="J114" s="368"/>
      <c r="K114" s="368"/>
      <c r="L114" s="368"/>
      <c r="M114" s="368"/>
      <c r="N114" s="368"/>
      <c r="O114" s="368"/>
      <c r="P114" s="368"/>
      <c r="Q114" s="368"/>
      <c r="R114" s="368"/>
      <c r="S114" s="368"/>
      <c r="T114" s="368"/>
      <c r="U114" s="368"/>
      <c r="V114" s="368"/>
      <c r="W114" s="26"/>
      <c r="X114" s="26"/>
      <c r="Y114" s="26"/>
      <c r="Z114" s="26"/>
    </row>
    <row r="115">
      <c r="A115" s="368"/>
      <c r="B115" s="368"/>
      <c r="C115" s="368"/>
      <c r="D115" s="368"/>
      <c r="E115" s="368"/>
      <c r="F115" s="368"/>
      <c r="G115" s="368"/>
      <c r="H115" s="368"/>
      <c r="I115" s="368"/>
      <c r="J115" s="368"/>
      <c r="K115" s="368"/>
      <c r="L115" s="368"/>
      <c r="M115" s="368"/>
      <c r="N115" s="368"/>
      <c r="O115" s="368"/>
      <c r="P115" s="368"/>
      <c r="Q115" s="368"/>
      <c r="R115" s="368"/>
      <c r="S115" s="368"/>
      <c r="T115" s="368"/>
      <c r="U115" s="368"/>
      <c r="V115" s="368"/>
      <c r="W115" s="26"/>
      <c r="X115" s="26"/>
      <c r="Y115" s="26"/>
      <c r="Z115" s="26"/>
    </row>
    <row r="116">
      <c r="A116" s="368"/>
      <c r="B116" s="368"/>
      <c r="C116" s="368"/>
      <c r="D116" s="368"/>
      <c r="E116" s="368"/>
      <c r="F116" s="368"/>
      <c r="G116" s="368"/>
      <c r="H116" s="368"/>
      <c r="I116" s="368"/>
      <c r="J116" s="368"/>
      <c r="K116" s="368"/>
      <c r="L116" s="368"/>
      <c r="M116" s="368"/>
      <c r="N116" s="368"/>
      <c r="O116" s="368"/>
      <c r="P116" s="368"/>
      <c r="Q116" s="368"/>
      <c r="R116" s="368"/>
      <c r="S116" s="368"/>
      <c r="T116" s="368"/>
      <c r="U116" s="368"/>
      <c r="V116" s="368"/>
      <c r="W116" s="26"/>
      <c r="X116" s="26"/>
      <c r="Y116" s="26"/>
      <c r="Z116" s="26"/>
    </row>
    <row r="117">
      <c r="A117" s="368"/>
      <c r="B117" s="368"/>
      <c r="C117" s="368"/>
      <c r="D117" s="368"/>
      <c r="E117" s="368"/>
      <c r="F117" s="368"/>
      <c r="G117" s="368"/>
      <c r="H117" s="368"/>
      <c r="I117" s="368"/>
      <c r="J117" s="368"/>
      <c r="K117" s="368"/>
      <c r="L117" s="368"/>
      <c r="M117" s="368"/>
      <c r="N117" s="368"/>
      <c r="O117" s="368"/>
      <c r="P117" s="368"/>
      <c r="Q117" s="368"/>
      <c r="R117" s="368"/>
      <c r="S117" s="368"/>
      <c r="T117" s="368"/>
      <c r="U117" s="368"/>
      <c r="V117" s="368"/>
      <c r="W117" s="26"/>
      <c r="X117" s="26"/>
      <c r="Y117" s="26"/>
      <c r="Z117" s="26"/>
    </row>
    <row r="118">
      <c r="A118" s="368"/>
      <c r="B118" s="368"/>
      <c r="C118" s="368"/>
      <c r="D118" s="368"/>
      <c r="E118" s="368"/>
      <c r="F118" s="368"/>
      <c r="G118" s="368"/>
      <c r="H118" s="368"/>
      <c r="I118" s="368"/>
      <c r="J118" s="368"/>
      <c r="K118" s="368"/>
      <c r="L118" s="368"/>
      <c r="M118" s="368"/>
      <c r="N118" s="368"/>
      <c r="O118" s="368"/>
      <c r="P118" s="368"/>
      <c r="Q118" s="368"/>
      <c r="R118" s="368"/>
      <c r="S118" s="368"/>
      <c r="T118" s="368"/>
      <c r="U118" s="368"/>
      <c r="V118" s="368"/>
      <c r="W118" s="26"/>
      <c r="X118" s="26"/>
      <c r="Y118" s="26"/>
      <c r="Z118" s="26"/>
    </row>
    <row r="119">
      <c r="A119" s="368"/>
      <c r="B119" s="368"/>
      <c r="C119" s="368"/>
      <c r="D119" s="368"/>
      <c r="E119" s="368"/>
      <c r="F119" s="368"/>
      <c r="G119" s="368"/>
      <c r="H119" s="368"/>
      <c r="I119" s="368"/>
      <c r="J119" s="368"/>
      <c r="K119" s="368"/>
      <c r="L119" s="368"/>
      <c r="M119" s="368"/>
      <c r="N119" s="368"/>
      <c r="O119" s="368"/>
      <c r="P119" s="368"/>
      <c r="Q119" s="368"/>
      <c r="R119" s="368"/>
      <c r="S119" s="368"/>
      <c r="T119" s="368"/>
      <c r="U119" s="368"/>
      <c r="V119" s="368"/>
      <c r="W119" s="26"/>
      <c r="X119" s="26"/>
      <c r="Y119" s="26"/>
      <c r="Z119" s="26"/>
    </row>
    <row r="120">
      <c r="A120" s="368"/>
      <c r="B120" s="368"/>
      <c r="C120" s="368"/>
      <c r="D120" s="368"/>
      <c r="E120" s="368"/>
      <c r="F120" s="368"/>
      <c r="G120" s="368"/>
      <c r="H120" s="368"/>
      <c r="I120" s="368"/>
      <c r="J120" s="368"/>
      <c r="K120" s="368"/>
      <c r="L120" s="368"/>
      <c r="M120" s="368"/>
      <c r="N120" s="368"/>
      <c r="O120" s="368"/>
      <c r="P120" s="368"/>
      <c r="Q120" s="368"/>
      <c r="R120" s="368"/>
      <c r="S120" s="368"/>
      <c r="T120" s="368"/>
      <c r="U120" s="368"/>
      <c r="V120" s="368"/>
      <c r="W120" s="26"/>
      <c r="X120" s="26"/>
      <c r="Y120" s="26"/>
      <c r="Z120" s="26"/>
    </row>
    <row r="121">
      <c r="A121" s="368"/>
      <c r="B121" s="368"/>
      <c r="C121" s="368"/>
      <c r="D121" s="368"/>
      <c r="E121" s="368"/>
      <c r="F121" s="368"/>
      <c r="G121" s="368"/>
      <c r="H121" s="368"/>
      <c r="I121" s="368"/>
      <c r="J121" s="368"/>
      <c r="K121" s="368"/>
      <c r="L121" s="368"/>
      <c r="M121" s="368"/>
      <c r="N121" s="368"/>
      <c r="O121" s="368"/>
      <c r="P121" s="368"/>
      <c r="Q121" s="368"/>
      <c r="R121" s="368"/>
      <c r="S121" s="368"/>
      <c r="T121" s="368"/>
      <c r="U121" s="368"/>
      <c r="V121" s="368"/>
      <c r="W121" s="26"/>
      <c r="X121" s="26"/>
      <c r="Y121" s="26"/>
      <c r="Z121" s="26"/>
    </row>
    <row r="122">
      <c r="A122" s="368"/>
      <c r="B122" s="368"/>
      <c r="C122" s="368"/>
      <c r="D122" s="368"/>
      <c r="E122" s="368"/>
      <c r="F122" s="368"/>
      <c r="G122" s="368"/>
      <c r="H122" s="368"/>
      <c r="I122" s="368"/>
      <c r="J122" s="368"/>
      <c r="K122" s="368"/>
      <c r="L122" s="368"/>
      <c r="M122" s="368"/>
      <c r="N122" s="368"/>
      <c r="O122" s="368"/>
      <c r="P122" s="368"/>
      <c r="Q122" s="368"/>
      <c r="R122" s="368"/>
      <c r="S122" s="368"/>
      <c r="T122" s="368"/>
      <c r="U122" s="368"/>
      <c r="V122" s="368"/>
      <c r="W122" s="26"/>
      <c r="X122" s="26"/>
      <c r="Y122" s="26"/>
      <c r="Z122" s="26"/>
    </row>
    <row r="123">
      <c r="A123" s="368"/>
      <c r="B123" s="368"/>
      <c r="C123" s="368"/>
      <c r="D123" s="368"/>
      <c r="E123" s="368"/>
      <c r="F123" s="368"/>
      <c r="G123" s="368"/>
      <c r="H123" s="368"/>
      <c r="I123" s="368"/>
      <c r="J123" s="368"/>
      <c r="K123" s="368"/>
      <c r="L123" s="368"/>
      <c r="M123" s="368"/>
      <c r="N123" s="368"/>
      <c r="O123" s="368"/>
      <c r="P123" s="368"/>
      <c r="Q123" s="368"/>
      <c r="R123" s="368"/>
      <c r="S123" s="368"/>
      <c r="T123" s="368"/>
      <c r="U123" s="368"/>
      <c r="V123" s="368"/>
      <c r="W123" s="26"/>
      <c r="X123" s="26"/>
      <c r="Y123" s="26"/>
      <c r="Z123" s="26"/>
    </row>
    <row r="124">
      <c r="A124" s="368"/>
      <c r="B124" s="368"/>
      <c r="C124" s="368"/>
      <c r="D124" s="368"/>
      <c r="E124" s="368"/>
      <c r="F124" s="368"/>
      <c r="G124" s="368"/>
      <c r="H124" s="368"/>
      <c r="I124" s="368"/>
      <c r="J124" s="368"/>
      <c r="K124" s="368"/>
      <c r="L124" s="368"/>
      <c r="M124" s="368"/>
      <c r="N124" s="368"/>
      <c r="O124" s="368"/>
      <c r="P124" s="368"/>
      <c r="Q124" s="368"/>
      <c r="R124" s="368"/>
      <c r="S124" s="368"/>
      <c r="T124" s="368"/>
      <c r="U124" s="368"/>
      <c r="V124" s="368"/>
      <c r="W124" s="26"/>
      <c r="X124" s="26"/>
      <c r="Y124" s="26"/>
      <c r="Z124" s="26"/>
    </row>
    <row r="125">
      <c r="A125" s="368"/>
      <c r="B125" s="368"/>
      <c r="C125" s="368"/>
      <c r="D125" s="368"/>
      <c r="E125" s="368"/>
      <c r="F125" s="368"/>
      <c r="G125" s="368"/>
      <c r="H125" s="368"/>
      <c r="I125" s="368"/>
      <c r="J125" s="368"/>
      <c r="K125" s="368"/>
      <c r="L125" s="368"/>
      <c r="M125" s="368"/>
      <c r="N125" s="368"/>
      <c r="O125" s="368"/>
      <c r="P125" s="368"/>
      <c r="Q125" s="368"/>
      <c r="R125" s="368"/>
      <c r="S125" s="368"/>
      <c r="T125" s="368"/>
      <c r="U125" s="368"/>
      <c r="V125" s="368"/>
      <c r="W125" s="26"/>
      <c r="X125" s="26"/>
      <c r="Y125" s="26"/>
      <c r="Z125" s="26"/>
    </row>
    <row r="126">
      <c r="A126" s="368"/>
      <c r="B126" s="368"/>
      <c r="C126" s="368"/>
      <c r="D126" s="368"/>
      <c r="E126" s="368"/>
      <c r="F126" s="368"/>
      <c r="G126" s="368"/>
      <c r="H126" s="368"/>
      <c r="I126" s="368"/>
      <c r="J126" s="368"/>
      <c r="K126" s="368"/>
      <c r="L126" s="368"/>
      <c r="M126" s="368"/>
      <c r="N126" s="368"/>
      <c r="O126" s="368"/>
      <c r="P126" s="368"/>
      <c r="Q126" s="368"/>
      <c r="R126" s="368"/>
      <c r="S126" s="368"/>
      <c r="T126" s="368"/>
      <c r="U126" s="368"/>
      <c r="V126" s="368"/>
      <c r="W126" s="26"/>
      <c r="X126" s="26"/>
      <c r="Y126" s="26"/>
      <c r="Z126" s="26"/>
    </row>
    <row r="127">
      <c r="A127" s="368"/>
      <c r="B127" s="368"/>
      <c r="C127" s="368"/>
      <c r="D127" s="368"/>
      <c r="E127" s="368"/>
      <c r="F127" s="368"/>
      <c r="G127" s="368"/>
      <c r="H127" s="368"/>
      <c r="I127" s="368"/>
      <c r="J127" s="368"/>
      <c r="K127" s="368"/>
      <c r="L127" s="368"/>
      <c r="M127" s="368"/>
      <c r="N127" s="368"/>
      <c r="O127" s="368"/>
      <c r="P127" s="368"/>
      <c r="Q127" s="368"/>
      <c r="R127" s="368"/>
      <c r="S127" s="368"/>
      <c r="T127" s="368"/>
      <c r="U127" s="368"/>
      <c r="V127" s="368"/>
      <c r="W127" s="26"/>
      <c r="X127" s="26"/>
      <c r="Y127" s="26"/>
      <c r="Z127" s="26"/>
    </row>
    <row r="128">
      <c r="A128" s="368"/>
      <c r="B128" s="368"/>
      <c r="C128" s="368"/>
      <c r="D128" s="368"/>
      <c r="E128" s="368"/>
      <c r="F128" s="368"/>
      <c r="G128" s="368"/>
      <c r="H128" s="368"/>
      <c r="I128" s="368"/>
      <c r="J128" s="368"/>
      <c r="K128" s="368"/>
      <c r="L128" s="368"/>
      <c r="M128" s="368"/>
      <c r="N128" s="368"/>
      <c r="O128" s="368"/>
      <c r="P128" s="368"/>
      <c r="Q128" s="368"/>
      <c r="R128" s="368"/>
      <c r="S128" s="368"/>
      <c r="T128" s="368"/>
      <c r="U128" s="368"/>
      <c r="V128" s="368"/>
      <c r="W128" s="26"/>
      <c r="X128" s="26"/>
      <c r="Y128" s="26"/>
      <c r="Z128" s="26"/>
    </row>
    <row r="129">
      <c r="A129" s="368"/>
      <c r="B129" s="368"/>
      <c r="C129" s="368"/>
      <c r="D129" s="368"/>
      <c r="E129" s="368"/>
      <c r="F129" s="368"/>
      <c r="G129" s="368"/>
      <c r="H129" s="368"/>
      <c r="I129" s="368"/>
      <c r="J129" s="368"/>
      <c r="K129" s="368"/>
      <c r="L129" s="368"/>
      <c r="M129" s="368"/>
      <c r="N129" s="368"/>
      <c r="O129" s="368"/>
      <c r="P129" s="368"/>
      <c r="Q129" s="368"/>
      <c r="R129" s="368"/>
      <c r="S129" s="368"/>
      <c r="T129" s="368"/>
      <c r="U129" s="368"/>
      <c r="V129" s="368"/>
      <c r="W129" s="26"/>
      <c r="X129" s="26"/>
      <c r="Y129" s="26"/>
      <c r="Z129" s="26"/>
    </row>
    <row r="130">
      <c r="A130" s="368"/>
      <c r="B130" s="368"/>
      <c r="C130" s="368"/>
      <c r="D130" s="368"/>
      <c r="E130" s="368"/>
      <c r="F130" s="368"/>
      <c r="G130" s="368"/>
      <c r="H130" s="368"/>
      <c r="I130" s="368"/>
      <c r="J130" s="368"/>
      <c r="K130" s="368"/>
      <c r="L130" s="368"/>
      <c r="M130" s="368"/>
      <c r="N130" s="368"/>
      <c r="O130" s="368"/>
      <c r="P130" s="368"/>
      <c r="Q130" s="368"/>
      <c r="R130" s="368"/>
      <c r="S130" s="368"/>
      <c r="T130" s="368"/>
      <c r="U130" s="368"/>
      <c r="V130" s="368"/>
      <c r="W130" s="26"/>
      <c r="X130" s="26"/>
      <c r="Y130" s="26"/>
      <c r="Z130" s="26"/>
    </row>
    <row r="131">
      <c r="A131" s="368"/>
      <c r="B131" s="368"/>
      <c r="C131" s="368"/>
      <c r="D131" s="368"/>
      <c r="E131" s="368"/>
      <c r="F131" s="368"/>
      <c r="G131" s="368"/>
      <c r="H131" s="368"/>
      <c r="I131" s="368"/>
      <c r="J131" s="368"/>
      <c r="K131" s="368"/>
      <c r="L131" s="368"/>
      <c r="M131" s="368"/>
      <c r="N131" s="368"/>
      <c r="O131" s="368"/>
      <c r="P131" s="368"/>
      <c r="Q131" s="368"/>
      <c r="R131" s="368"/>
      <c r="S131" s="368"/>
      <c r="T131" s="368"/>
      <c r="U131" s="368"/>
      <c r="V131" s="368"/>
      <c r="W131" s="26"/>
      <c r="X131" s="26"/>
      <c r="Y131" s="26"/>
      <c r="Z131" s="26"/>
    </row>
    <row r="132">
      <c r="A132" s="368"/>
      <c r="B132" s="368"/>
      <c r="C132" s="368"/>
      <c r="D132" s="368"/>
      <c r="E132" s="368"/>
      <c r="F132" s="368"/>
      <c r="G132" s="368"/>
      <c r="H132" s="368"/>
      <c r="I132" s="368"/>
      <c r="J132" s="368"/>
      <c r="K132" s="368"/>
      <c r="L132" s="368"/>
      <c r="M132" s="368"/>
      <c r="N132" s="368"/>
      <c r="O132" s="368"/>
      <c r="P132" s="368"/>
      <c r="Q132" s="368"/>
      <c r="R132" s="368"/>
      <c r="S132" s="368"/>
      <c r="T132" s="368"/>
      <c r="U132" s="368"/>
      <c r="V132" s="368"/>
      <c r="W132" s="26"/>
      <c r="X132" s="26"/>
      <c r="Y132" s="26"/>
      <c r="Z132" s="26"/>
    </row>
    <row r="133">
      <c r="A133" s="368"/>
      <c r="B133" s="368"/>
      <c r="C133" s="368"/>
      <c r="D133" s="368"/>
      <c r="E133" s="368"/>
      <c r="F133" s="368"/>
      <c r="G133" s="368"/>
      <c r="H133" s="368"/>
      <c r="I133" s="368"/>
      <c r="J133" s="368"/>
      <c r="K133" s="368"/>
      <c r="L133" s="368"/>
      <c r="M133" s="368"/>
      <c r="N133" s="368"/>
      <c r="O133" s="368"/>
      <c r="P133" s="368"/>
      <c r="Q133" s="368"/>
      <c r="R133" s="368"/>
      <c r="S133" s="368"/>
      <c r="T133" s="368"/>
      <c r="U133" s="368"/>
      <c r="V133" s="368"/>
      <c r="W133" s="26"/>
      <c r="X133" s="26"/>
      <c r="Y133" s="26"/>
      <c r="Z133" s="26"/>
    </row>
    <row r="134">
      <c r="A134" s="368"/>
      <c r="B134" s="368"/>
      <c r="C134" s="368"/>
      <c r="D134" s="368"/>
      <c r="E134" s="368"/>
      <c r="F134" s="368"/>
      <c r="G134" s="368"/>
      <c r="H134" s="368"/>
      <c r="I134" s="368"/>
      <c r="J134" s="368"/>
      <c r="K134" s="368"/>
      <c r="L134" s="368"/>
      <c r="M134" s="368"/>
      <c r="N134" s="368"/>
      <c r="O134" s="368"/>
      <c r="P134" s="368"/>
      <c r="Q134" s="368"/>
      <c r="R134" s="368"/>
      <c r="S134" s="368"/>
      <c r="T134" s="368"/>
      <c r="U134" s="368"/>
      <c r="V134" s="368"/>
      <c r="W134" s="26"/>
      <c r="X134" s="26"/>
      <c r="Y134" s="26"/>
      <c r="Z134" s="26"/>
    </row>
    <row r="135">
      <c r="A135" s="368"/>
      <c r="B135" s="368"/>
      <c r="C135" s="368"/>
      <c r="D135" s="368"/>
      <c r="E135" s="368"/>
      <c r="F135" s="368"/>
      <c r="G135" s="368"/>
      <c r="H135" s="368"/>
      <c r="I135" s="368"/>
      <c r="J135" s="368"/>
      <c r="K135" s="368"/>
      <c r="L135" s="368"/>
      <c r="M135" s="368"/>
      <c r="N135" s="368"/>
      <c r="O135" s="368"/>
      <c r="P135" s="368"/>
      <c r="Q135" s="368"/>
      <c r="R135" s="368"/>
      <c r="S135" s="368"/>
      <c r="T135" s="368"/>
      <c r="U135" s="368"/>
      <c r="V135" s="368"/>
      <c r="W135" s="26"/>
      <c r="X135" s="26"/>
      <c r="Y135" s="26"/>
      <c r="Z135" s="26"/>
    </row>
    <row r="136">
      <c r="A136" s="368"/>
      <c r="B136" s="368"/>
      <c r="C136" s="368"/>
      <c r="D136" s="368"/>
      <c r="E136" s="368"/>
      <c r="F136" s="368"/>
      <c r="G136" s="368"/>
      <c r="H136" s="368"/>
      <c r="I136" s="368"/>
      <c r="J136" s="368"/>
      <c r="K136" s="368"/>
      <c r="L136" s="368"/>
      <c r="M136" s="368"/>
      <c r="N136" s="368"/>
      <c r="O136" s="368"/>
      <c r="P136" s="368"/>
      <c r="Q136" s="368"/>
      <c r="R136" s="368"/>
      <c r="S136" s="368"/>
      <c r="T136" s="368"/>
      <c r="U136" s="368"/>
      <c r="V136" s="368"/>
      <c r="W136" s="26"/>
      <c r="X136" s="26"/>
      <c r="Y136" s="26"/>
      <c r="Z136" s="26"/>
    </row>
    <row r="137">
      <c r="A137" s="368"/>
      <c r="B137" s="368"/>
      <c r="C137" s="368"/>
      <c r="D137" s="368"/>
      <c r="E137" s="368"/>
      <c r="F137" s="368"/>
      <c r="G137" s="368"/>
      <c r="H137" s="368"/>
      <c r="I137" s="368"/>
      <c r="J137" s="368"/>
      <c r="K137" s="368"/>
      <c r="L137" s="368"/>
      <c r="M137" s="368"/>
      <c r="N137" s="368"/>
      <c r="O137" s="368"/>
      <c r="P137" s="368"/>
      <c r="Q137" s="368"/>
      <c r="R137" s="368"/>
      <c r="S137" s="368"/>
      <c r="T137" s="368"/>
      <c r="U137" s="368"/>
      <c r="V137" s="368"/>
      <c r="W137" s="26"/>
      <c r="X137" s="26"/>
      <c r="Y137" s="26"/>
      <c r="Z137" s="26"/>
    </row>
    <row r="138">
      <c r="A138" s="368"/>
      <c r="B138" s="368"/>
      <c r="C138" s="368"/>
      <c r="D138" s="368"/>
      <c r="E138" s="368"/>
      <c r="F138" s="368"/>
      <c r="G138" s="368"/>
      <c r="H138" s="368"/>
      <c r="I138" s="368"/>
      <c r="J138" s="368"/>
      <c r="K138" s="368"/>
      <c r="L138" s="368"/>
      <c r="M138" s="368"/>
      <c r="N138" s="368"/>
      <c r="O138" s="368"/>
      <c r="P138" s="368"/>
      <c r="Q138" s="368"/>
      <c r="R138" s="368"/>
      <c r="S138" s="368"/>
      <c r="T138" s="368"/>
      <c r="U138" s="368"/>
      <c r="V138" s="368"/>
      <c r="W138" s="26"/>
      <c r="X138" s="26"/>
      <c r="Y138" s="26"/>
      <c r="Z138" s="26"/>
    </row>
    <row r="139">
      <c r="A139" s="368"/>
      <c r="B139" s="368"/>
      <c r="C139" s="368"/>
      <c r="D139" s="368"/>
      <c r="E139" s="368"/>
      <c r="F139" s="368"/>
      <c r="G139" s="368"/>
      <c r="H139" s="368"/>
      <c r="I139" s="368"/>
      <c r="J139" s="368"/>
      <c r="K139" s="368"/>
      <c r="L139" s="368"/>
      <c r="M139" s="368"/>
      <c r="N139" s="368"/>
      <c r="O139" s="368"/>
      <c r="P139" s="368"/>
      <c r="Q139" s="368"/>
      <c r="R139" s="368"/>
      <c r="S139" s="368"/>
      <c r="T139" s="368"/>
      <c r="U139" s="368"/>
      <c r="V139" s="368"/>
      <c r="W139" s="26"/>
      <c r="X139" s="26"/>
      <c r="Y139" s="26"/>
      <c r="Z139" s="26"/>
    </row>
    <row r="140">
      <c r="A140" s="368"/>
      <c r="B140" s="368"/>
      <c r="C140" s="368"/>
      <c r="D140" s="368"/>
      <c r="E140" s="368"/>
      <c r="F140" s="368"/>
      <c r="G140" s="368"/>
      <c r="H140" s="368"/>
      <c r="I140" s="368"/>
      <c r="J140" s="368"/>
      <c r="K140" s="368"/>
      <c r="L140" s="368"/>
      <c r="M140" s="368"/>
      <c r="N140" s="368"/>
      <c r="O140" s="368"/>
      <c r="P140" s="368"/>
      <c r="Q140" s="368"/>
      <c r="R140" s="368"/>
      <c r="S140" s="368"/>
      <c r="T140" s="368"/>
      <c r="U140" s="368"/>
      <c r="V140" s="368"/>
      <c r="W140" s="26"/>
      <c r="X140" s="26"/>
      <c r="Y140" s="26"/>
      <c r="Z140" s="26"/>
    </row>
    <row r="141">
      <c r="A141" s="368"/>
      <c r="B141" s="368"/>
      <c r="C141" s="368"/>
      <c r="D141" s="368"/>
      <c r="E141" s="368"/>
      <c r="F141" s="368"/>
      <c r="G141" s="368"/>
      <c r="H141" s="368"/>
      <c r="I141" s="368"/>
      <c r="J141" s="368"/>
      <c r="K141" s="368"/>
      <c r="L141" s="368"/>
      <c r="M141" s="368"/>
      <c r="N141" s="368"/>
      <c r="O141" s="368"/>
      <c r="P141" s="368"/>
      <c r="Q141" s="368"/>
      <c r="R141" s="368"/>
      <c r="S141" s="368"/>
      <c r="T141" s="368"/>
      <c r="U141" s="368"/>
      <c r="V141" s="368"/>
      <c r="W141" s="26"/>
      <c r="X141" s="26"/>
      <c r="Y141" s="26"/>
      <c r="Z141" s="26"/>
    </row>
    <row r="142">
      <c r="A142" s="368"/>
      <c r="B142" s="368"/>
      <c r="C142" s="368"/>
      <c r="D142" s="368"/>
      <c r="E142" s="368"/>
      <c r="F142" s="368"/>
      <c r="G142" s="368"/>
      <c r="H142" s="368"/>
      <c r="I142" s="368"/>
      <c r="J142" s="368"/>
      <c r="K142" s="368"/>
      <c r="L142" s="368"/>
      <c r="M142" s="368"/>
      <c r="N142" s="368"/>
      <c r="O142" s="368"/>
      <c r="P142" s="368"/>
      <c r="Q142" s="368"/>
      <c r="R142" s="368"/>
      <c r="S142" s="368"/>
      <c r="T142" s="368"/>
      <c r="U142" s="368"/>
      <c r="V142" s="368"/>
      <c r="W142" s="26"/>
      <c r="X142" s="26"/>
      <c r="Y142" s="26"/>
      <c r="Z142" s="26"/>
    </row>
    <row r="143">
      <c r="A143" s="368"/>
      <c r="B143" s="368"/>
      <c r="C143" s="368"/>
      <c r="D143" s="368"/>
      <c r="E143" s="368"/>
      <c r="F143" s="368"/>
      <c r="G143" s="368"/>
      <c r="H143" s="368"/>
      <c r="I143" s="368"/>
      <c r="J143" s="368"/>
      <c r="K143" s="368"/>
      <c r="L143" s="368"/>
      <c r="M143" s="368"/>
      <c r="N143" s="368"/>
      <c r="O143" s="368"/>
      <c r="P143" s="368"/>
      <c r="Q143" s="368"/>
      <c r="R143" s="368"/>
      <c r="S143" s="368"/>
      <c r="T143" s="368"/>
      <c r="U143" s="368"/>
      <c r="V143" s="368"/>
      <c r="W143" s="26"/>
      <c r="X143" s="26"/>
      <c r="Y143" s="26"/>
      <c r="Z143" s="26"/>
    </row>
    <row r="144">
      <c r="A144" s="368"/>
      <c r="B144" s="368"/>
      <c r="C144" s="368"/>
      <c r="D144" s="368"/>
      <c r="E144" s="368"/>
      <c r="F144" s="368"/>
      <c r="G144" s="368"/>
      <c r="H144" s="368"/>
      <c r="I144" s="368"/>
      <c r="J144" s="368"/>
      <c r="K144" s="368"/>
      <c r="L144" s="368"/>
      <c r="M144" s="368"/>
      <c r="N144" s="368"/>
      <c r="O144" s="368"/>
      <c r="P144" s="368"/>
      <c r="Q144" s="368"/>
      <c r="R144" s="368"/>
      <c r="S144" s="368"/>
      <c r="T144" s="368"/>
      <c r="U144" s="368"/>
      <c r="V144" s="368"/>
      <c r="W144" s="26"/>
      <c r="X144" s="26"/>
      <c r="Y144" s="26"/>
      <c r="Z144" s="26"/>
    </row>
    <row r="145">
      <c r="A145" s="368"/>
      <c r="B145" s="368"/>
      <c r="C145" s="368"/>
      <c r="D145" s="368"/>
      <c r="E145" s="368"/>
      <c r="F145" s="368"/>
      <c r="G145" s="368"/>
      <c r="H145" s="368"/>
      <c r="I145" s="368"/>
      <c r="J145" s="368"/>
      <c r="K145" s="368"/>
      <c r="L145" s="368"/>
      <c r="M145" s="368"/>
      <c r="N145" s="368"/>
      <c r="O145" s="368"/>
      <c r="P145" s="368"/>
      <c r="Q145" s="368"/>
      <c r="R145" s="368"/>
      <c r="S145" s="368"/>
      <c r="T145" s="368"/>
      <c r="U145" s="368"/>
      <c r="V145" s="368"/>
      <c r="W145" s="26"/>
      <c r="X145" s="26"/>
      <c r="Y145" s="26"/>
      <c r="Z145" s="26"/>
    </row>
    <row r="146">
      <c r="A146" s="368"/>
      <c r="B146" s="368"/>
      <c r="C146" s="368"/>
      <c r="D146" s="368"/>
      <c r="E146" s="368"/>
      <c r="F146" s="368"/>
      <c r="G146" s="368"/>
      <c r="H146" s="368"/>
      <c r="I146" s="368"/>
      <c r="J146" s="368"/>
      <c r="K146" s="368"/>
      <c r="L146" s="368"/>
      <c r="M146" s="368"/>
      <c r="N146" s="368"/>
      <c r="O146" s="368"/>
      <c r="P146" s="368"/>
      <c r="Q146" s="368"/>
      <c r="R146" s="368"/>
      <c r="S146" s="368"/>
      <c r="T146" s="368"/>
      <c r="U146" s="368"/>
      <c r="V146" s="368"/>
      <c r="W146" s="26"/>
      <c r="X146" s="26"/>
      <c r="Y146" s="26"/>
      <c r="Z146" s="26"/>
    </row>
    <row r="147">
      <c r="A147" s="368"/>
      <c r="B147" s="368"/>
      <c r="C147" s="368"/>
      <c r="D147" s="368"/>
      <c r="E147" s="368"/>
      <c r="F147" s="368"/>
      <c r="G147" s="368"/>
      <c r="H147" s="368"/>
      <c r="I147" s="368"/>
      <c r="J147" s="368"/>
      <c r="K147" s="368"/>
      <c r="L147" s="368"/>
      <c r="M147" s="368"/>
      <c r="N147" s="368"/>
      <c r="O147" s="368"/>
      <c r="P147" s="368"/>
      <c r="Q147" s="368"/>
      <c r="R147" s="368"/>
      <c r="S147" s="368"/>
      <c r="T147" s="368"/>
      <c r="U147" s="368"/>
      <c r="V147" s="368"/>
      <c r="W147" s="26"/>
      <c r="X147" s="26"/>
      <c r="Y147" s="26"/>
      <c r="Z147" s="26"/>
    </row>
    <row r="148">
      <c r="A148" s="368"/>
      <c r="B148" s="368"/>
      <c r="C148" s="368"/>
      <c r="D148" s="368"/>
      <c r="E148" s="368"/>
      <c r="F148" s="368"/>
      <c r="G148" s="368"/>
      <c r="H148" s="368"/>
      <c r="I148" s="368"/>
      <c r="J148" s="368"/>
      <c r="K148" s="368"/>
      <c r="L148" s="368"/>
      <c r="M148" s="368"/>
      <c r="N148" s="368"/>
      <c r="O148" s="368"/>
      <c r="P148" s="368"/>
      <c r="Q148" s="368"/>
      <c r="R148" s="368"/>
      <c r="S148" s="368"/>
      <c r="T148" s="368"/>
      <c r="U148" s="368"/>
      <c r="V148" s="368"/>
      <c r="W148" s="26"/>
      <c r="X148" s="26"/>
      <c r="Y148" s="26"/>
      <c r="Z148" s="26"/>
    </row>
    <row r="149">
      <c r="A149" s="368"/>
      <c r="B149" s="368"/>
      <c r="C149" s="368"/>
      <c r="D149" s="368"/>
      <c r="E149" s="368"/>
      <c r="F149" s="368"/>
      <c r="G149" s="368"/>
      <c r="H149" s="368"/>
      <c r="I149" s="368"/>
      <c r="J149" s="368"/>
      <c r="K149" s="368"/>
      <c r="L149" s="368"/>
      <c r="M149" s="368"/>
      <c r="N149" s="368"/>
      <c r="O149" s="368"/>
      <c r="P149" s="368"/>
      <c r="Q149" s="368"/>
      <c r="R149" s="368"/>
      <c r="S149" s="368"/>
      <c r="T149" s="368"/>
      <c r="U149" s="368"/>
      <c r="V149" s="368"/>
      <c r="W149" s="26"/>
      <c r="X149" s="26"/>
      <c r="Y149" s="26"/>
      <c r="Z149" s="26"/>
    </row>
    <row r="150">
      <c r="A150" s="368"/>
      <c r="B150" s="368"/>
      <c r="C150" s="368"/>
      <c r="D150" s="368"/>
      <c r="E150" s="368"/>
      <c r="F150" s="368"/>
      <c r="G150" s="368"/>
      <c r="H150" s="368"/>
      <c r="I150" s="368"/>
      <c r="J150" s="368"/>
      <c r="K150" s="368"/>
      <c r="L150" s="368"/>
      <c r="M150" s="368"/>
      <c r="N150" s="368"/>
      <c r="O150" s="368"/>
      <c r="P150" s="368"/>
      <c r="Q150" s="368"/>
      <c r="R150" s="368"/>
      <c r="S150" s="368"/>
      <c r="T150" s="368"/>
      <c r="U150" s="368"/>
      <c r="V150" s="368"/>
      <c r="W150" s="26"/>
      <c r="X150" s="26"/>
      <c r="Y150" s="26"/>
      <c r="Z150" s="26"/>
    </row>
    <row r="151">
      <c r="A151" s="368"/>
      <c r="B151" s="368"/>
      <c r="C151" s="368"/>
      <c r="D151" s="368"/>
      <c r="E151" s="368"/>
      <c r="F151" s="368"/>
      <c r="G151" s="368"/>
      <c r="H151" s="368"/>
      <c r="I151" s="368"/>
      <c r="J151" s="368"/>
      <c r="K151" s="368"/>
      <c r="L151" s="368"/>
      <c r="M151" s="368"/>
      <c r="N151" s="368"/>
      <c r="O151" s="368"/>
      <c r="P151" s="368"/>
      <c r="Q151" s="368"/>
      <c r="R151" s="368"/>
      <c r="S151" s="368"/>
      <c r="T151" s="368"/>
      <c r="U151" s="368"/>
      <c r="V151" s="368"/>
      <c r="W151" s="26"/>
      <c r="X151" s="26"/>
      <c r="Y151" s="26"/>
      <c r="Z151" s="26"/>
    </row>
    <row r="152">
      <c r="A152" s="368"/>
      <c r="B152" s="368"/>
      <c r="C152" s="368"/>
      <c r="D152" s="368"/>
      <c r="E152" s="368"/>
      <c r="F152" s="368"/>
      <c r="G152" s="368"/>
      <c r="H152" s="368"/>
      <c r="I152" s="368"/>
      <c r="J152" s="368"/>
      <c r="K152" s="368"/>
      <c r="L152" s="368"/>
      <c r="M152" s="368"/>
      <c r="N152" s="368"/>
      <c r="O152" s="368"/>
      <c r="P152" s="368"/>
      <c r="Q152" s="368"/>
      <c r="R152" s="368"/>
      <c r="S152" s="368"/>
      <c r="T152" s="368"/>
      <c r="U152" s="368"/>
      <c r="V152" s="368"/>
      <c r="W152" s="26"/>
      <c r="X152" s="26"/>
      <c r="Y152" s="26"/>
      <c r="Z152" s="26"/>
    </row>
    <row r="153">
      <c r="A153" s="368"/>
      <c r="B153" s="368"/>
      <c r="C153" s="368"/>
      <c r="D153" s="368"/>
      <c r="E153" s="368"/>
      <c r="F153" s="368"/>
      <c r="G153" s="368"/>
      <c r="H153" s="368"/>
      <c r="I153" s="368"/>
      <c r="J153" s="368"/>
      <c r="K153" s="368"/>
      <c r="L153" s="368"/>
      <c r="M153" s="368"/>
      <c r="N153" s="368"/>
      <c r="O153" s="368"/>
      <c r="P153" s="368"/>
      <c r="Q153" s="368"/>
      <c r="R153" s="368"/>
      <c r="S153" s="368"/>
      <c r="T153" s="368"/>
      <c r="U153" s="368"/>
      <c r="V153" s="368"/>
      <c r="W153" s="26"/>
      <c r="X153" s="26"/>
      <c r="Y153" s="26"/>
      <c r="Z153" s="26"/>
    </row>
    <row r="154">
      <c r="A154" s="368"/>
      <c r="B154" s="368"/>
      <c r="C154" s="368"/>
      <c r="D154" s="368"/>
      <c r="E154" s="368"/>
      <c r="F154" s="368"/>
      <c r="G154" s="368"/>
      <c r="H154" s="368"/>
      <c r="I154" s="368"/>
      <c r="J154" s="368"/>
      <c r="K154" s="368"/>
      <c r="L154" s="368"/>
      <c r="M154" s="368"/>
      <c r="N154" s="368"/>
      <c r="O154" s="368"/>
      <c r="P154" s="368"/>
      <c r="Q154" s="368"/>
      <c r="R154" s="368"/>
      <c r="S154" s="368"/>
      <c r="T154" s="368"/>
      <c r="U154" s="368"/>
      <c r="V154" s="368"/>
      <c r="W154" s="26"/>
      <c r="X154" s="26"/>
      <c r="Y154" s="26"/>
      <c r="Z154" s="26"/>
    </row>
    <row r="155">
      <c r="A155" s="368"/>
      <c r="B155" s="368"/>
      <c r="C155" s="368"/>
      <c r="D155" s="368"/>
      <c r="E155" s="368"/>
      <c r="F155" s="368"/>
      <c r="G155" s="368"/>
      <c r="H155" s="368"/>
      <c r="I155" s="368"/>
      <c r="J155" s="368"/>
      <c r="K155" s="368"/>
      <c r="L155" s="368"/>
      <c r="M155" s="368"/>
      <c r="N155" s="368"/>
      <c r="O155" s="368"/>
      <c r="P155" s="368"/>
      <c r="Q155" s="368"/>
      <c r="R155" s="368"/>
      <c r="S155" s="368"/>
      <c r="T155" s="368"/>
      <c r="U155" s="368"/>
      <c r="V155" s="368"/>
      <c r="W155" s="26"/>
      <c r="X155" s="26"/>
      <c r="Y155" s="26"/>
      <c r="Z155" s="26"/>
    </row>
    <row r="156">
      <c r="A156" s="368"/>
      <c r="B156" s="368"/>
      <c r="C156" s="368"/>
      <c r="D156" s="368"/>
      <c r="E156" s="368"/>
      <c r="F156" s="368"/>
      <c r="G156" s="368"/>
      <c r="H156" s="368"/>
      <c r="I156" s="368"/>
      <c r="J156" s="368"/>
      <c r="K156" s="368"/>
      <c r="L156" s="368"/>
      <c r="M156" s="368"/>
      <c r="N156" s="368"/>
      <c r="O156" s="368"/>
      <c r="P156" s="368"/>
      <c r="Q156" s="368"/>
      <c r="R156" s="368"/>
      <c r="S156" s="368"/>
      <c r="T156" s="368"/>
      <c r="U156" s="368"/>
      <c r="V156" s="368"/>
      <c r="W156" s="26"/>
      <c r="X156" s="26"/>
      <c r="Y156" s="26"/>
      <c r="Z156" s="26"/>
    </row>
    <row r="157">
      <c r="A157" s="368"/>
      <c r="B157" s="368"/>
      <c r="C157" s="368"/>
      <c r="D157" s="368"/>
      <c r="E157" s="368"/>
      <c r="F157" s="368"/>
      <c r="G157" s="368"/>
      <c r="H157" s="368"/>
      <c r="I157" s="368"/>
      <c r="J157" s="368"/>
      <c r="K157" s="368"/>
      <c r="L157" s="368"/>
      <c r="M157" s="368"/>
      <c r="N157" s="368"/>
      <c r="O157" s="368"/>
      <c r="P157" s="368"/>
      <c r="Q157" s="368"/>
      <c r="R157" s="368"/>
      <c r="S157" s="368"/>
      <c r="T157" s="368"/>
      <c r="U157" s="368"/>
      <c r="V157" s="368"/>
      <c r="W157" s="26"/>
      <c r="X157" s="26"/>
      <c r="Y157" s="26"/>
      <c r="Z157" s="26"/>
    </row>
    <row r="158">
      <c r="A158" s="368"/>
      <c r="B158" s="368"/>
      <c r="C158" s="368"/>
      <c r="D158" s="368"/>
      <c r="E158" s="368"/>
      <c r="F158" s="368"/>
      <c r="G158" s="368"/>
      <c r="H158" s="368"/>
      <c r="I158" s="368"/>
      <c r="J158" s="368"/>
      <c r="K158" s="368"/>
      <c r="L158" s="368"/>
      <c r="M158" s="368"/>
      <c r="N158" s="368"/>
      <c r="O158" s="368"/>
      <c r="P158" s="368"/>
      <c r="Q158" s="368"/>
      <c r="R158" s="368"/>
      <c r="S158" s="368"/>
      <c r="T158" s="368"/>
      <c r="U158" s="368"/>
      <c r="V158" s="368"/>
      <c r="W158" s="26"/>
      <c r="X158" s="26"/>
      <c r="Y158" s="26"/>
      <c r="Z158" s="26"/>
    </row>
    <row r="159">
      <c r="A159" s="368"/>
      <c r="B159" s="368"/>
      <c r="C159" s="368"/>
      <c r="D159" s="368"/>
      <c r="E159" s="368"/>
      <c r="F159" s="368"/>
      <c r="G159" s="368"/>
      <c r="H159" s="368"/>
      <c r="I159" s="368"/>
      <c r="J159" s="368"/>
      <c r="K159" s="368"/>
      <c r="L159" s="368"/>
      <c r="M159" s="368"/>
      <c r="N159" s="368"/>
      <c r="O159" s="368"/>
      <c r="P159" s="368"/>
      <c r="Q159" s="368"/>
      <c r="R159" s="368"/>
      <c r="S159" s="368"/>
      <c r="T159" s="368"/>
      <c r="U159" s="368"/>
      <c r="V159" s="368"/>
      <c r="W159" s="26"/>
      <c r="X159" s="26"/>
      <c r="Y159" s="26"/>
      <c r="Z159" s="26"/>
    </row>
    <row r="160">
      <c r="A160" s="368"/>
      <c r="B160" s="368"/>
      <c r="C160" s="368"/>
      <c r="D160" s="368"/>
      <c r="E160" s="368"/>
      <c r="F160" s="368"/>
      <c r="G160" s="368"/>
      <c r="H160" s="368"/>
      <c r="I160" s="368"/>
      <c r="J160" s="368"/>
      <c r="K160" s="368"/>
      <c r="L160" s="368"/>
      <c r="M160" s="368"/>
      <c r="N160" s="368"/>
      <c r="O160" s="368"/>
      <c r="P160" s="368"/>
      <c r="Q160" s="368"/>
      <c r="R160" s="368"/>
      <c r="S160" s="368"/>
      <c r="T160" s="368"/>
      <c r="U160" s="368"/>
      <c r="V160" s="368"/>
      <c r="W160" s="26"/>
      <c r="X160" s="26"/>
      <c r="Y160" s="26"/>
      <c r="Z160" s="26"/>
    </row>
    <row r="161">
      <c r="A161" s="368"/>
      <c r="B161" s="368"/>
      <c r="C161" s="368"/>
      <c r="D161" s="368"/>
      <c r="E161" s="368"/>
      <c r="F161" s="368"/>
      <c r="G161" s="368"/>
      <c r="H161" s="368"/>
      <c r="I161" s="368"/>
      <c r="J161" s="368"/>
      <c r="K161" s="368"/>
      <c r="L161" s="368"/>
      <c r="M161" s="368"/>
      <c r="N161" s="368"/>
      <c r="O161" s="368"/>
      <c r="P161" s="368"/>
      <c r="Q161" s="368"/>
      <c r="R161" s="368"/>
      <c r="S161" s="368"/>
      <c r="T161" s="368"/>
      <c r="U161" s="368"/>
      <c r="V161" s="368"/>
      <c r="W161" s="26"/>
      <c r="X161" s="26"/>
      <c r="Y161" s="26"/>
      <c r="Z161" s="26"/>
    </row>
    <row r="162">
      <c r="A162" s="368"/>
      <c r="B162" s="368"/>
      <c r="C162" s="368"/>
      <c r="D162" s="368"/>
      <c r="E162" s="368"/>
      <c r="F162" s="368"/>
      <c r="G162" s="368"/>
      <c r="H162" s="368"/>
      <c r="I162" s="368"/>
      <c r="J162" s="368"/>
      <c r="K162" s="368"/>
      <c r="L162" s="368"/>
      <c r="M162" s="368"/>
      <c r="N162" s="368"/>
      <c r="O162" s="368"/>
      <c r="P162" s="368"/>
      <c r="Q162" s="368"/>
      <c r="R162" s="368"/>
      <c r="S162" s="368"/>
      <c r="T162" s="368"/>
      <c r="U162" s="368"/>
      <c r="V162" s="368"/>
      <c r="W162" s="26"/>
      <c r="X162" s="26"/>
      <c r="Y162" s="26"/>
      <c r="Z162" s="26"/>
    </row>
    <row r="163">
      <c r="A163" s="368"/>
      <c r="B163" s="368"/>
      <c r="C163" s="368"/>
      <c r="D163" s="368"/>
      <c r="E163" s="368"/>
      <c r="F163" s="368"/>
      <c r="G163" s="368"/>
      <c r="H163" s="368"/>
      <c r="I163" s="368"/>
      <c r="J163" s="368"/>
      <c r="K163" s="368"/>
      <c r="L163" s="368"/>
      <c r="M163" s="368"/>
      <c r="N163" s="368"/>
      <c r="O163" s="368"/>
      <c r="P163" s="368"/>
      <c r="Q163" s="368"/>
      <c r="R163" s="368"/>
      <c r="S163" s="368"/>
      <c r="T163" s="368"/>
      <c r="U163" s="368"/>
      <c r="V163" s="368"/>
      <c r="W163" s="26"/>
      <c r="X163" s="26"/>
      <c r="Y163" s="26"/>
      <c r="Z163" s="26"/>
    </row>
    <row r="164">
      <c r="A164" s="368"/>
      <c r="B164" s="368"/>
      <c r="C164" s="368"/>
      <c r="D164" s="368"/>
      <c r="E164" s="368"/>
      <c r="F164" s="368"/>
      <c r="G164" s="368"/>
      <c r="H164" s="368"/>
      <c r="I164" s="368"/>
      <c r="J164" s="368"/>
      <c r="K164" s="368"/>
      <c r="L164" s="368"/>
      <c r="M164" s="368"/>
      <c r="N164" s="368"/>
      <c r="O164" s="368"/>
      <c r="P164" s="368"/>
      <c r="Q164" s="368"/>
      <c r="R164" s="368"/>
      <c r="S164" s="368"/>
      <c r="T164" s="368"/>
      <c r="U164" s="368"/>
      <c r="V164" s="368"/>
      <c r="W164" s="26"/>
      <c r="X164" s="26"/>
      <c r="Y164" s="26"/>
      <c r="Z164" s="26"/>
    </row>
    <row r="165">
      <c r="A165" s="368"/>
      <c r="B165" s="368"/>
      <c r="C165" s="368"/>
      <c r="D165" s="368"/>
      <c r="E165" s="368"/>
      <c r="F165" s="368"/>
      <c r="G165" s="368"/>
      <c r="H165" s="368"/>
      <c r="I165" s="368"/>
      <c r="J165" s="368"/>
      <c r="K165" s="368"/>
      <c r="L165" s="368"/>
      <c r="M165" s="368"/>
      <c r="N165" s="368"/>
      <c r="O165" s="368"/>
      <c r="P165" s="368"/>
      <c r="Q165" s="368"/>
      <c r="R165" s="368"/>
      <c r="S165" s="368"/>
      <c r="T165" s="368"/>
      <c r="U165" s="368"/>
      <c r="V165" s="368"/>
      <c r="W165" s="26"/>
      <c r="X165" s="26"/>
      <c r="Y165" s="26"/>
      <c r="Z165" s="26"/>
    </row>
    <row r="166">
      <c r="A166" s="368"/>
      <c r="B166" s="368"/>
      <c r="C166" s="368"/>
      <c r="D166" s="368"/>
      <c r="E166" s="368"/>
      <c r="F166" s="368"/>
      <c r="G166" s="368"/>
      <c r="H166" s="368"/>
      <c r="I166" s="368"/>
      <c r="J166" s="368"/>
      <c r="K166" s="368"/>
      <c r="L166" s="368"/>
      <c r="M166" s="368"/>
      <c r="N166" s="368"/>
      <c r="O166" s="368"/>
      <c r="P166" s="368"/>
      <c r="Q166" s="368"/>
      <c r="R166" s="368"/>
      <c r="S166" s="368"/>
      <c r="T166" s="368"/>
      <c r="U166" s="368"/>
      <c r="V166" s="368"/>
      <c r="W166" s="26"/>
      <c r="X166" s="26"/>
      <c r="Y166" s="26"/>
      <c r="Z166" s="26"/>
    </row>
    <row r="167">
      <c r="A167" s="368"/>
      <c r="B167" s="368"/>
      <c r="C167" s="368"/>
      <c r="D167" s="368"/>
      <c r="E167" s="368"/>
      <c r="F167" s="368"/>
      <c r="G167" s="368"/>
      <c r="H167" s="368"/>
      <c r="I167" s="368"/>
      <c r="J167" s="368"/>
      <c r="K167" s="368"/>
      <c r="L167" s="368"/>
      <c r="M167" s="368"/>
      <c r="N167" s="368"/>
      <c r="O167" s="368"/>
      <c r="P167" s="368"/>
      <c r="Q167" s="368"/>
      <c r="R167" s="368"/>
      <c r="S167" s="368"/>
      <c r="T167" s="368"/>
      <c r="U167" s="368"/>
      <c r="V167" s="368"/>
      <c r="W167" s="26"/>
      <c r="X167" s="26"/>
      <c r="Y167" s="26"/>
      <c r="Z167" s="26"/>
    </row>
    <row r="168">
      <c r="A168" s="368"/>
      <c r="B168" s="368"/>
      <c r="C168" s="368"/>
      <c r="D168" s="368"/>
      <c r="E168" s="368"/>
      <c r="F168" s="368"/>
      <c r="G168" s="368"/>
      <c r="H168" s="368"/>
      <c r="I168" s="368"/>
      <c r="J168" s="368"/>
      <c r="K168" s="368"/>
      <c r="L168" s="368"/>
      <c r="M168" s="368"/>
      <c r="N168" s="368"/>
      <c r="O168" s="368"/>
      <c r="P168" s="368"/>
      <c r="Q168" s="368"/>
      <c r="R168" s="368"/>
      <c r="S168" s="368"/>
      <c r="T168" s="368"/>
      <c r="U168" s="368"/>
      <c r="V168" s="368"/>
      <c r="W168" s="26"/>
      <c r="X168" s="26"/>
      <c r="Y168" s="26"/>
      <c r="Z168" s="26"/>
    </row>
    <row r="169">
      <c r="A169" s="368"/>
      <c r="B169" s="368"/>
      <c r="C169" s="368"/>
      <c r="D169" s="368"/>
      <c r="E169" s="368"/>
      <c r="F169" s="368"/>
      <c r="G169" s="368"/>
      <c r="H169" s="368"/>
      <c r="I169" s="368"/>
      <c r="J169" s="368"/>
      <c r="K169" s="368"/>
      <c r="L169" s="368"/>
      <c r="M169" s="368"/>
      <c r="N169" s="368"/>
      <c r="O169" s="368"/>
      <c r="P169" s="368"/>
      <c r="Q169" s="368"/>
      <c r="R169" s="368"/>
      <c r="S169" s="368"/>
      <c r="T169" s="368"/>
      <c r="U169" s="368"/>
      <c r="V169" s="368"/>
      <c r="W169" s="26"/>
      <c r="X169" s="26"/>
      <c r="Y169" s="26"/>
      <c r="Z169" s="26"/>
    </row>
    <row r="170">
      <c r="A170" s="368"/>
      <c r="B170" s="368"/>
      <c r="C170" s="368"/>
      <c r="D170" s="368"/>
      <c r="E170" s="368"/>
      <c r="F170" s="368"/>
      <c r="G170" s="368"/>
      <c r="H170" s="368"/>
      <c r="I170" s="368"/>
      <c r="J170" s="368"/>
      <c r="K170" s="368"/>
      <c r="L170" s="368"/>
      <c r="M170" s="368"/>
      <c r="N170" s="368"/>
      <c r="O170" s="368"/>
      <c r="P170" s="368"/>
      <c r="Q170" s="368"/>
      <c r="R170" s="368"/>
      <c r="S170" s="368"/>
      <c r="T170" s="368"/>
      <c r="U170" s="368"/>
      <c r="V170" s="368"/>
      <c r="W170" s="26"/>
      <c r="X170" s="26"/>
      <c r="Y170" s="26"/>
      <c r="Z170" s="26"/>
    </row>
    <row r="171">
      <c r="A171" s="368"/>
      <c r="B171" s="368"/>
      <c r="C171" s="368"/>
      <c r="D171" s="368"/>
      <c r="E171" s="368"/>
      <c r="F171" s="368"/>
      <c r="G171" s="368"/>
      <c r="H171" s="368"/>
      <c r="I171" s="368"/>
      <c r="J171" s="368"/>
      <c r="K171" s="368"/>
      <c r="L171" s="368"/>
      <c r="M171" s="368"/>
      <c r="N171" s="368"/>
      <c r="O171" s="368"/>
      <c r="P171" s="368"/>
      <c r="Q171" s="368"/>
      <c r="R171" s="368"/>
      <c r="S171" s="368"/>
      <c r="T171" s="368"/>
      <c r="U171" s="368"/>
      <c r="V171" s="368"/>
      <c r="W171" s="26"/>
      <c r="X171" s="26"/>
      <c r="Y171" s="26"/>
      <c r="Z171" s="26"/>
    </row>
    <row r="172">
      <c r="A172" s="368"/>
      <c r="B172" s="368"/>
      <c r="C172" s="368"/>
      <c r="D172" s="368"/>
      <c r="E172" s="368"/>
      <c r="F172" s="368"/>
      <c r="G172" s="368"/>
      <c r="H172" s="368"/>
      <c r="I172" s="368"/>
      <c r="J172" s="368"/>
      <c r="K172" s="368"/>
      <c r="L172" s="368"/>
      <c r="M172" s="368"/>
      <c r="N172" s="368"/>
      <c r="O172" s="368"/>
      <c r="P172" s="368"/>
      <c r="Q172" s="368"/>
      <c r="R172" s="368"/>
      <c r="S172" s="368"/>
      <c r="T172" s="368"/>
      <c r="U172" s="368"/>
      <c r="V172" s="368"/>
      <c r="W172" s="26"/>
      <c r="X172" s="26"/>
      <c r="Y172" s="26"/>
      <c r="Z172" s="26"/>
    </row>
    <row r="173">
      <c r="A173" s="368"/>
      <c r="B173" s="368"/>
      <c r="C173" s="368"/>
      <c r="D173" s="368"/>
      <c r="E173" s="368"/>
      <c r="F173" s="368"/>
      <c r="G173" s="368"/>
      <c r="H173" s="368"/>
      <c r="I173" s="368"/>
      <c r="J173" s="368"/>
      <c r="K173" s="368"/>
      <c r="L173" s="368"/>
      <c r="M173" s="368"/>
      <c r="N173" s="368"/>
      <c r="O173" s="368"/>
      <c r="P173" s="368"/>
      <c r="Q173" s="368"/>
      <c r="R173" s="368"/>
      <c r="S173" s="368"/>
      <c r="T173" s="368"/>
      <c r="U173" s="368"/>
      <c r="V173" s="368"/>
      <c r="W173" s="26"/>
      <c r="X173" s="26"/>
      <c r="Y173" s="26"/>
      <c r="Z173" s="26"/>
    </row>
    <row r="174">
      <c r="A174" s="368"/>
      <c r="B174" s="368"/>
      <c r="C174" s="368"/>
      <c r="D174" s="368"/>
      <c r="E174" s="368"/>
      <c r="F174" s="368"/>
      <c r="G174" s="368"/>
      <c r="H174" s="368"/>
      <c r="I174" s="368"/>
      <c r="J174" s="368"/>
      <c r="K174" s="368"/>
      <c r="L174" s="368"/>
      <c r="M174" s="368"/>
      <c r="N174" s="368"/>
      <c r="O174" s="368"/>
      <c r="P174" s="368"/>
      <c r="Q174" s="368"/>
      <c r="R174" s="368"/>
      <c r="S174" s="368"/>
      <c r="T174" s="368"/>
      <c r="U174" s="368"/>
      <c r="V174" s="368"/>
      <c r="W174" s="26"/>
      <c r="X174" s="26"/>
      <c r="Y174" s="26"/>
      <c r="Z174" s="26"/>
    </row>
    <row r="175">
      <c r="A175" s="368"/>
      <c r="B175" s="368"/>
      <c r="C175" s="368"/>
      <c r="D175" s="368"/>
      <c r="E175" s="368"/>
      <c r="F175" s="368"/>
      <c r="G175" s="368"/>
      <c r="H175" s="368"/>
      <c r="I175" s="368"/>
      <c r="J175" s="368"/>
      <c r="K175" s="368"/>
      <c r="L175" s="368"/>
      <c r="M175" s="368"/>
      <c r="N175" s="368"/>
      <c r="O175" s="368"/>
      <c r="P175" s="368"/>
      <c r="Q175" s="368"/>
      <c r="R175" s="368"/>
      <c r="S175" s="368"/>
      <c r="T175" s="368"/>
      <c r="U175" s="368"/>
      <c r="V175" s="368"/>
      <c r="W175" s="26"/>
      <c r="X175" s="26"/>
      <c r="Y175" s="26"/>
      <c r="Z175" s="26"/>
    </row>
    <row r="176">
      <c r="A176" s="368"/>
      <c r="B176" s="368"/>
      <c r="C176" s="368"/>
      <c r="D176" s="368"/>
      <c r="E176" s="368"/>
      <c r="F176" s="368"/>
      <c r="G176" s="368"/>
      <c r="H176" s="368"/>
      <c r="I176" s="368"/>
      <c r="J176" s="368"/>
      <c r="K176" s="368"/>
      <c r="L176" s="368"/>
      <c r="M176" s="368"/>
      <c r="N176" s="368"/>
      <c r="O176" s="368"/>
      <c r="P176" s="368"/>
      <c r="Q176" s="368"/>
      <c r="R176" s="368"/>
      <c r="S176" s="368"/>
      <c r="T176" s="368"/>
      <c r="U176" s="368"/>
      <c r="V176" s="368"/>
      <c r="W176" s="26"/>
      <c r="X176" s="26"/>
      <c r="Y176" s="26"/>
      <c r="Z176" s="26"/>
    </row>
    <row r="177">
      <c r="A177" s="368"/>
      <c r="B177" s="368"/>
      <c r="C177" s="368"/>
      <c r="D177" s="368"/>
      <c r="E177" s="368"/>
      <c r="F177" s="368"/>
      <c r="G177" s="368"/>
      <c r="H177" s="368"/>
      <c r="I177" s="368"/>
      <c r="J177" s="368"/>
      <c r="K177" s="368"/>
      <c r="L177" s="368"/>
      <c r="M177" s="368"/>
      <c r="N177" s="368"/>
      <c r="O177" s="368"/>
      <c r="P177" s="368"/>
      <c r="Q177" s="368"/>
      <c r="R177" s="368"/>
      <c r="S177" s="368"/>
      <c r="T177" s="368"/>
      <c r="U177" s="368"/>
      <c r="V177" s="368"/>
      <c r="W177" s="26"/>
      <c r="X177" s="26"/>
      <c r="Y177" s="26"/>
      <c r="Z177" s="26"/>
    </row>
    <row r="178">
      <c r="A178" s="368"/>
      <c r="B178" s="368"/>
      <c r="C178" s="368"/>
      <c r="D178" s="368"/>
      <c r="E178" s="368"/>
      <c r="F178" s="368"/>
      <c r="G178" s="368"/>
      <c r="H178" s="368"/>
      <c r="I178" s="368"/>
      <c r="J178" s="368"/>
      <c r="K178" s="368"/>
      <c r="L178" s="368"/>
      <c r="M178" s="368"/>
      <c r="N178" s="368"/>
      <c r="O178" s="368"/>
      <c r="P178" s="368"/>
      <c r="Q178" s="368"/>
      <c r="R178" s="368"/>
      <c r="S178" s="368"/>
      <c r="T178" s="368"/>
      <c r="U178" s="368"/>
      <c r="V178" s="368"/>
      <c r="W178" s="26"/>
      <c r="X178" s="26"/>
      <c r="Y178" s="26"/>
      <c r="Z178" s="26"/>
    </row>
    <row r="179">
      <c r="A179" s="368"/>
      <c r="B179" s="368"/>
      <c r="C179" s="368"/>
      <c r="D179" s="368"/>
      <c r="E179" s="368"/>
      <c r="F179" s="368"/>
      <c r="G179" s="368"/>
      <c r="H179" s="368"/>
      <c r="I179" s="368"/>
      <c r="J179" s="368"/>
      <c r="K179" s="368"/>
      <c r="L179" s="368"/>
      <c r="M179" s="368"/>
      <c r="N179" s="368"/>
      <c r="O179" s="368"/>
      <c r="P179" s="368"/>
      <c r="Q179" s="368"/>
      <c r="R179" s="368"/>
      <c r="S179" s="368"/>
      <c r="T179" s="368"/>
      <c r="U179" s="368"/>
      <c r="V179" s="368"/>
      <c r="W179" s="26"/>
      <c r="X179" s="26"/>
      <c r="Y179" s="26"/>
      <c r="Z179" s="26"/>
    </row>
    <row r="180">
      <c r="A180" s="368"/>
      <c r="B180" s="368"/>
      <c r="C180" s="368"/>
      <c r="D180" s="368"/>
      <c r="E180" s="368"/>
      <c r="F180" s="368"/>
      <c r="G180" s="368"/>
      <c r="H180" s="368"/>
      <c r="I180" s="368"/>
      <c r="J180" s="368"/>
      <c r="K180" s="368"/>
      <c r="L180" s="368"/>
      <c r="M180" s="368"/>
      <c r="N180" s="368"/>
      <c r="O180" s="368"/>
      <c r="P180" s="368"/>
      <c r="Q180" s="368"/>
      <c r="R180" s="368"/>
      <c r="S180" s="368"/>
      <c r="T180" s="368"/>
      <c r="U180" s="368"/>
      <c r="V180" s="368"/>
      <c r="W180" s="26"/>
      <c r="X180" s="26"/>
      <c r="Y180" s="26"/>
      <c r="Z180" s="26"/>
    </row>
    <row r="181">
      <c r="A181" s="368"/>
      <c r="B181" s="368"/>
      <c r="C181" s="368"/>
      <c r="D181" s="368"/>
      <c r="E181" s="368"/>
      <c r="F181" s="368"/>
      <c r="G181" s="368"/>
      <c r="H181" s="368"/>
      <c r="I181" s="368"/>
      <c r="J181" s="368"/>
      <c r="K181" s="368"/>
      <c r="L181" s="368"/>
      <c r="M181" s="368"/>
      <c r="N181" s="368"/>
      <c r="O181" s="368"/>
      <c r="P181" s="368"/>
      <c r="Q181" s="368"/>
      <c r="R181" s="368"/>
      <c r="S181" s="368"/>
      <c r="T181" s="368"/>
      <c r="U181" s="368"/>
      <c r="V181" s="368"/>
      <c r="W181" s="26"/>
      <c r="X181" s="26"/>
      <c r="Y181" s="26"/>
      <c r="Z181" s="26"/>
    </row>
    <row r="182">
      <c r="A182" s="368"/>
      <c r="B182" s="368"/>
      <c r="C182" s="368"/>
      <c r="D182" s="368"/>
      <c r="E182" s="368"/>
      <c r="F182" s="368"/>
      <c r="G182" s="368"/>
      <c r="H182" s="368"/>
      <c r="I182" s="368"/>
      <c r="J182" s="368"/>
      <c r="K182" s="368"/>
      <c r="L182" s="368"/>
      <c r="M182" s="368"/>
      <c r="N182" s="368"/>
      <c r="O182" s="368"/>
      <c r="P182" s="368"/>
      <c r="Q182" s="368"/>
      <c r="R182" s="368"/>
      <c r="S182" s="368"/>
      <c r="T182" s="368"/>
      <c r="U182" s="368"/>
      <c r="V182" s="368"/>
      <c r="W182" s="26"/>
      <c r="X182" s="26"/>
      <c r="Y182" s="26"/>
      <c r="Z182" s="26"/>
    </row>
    <row r="183">
      <c r="A183" s="368"/>
      <c r="B183" s="368"/>
      <c r="C183" s="368"/>
      <c r="D183" s="368"/>
      <c r="E183" s="368"/>
      <c r="F183" s="368"/>
      <c r="G183" s="368"/>
      <c r="H183" s="368"/>
      <c r="I183" s="368"/>
      <c r="J183" s="368"/>
      <c r="K183" s="368"/>
      <c r="L183" s="368"/>
      <c r="M183" s="368"/>
      <c r="N183" s="368"/>
      <c r="O183" s="368"/>
      <c r="P183" s="368"/>
      <c r="Q183" s="368"/>
      <c r="R183" s="368"/>
      <c r="S183" s="368"/>
      <c r="T183" s="368"/>
      <c r="U183" s="368"/>
      <c r="V183" s="368"/>
      <c r="W183" s="26"/>
      <c r="X183" s="26"/>
      <c r="Y183" s="26"/>
      <c r="Z183" s="26"/>
    </row>
    <row r="184">
      <c r="A184" s="368"/>
      <c r="B184" s="368"/>
      <c r="C184" s="368"/>
      <c r="D184" s="368"/>
      <c r="E184" s="368"/>
      <c r="F184" s="368"/>
      <c r="G184" s="368"/>
      <c r="H184" s="368"/>
      <c r="I184" s="368"/>
      <c r="J184" s="368"/>
      <c r="K184" s="368"/>
      <c r="L184" s="368"/>
      <c r="M184" s="368"/>
      <c r="N184" s="368"/>
      <c r="O184" s="368"/>
      <c r="P184" s="368"/>
      <c r="Q184" s="368"/>
      <c r="R184" s="368"/>
      <c r="S184" s="368"/>
      <c r="T184" s="368"/>
      <c r="U184" s="368"/>
      <c r="V184" s="368"/>
      <c r="W184" s="26"/>
      <c r="X184" s="26"/>
      <c r="Y184" s="26"/>
      <c r="Z184" s="26"/>
    </row>
    <row r="185">
      <c r="A185" s="368"/>
      <c r="B185" s="368"/>
      <c r="C185" s="368"/>
      <c r="D185" s="368"/>
      <c r="E185" s="368"/>
      <c r="F185" s="368"/>
      <c r="G185" s="368"/>
      <c r="H185" s="368"/>
      <c r="I185" s="368"/>
      <c r="J185" s="368"/>
      <c r="K185" s="368"/>
      <c r="L185" s="368"/>
      <c r="M185" s="368"/>
      <c r="N185" s="368"/>
      <c r="O185" s="368"/>
      <c r="P185" s="368"/>
      <c r="Q185" s="368"/>
      <c r="R185" s="368"/>
      <c r="S185" s="368"/>
      <c r="T185" s="368"/>
      <c r="U185" s="368"/>
      <c r="V185" s="368"/>
      <c r="W185" s="26"/>
      <c r="X185" s="26"/>
      <c r="Y185" s="26"/>
      <c r="Z185" s="26"/>
    </row>
    <row r="186">
      <c r="A186" s="368"/>
      <c r="B186" s="368"/>
      <c r="C186" s="368"/>
      <c r="D186" s="368"/>
      <c r="E186" s="368"/>
      <c r="F186" s="368"/>
      <c r="G186" s="368"/>
      <c r="H186" s="368"/>
      <c r="I186" s="368"/>
      <c r="J186" s="368"/>
      <c r="K186" s="368"/>
      <c r="L186" s="368"/>
      <c r="M186" s="368"/>
      <c r="N186" s="368"/>
      <c r="O186" s="368"/>
      <c r="P186" s="368"/>
      <c r="Q186" s="368"/>
      <c r="R186" s="368"/>
      <c r="S186" s="368"/>
      <c r="T186" s="368"/>
      <c r="U186" s="368"/>
      <c r="V186" s="368"/>
      <c r="W186" s="26"/>
      <c r="X186" s="26"/>
      <c r="Y186" s="26"/>
      <c r="Z186" s="26"/>
    </row>
    <row r="187">
      <c r="A187" s="368"/>
      <c r="B187" s="368"/>
      <c r="C187" s="368"/>
      <c r="D187" s="368"/>
      <c r="E187" s="368"/>
      <c r="F187" s="368"/>
      <c r="G187" s="368"/>
      <c r="H187" s="368"/>
      <c r="I187" s="368"/>
      <c r="J187" s="368"/>
      <c r="K187" s="368"/>
      <c r="L187" s="368"/>
      <c r="M187" s="368"/>
      <c r="N187" s="368"/>
      <c r="O187" s="368"/>
      <c r="P187" s="368"/>
      <c r="Q187" s="368"/>
      <c r="R187" s="368"/>
      <c r="S187" s="368"/>
      <c r="T187" s="368"/>
      <c r="U187" s="368"/>
      <c r="V187" s="368"/>
      <c r="W187" s="26"/>
      <c r="X187" s="26"/>
      <c r="Y187" s="26"/>
      <c r="Z187" s="26"/>
    </row>
    <row r="188">
      <c r="A188" s="368"/>
      <c r="B188" s="368"/>
      <c r="C188" s="368"/>
      <c r="D188" s="368"/>
      <c r="E188" s="368"/>
      <c r="F188" s="368"/>
      <c r="G188" s="368"/>
      <c r="H188" s="368"/>
      <c r="I188" s="368"/>
      <c r="J188" s="368"/>
      <c r="K188" s="368"/>
      <c r="L188" s="368"/>
      <c r="M188" s="368"/>
      <c r="N188" s="368"/>
      <c r="O188" s="368"/>
      <c r="P188" s="368"/>
      <c r="Q188" s="368"/>
      <c r="R188" s="368"/>
      <c r="S188" s="368"/>
      <c r="T188" s="368"/>
      <c r="U188" s="368"/>
      <c r="V188" s="368"/>
      <c r="W188" s="26"/>
      <c r="X188" s="26"/>
      <c r="Y188" s="26"/>
      <c r="Z188" s="26"/>
    </row>
    <row r="189">
      <c r="A189" s="368"/>
      <c r="B189" s="368"/>
      <c r="C189" s="368"/>
      <c r="D189" s="368"/>
      <c r="E189" s="368"/>
      <c r="F189" s="368"/>
      <c r="G189" s="368"/>
      <c r="H189" s="368"/>
      <c r="I189" s="368"/>
      <c r="J189" s="368"/>
      <c r="K189" s="368"/>
      <c r="L189" s="368"/>
      <c r="M189" s="368"/>
      <c r="N189" s="368"/>
      <c r="O189" s="368"/>
      <c r="P189" s="368"/>
      <c r="Q189" s="368"/>
      <c r="R189" s="368"/>
      <c r="S189" s="368"/>
      <c r="T189" s="368"/>
      <c r="U189" s="368"/>
      <c r="V189" s="368"/>
      <c r="W189" s="26"/>
      <c r="X189" s="26"/>
      <c r="Y189" s="26"/>
      <c r="Z189" s="26"/>
    </row>
    <row r="190">
      <c r="A190" s="368"/>
      <c r="B190" s="368"/>
      <c r="C190" s="368"/>
      <c r="D190" s="368"/>
      <c r="E190" s="368"/>
      <c r="F190" s="368"/>
      <c r="G190" s="368"/>
      <c r="H190" s="368"/>
      <c r="I190" s="368"/>
      <c r="J190" s="368"/>
      <c r="K190" s="368"/>
      <c r="L190" s="368"/>
      <c r="M190" s="368"/>
      <c r="N190" s="368"/>
      <c r="O190" s="368"/>
      <c r="P190" s="368"/>
      <c r="Q190" s="368"/>
      <c r="R190" s="368"/>
      <c r="S190" s="368"/>
      <c r="T190" s="368"/>
      <c r="U190" s="368"/>
      <c r="V190" s="368"/>
      <c r="W190" s="26"/>
      <c r="X190" s="26"/>
      <c r="Y190" s="26"/>
      <c r="Z190" s="26"/>
    </row>
    <row r="191">
      <c r="A191" s="368"/>
      <c r="B191" s="368"/>
      <c r="C191" s="368"/>
      <c r="D191" s="368"/>
      <c r="E191" s="368"/>
      <c r="F191" s="368"/>
      <c r="G191" s="368"/>
      <c r="H191" s="368"/>
      <c r="I191" s="368"/>
      <c r="J191" s="368"/>
      <c r="K191" s="368"/>
      <c r="L191" s="368"/>
      <c r="M191" s="368"/>
      <c r="N191" s="368"/>
      <c r="O191" s="368"/>
      <c r="P191" s="368"/>
      <c r="Q191" s="368"/>
      <c r="R191" s="368"/>
      <c r="S191" s="368"/>
      <c r="T191" s="368"/>
      <c r="U191" s="368"/>
      <c r="V191" s="368"/>
      <c r="W191" s="26"/>
      <c r="X191" s="26"/>
      <c r="Y191" s="26"/>
      <c r="Z191" s="26"/>
    </row>
    <row r="192">
      <c r="A192" s="368"/>
      <c r="B192" s="368"/>
      <c r="C192" s="368"/>
      <c r="D192" s="368"/>
      <c r="E192" s="368"/>
      <c r="F192" s="368"/>
      <c r="G192" s="368"/>
      <c r="H192" s="368"/>
      <c r="I192" s="368"/>
      <c r="J192" s="368"/>
      <c r="K192" s="368"/>
      <c r="L192" s="368"/>
      <c r="M192" s="368"/>
      <c r="N192" s="368"/>
      <c r="O192" s="368"/>
      <c r="P192" s="368"/>
      <c r="Q192" s="368"/>
      <c r="R192" s="368"/>
      <c r="S192" s="368"/>
      <c r="T192" s="368"/>
      <c r="U192" s="368"/>
      <c r="V192" s="368"/>
      <c r="W192" s="26"/>
      <c r="X192" s="26"/>
      <c r="Y192" s="26"/>
      <c r="Z192" s="26"/>
    </row>
    <row r="193">
      <c r="A193" s="368"/>
      <c r="B193" s="368"/>
      <c r="C193" s="368"/>
      <c r="D193" s="368"/>
      <c r="E193" s="368"/>
      <c r="F193" s="368"/>
      <c r="G193" s="368"/>
      <c r="H193" s="368"/>
      <c r="I193" s="368"/>
      <c r="J193" s="368"/>
      <c r="K193" s="368"/>
      <c r="L193" s="368"/>
      <c r="M193" s="368"/>
      <c r="N193" s="368"/>
      <c r="O193" s="368"/>
      <c r="P193" s="368"/>
      <c r="Q193" s="368"/>
      <c r="R193" s="368"/>
      <c r="S193" s="368"/>
      <c r="T193" s="368"/>
      <c r="U193" s="368"/>
      <c r="V193" s="368"/>
      <c r="W193" s="26"/>
      <c r="X193" s="26"/>
      <c r="Y193" s="26"/>
      <c r="Z193" s="26"/>
    </row>
    <row r="194">
      <c r="A194" s="368"/>
      <c r="B194" s="368"/>
      <c r="C194" s="368"/>
      <c r="D194" s="368"/>
      <c r="E194" s="368"/>
      <c r="F194" s="368"/>
      <c r="G194" s="368"/>
      <c r="H194" s="368"/>
      <c r="I194" s="368"/>
      <c r="J194" s="368"/>
      <c r="K194" s="368"/>
      <c r="L194" s="368"/>
      <c r="M194" s="368"/>
      <c r="N194" s="368"/>
      <c r="O194" s="368"/>
      <c r="P194" s="368"/>
      <c r="Q194" s="368"/>
      <c r="R194" s="368"/>
      <c r="S194" s="368"/>
      <c r="T194" s="368"/>
      <c r="U194" s="368"/>
      <c r="V194" s="368"/>
      <c r="W194" s="26"/>
      <c r="X194" s="26"/>
      <c r="Y194" s="26"/>
      <c r="Z194" s="26"/>
    </row>
    <row r="195">
      <c r="A195" s="368"/>
      <c r="B195" s="368"/>
      <c r="C195" s="368"/>
      <c r="D195" s="368"/>
      <c r="E195" s="368"/>
      <c r="F195" s="368"/>
      <c r="G195" s="368"/>
      <c r="H195" s="368"/>
      <c r="I195" s="368"/>
      <c r="J195" s="368"/>
      <c r="K195" s="368"/>
      <c r="L195" s="368"/>
      <c r="M195" s="368"/>
      <c r="N195" s="368"/>
      <c r="O195" s="368"/>
      <c r="P195" s="368"/>
      <c r="Q195" s="368"/>
      <c r="R195" s="368"/>
      <c r="S195" s="368"/>
      <c r="T195" s="368"/>
      <c r="U195" s="368"/>
      <c r="V195" s="368"/>
      <c r="W195" s="26"/>
      <c r="X195" s="26"/>
      <c r="Y195" s="26"/>
      <c r="Z195" s="26"/>
    </row>
    <row r="196">
      <c r="A196" s="368"/>
      <c r="B196" s="368"/>
      <c r="C196" s="368"/>
      <c r="D196" s="368"/>
      <c r="E196" s="368"/>
      <c r="F196" s="368"/>
      <c r="G196" s="368"/>
      <c r="H196" s="368"/>
      <c r="I196" s="368"/>
      <c r="J196" s="368"/>
      <c r="K196" s="368"/>
      <c r="L196" s="368"/>
      <c r="M196" s="368"/>
      <c r="N196" s="368"/>
      <c r="O196" s="368"/>
      <c r="P196" s="368"/>
      <c r="Q196" s="368"/>
      <c r="R196" s="368"/>
      <c r="S196" s="368"/>
      <c r="T196" s="368"/>
      <c r="U196" s="368"/>
      <c r="V196" s="368"/>
      <c r="W196" s="26"/>
      <c r="X196" s="26"/>
      <c r="Y196" s="26"/>
      <c r="Z196" s="26"/>
    </row>
    <row r="197">
      <c r="A197" s="368"/>
      <c r="B197" s="368"/>
      <c r="C197" s="368"/>
      <c r="D197" s="368"/>
      <c r="E197" s="368"/>
      <c r="F197" s="368"/>
      <c r="G197" s="368"/>
      <c r="H197" s="368"/>
      <c r="I197" s="368"/>
      <c r="J197" s="368"/>
      <c r="K197" s="368"/>
      <c r="L197" s="368"/>
      <c r="M197" s="368"/>
      <c r="N197" s="368"/>
      <c r="O197" s="368"/>
      <c r="P197" s="368"/>
      <c r="Q197" s="368"/>
      <c r="R197" s="368"/>
      <c r="S197" s="368"/>
      <c r="T197" s="368"/>
      <c r="U197" s="368"/>
      <c r="V197" s="368"/>
      <c r="W197" s="26"/>
      <c r="X197" s="26"/>
      <c r="Y197" s="26"/>
      <c r="Z197" s="26"/>
    </row>
    <row r="198">
      <c r="A198" s="368"/>
      <c r="B198" s="368"/>
      <c r="C198" s="368"/>
      <c r="D198" s="368"/>
      <c r="E198" s="368"/>
      <c r="F198" s="368"/>
      <c r="G198" s="368"/>
      <c r="H198" s="368"/>
      <c r="I198" s="368"/>
      <c r="J198" s="368"/>
      <c r="K198" s="368"/>
      <c r="L198" s="368"/>
      <c r="M198" s="368"/>
      <c r="N198" s="368"/>
      <c r="O198" s="368"/>
      <c r="P198" s="368"/>
      <c r="Q198" s="368"/>
      <c r="R198" s="368"/>
      <c r="S198" s="368"/>
      <c r="T198" s="368"/>
      <c r="U198" s="368"/>
      <c r="V198" s="368"/>
      <c r="W198" s="26"/>
      <c r="X198" s="26"/>
      <c r="Y198" s="26"/>
      <c r="Z198" s="26"/>
    </row>
    <row r="199">
      <c r="A199" s="368"/>
      <c r="B199" s="368"/>
      <c r="C199" s="368"/>
      <c r="D199" s="368"/>
      <c r="E199" s="368"/>
      <c r="F199" s="368"/>
      <c r="G199" s="368"/>
      <c r="H199" s="368"/>
      <c r="I199" s="368"/>
      <c r="J199" s="368"/>
      <c r="K199" s="368"/>
      <c r="L199" s="368"/>
      <c r="M199" s="368"/>
      <c r="N199" s="368"/>
      <c r="O199" s="368"/>
      <c r="P199" s="368"/>
      <c r="Q199" s="368"/>
      <c r="R199" s="368"/>
      <c r="S199" s="368"/>
      <c r="T199" s="368"/>
      <c r="U199" s="368"/>
      <c r="V199" s="368"/>
      <c r="W199" s="26"/>
      <c r="X199" s="26"/>
      <c r="Y199" s="26"/>
      <c r="Z199" s="26"/>
    </row>
    <row r="200">
      <c r="A200" s="368"/>
      <c r="B200" s="368"/>
      <c r="C200" s="368"/>
      <c r="D200" s="368"/>
      <c r="E200" s="368"/>
      <c r="F200" s="368"/>
      <c r="G200" s="368"/>
      <c r="H200" s="368"/>
      <c r="I200" s="368"/>
      <c r="J200" s="368"/>
      <c r="K200" s="368"/>
      <c r="L200" s="368"/>
      <c r="M200" s="368"/>
      <c r="N200" s="368"/>
      <c r="O200" s="368"/>
      <c r="P200" s="368"/>
      <c r="Q200" s="368"/>
      <c r="R200" s="368"/>
      <c r="S200" s="368"/>
      <c r="T200" s="368"/>
      <c r="U200" s="368"/>
      <c r="V200" s="368"/>
      <c r="W200" s="26"/>
      <c r="X200" s="26"/>
      <c r="Y200" s="26"/>
      <c r="Z200" s="26"/>
    </row>
    <row r="201">
      <c r="A201" s="368"/>
      <c r="B201" s="368"/>
      <c r="C201" s="368"/>
      <c r="D201" s="368"/>
      <c r="E201" s="368"/>
      <c r="F201" s="368"/>
      <c r="G201" s="368"/>
      <c r="H201" s="368"/>
      <c r="I201" s="368"/>
      <c r="J201" s="368"/>
      <c r="K201" s="368"/>
      <c r="L201" s="368"/>
      <c r="M201" s="368"/>
      <c r="N201" s="368"/>
      <c r="O201" s="368"/>
      <c r="P201" s="368"/>
      <c r="Q201" s="368"/>
      <c r="R201" s="368"/>
      <c r="S201" s="368"/>
      <c r="T201" s="368"/>
      <c r="U201" s="368"/>
      <c r="V201" s="368"/>
      <c r="W201" s="26"/>
      <c r="X201" s="26"/>
      <c r="Y201" s="26"/>
      <c r="Z201" s="26"/>
    </row>
    <row r="202">
      <c r="A202" s="368"/>
      <c r="B202" s="368"/>
      <c r="C202" s="368"/>
      <c r="D202" s="368"/>
      <c r="E202" s="368"/>
      <c r="F202" s="368"/>
      <c r="G202" s="368"/>
      <c r="H202" s="368"/>
      <c r="I202" s="368"/>
      <c r="J202" s="368"/>
      <c r="K202" s="368"/>
      <c r="L202" s="368"/>
      <c r="M202" s="368"/>
      <c r="N202" s="368"/>
      <c r="O202" s="368"/>
      <c r="P202" s="368"/>
      <c r="Q202" s="368"/>
      <c r="R202" s="368"/>
      <c r="S202" s="368"/>
      <c r="T202" s="368"/>
      <c r="U202" s="368"/>
      <c r="V202" s="368"/>
      <c r="W202" s="26"/>
      <c r="X202" s="26"/>
      <c r="Y202" s="26"/>
      <c r="Z202" s="26"/>
    </row>
    <row r="203">
      <c r="A203" s="368"/>
      <c r="B203" s="368"/>
      <c r="C203" s="368"/>
      <c r="D203" s="368"/>
      <c r="E203" s="368"/>
      <c r="F203" s="368"/>
      <c r="G203" s="368"/>
      <c r="H203" s="368"/>
      <c r="I203" s="368"/>
      <c r="J203" s="368"/>
      <c r="K203" s="368"/>
      <c r="L203" s="368"/>
      <c r="M203" s="368"/>
      <c r="N203" s="368"/>
      <c r="O203" s="368"/>
      <c r="P203" s="368"/>
      <c r="Q203" s="368"/>
      <c r="R203" s="368"/>
      <c r="S203" s="368"/>
      <c r="T203" s="368"/>
      <c r="U203" s="368"/>
      <c r="V203" s="368"/>
      <c r="W203" s="26"/>
      <c r="X203" s="26"/>
      <c r="Y203" s="26"/>
      <c r="Z203" s="26"/>
    </row>
    <row r="204">
      <c r="A204" s="368"/>
      <c r="B204" s="368"/>
      <c r="C204" s="368"/>
      <c r="D204" s="368"/>
      <c r="E204" s="368"/>
      <c r="F204" s="368"/>
      <c r="G204" s="368"/>
      <c r="H204" s="368"/>
      <c r="I204" s="368"/>
      <c r="J204" s="368"/>
      <c r="K204" s="368"/>
      <c r="L204" s="368"/>
      <c r="M204" s="368"/>
      <c r="N204" s="368"/>
      <c r="O204" s="368"/>
      <c r="P204" s="368"/>
      <c r="Q204" s="368"/>
      <c r="R204" s="368"/>
      <c r="S204" s="368"/>
      <c r="T204" s="368"/>
      <c r="U204" s="368"/>
      <c r="V204" s="368"/>
      <c r="W204" s="26"/>
      <c r="X204" s="26"/>
      <c r="Y204" s="26"/>
      <c r="Z204" s="26"/>
    </row>
    <row r="205">
      <c r="A205" s="368"/>
      <c r="B205" s="368"/>
      <c r="C205" s="368"/>
      <c r="D205" s="368"/>
      <c r="E205" s="368"/>
      <c r="F205" s="368"/>
      <c r="G205" s="368"/>
      <c r="H205" s="368"/>
      <c r="I205" s="368"/>
      <c r="J205" s="368"/>
      <c r="K205" s="368"/>
      <c r="L205" s="368"/>
      <c r="M205" s="368"/>
      <c r="N205" s="368"/>
      <c r="O205" s="368"/>
      <c r="P205" s="368"/>
      <c r="Q205" s="368"/>
      <c r="R205" s="368"/>
      <c r="S205" s="368"/>
      <c r="T205" s="368"/>
      <c r="U205" s="368"/>
      <c r="V205" s="368"/>
      <c r="W205" s="26"/>
      <c r="X205" s="26"/>
      <c r="Y205" s="26"/>
      <c r="Z205" s="26"/>
    </row>
    <row r="206">
      <c r="A206" s="368"/>
      <c r="B206" s="368"/>
      <c r="C206" s="368"/>
      <c r="D206" s="368"/>
      <c r="E206" s="368"/>
      <c r="F206" s="368"/>
      <c r="G206" s="368"/>
      <c r="H206" s="368"/>
      <c r="I206" s="368"/>
      <c r="J206" s="368"/>
      <c r="K206" s="368"/>
      <c r="L206" s="368"/>
      <c r="M206" s="368"/>
      <c r="N206" s="368"/>
      <c r="O206" s="368"/>
      <c r="P206" s="368"/>
      <c r="Q206" s="368"/>
      <c r="R206" s="368"/>
      <c r="S206" s="368"/>
      <c r="T206" s="368"/>
      <c r="U206" s="368"/>
      <c r="V206" s="368"/>
      <c r="W206" s="26"/>
      <c r="X206" s="26"/>
      <c r="Y206" s="26"/>
      <c r="Z206" s="26"/>
    </row>
    <row r="207">
      <c r="A207" s="368"/>
      <c r="B207" s="368"/>
      <c r="C207" s="368"/>
      <c r="D207" s="368"/>
      <c r="E207" s="368"/>
      <c r="F207" s="368"/>
      <c r="G207" s="368"/>
      <c r="H207" s="368"/>
      <c r="I207" s="368"/>
      <c r="J207" s="368"/>
      <c r="K207" s="368"/>
      <c r="L207" s="368"/>
      <c r="M207" s="368"/>
      <c r="N207" s="368"/>
      <c r="O207" s="368"/>
      <c r="P207" s="368"/>
      <c r="Q207" s="368"/>
      <c r="R207" s="368"/>
      <c r="S207" s="368"/>
      <c r="T207" s="368"/>
      <c r="U207" s="368"/>
      <c r="V207" s="368"/>
      <c r="W207" s="26"/>
      <c r="X207" s="26"/>
      <c r="Y207" s="26"/>
      <c r="Z207" s="26"/>
    </row>
    <row r="208">
      <c r="A208" s="368"/>
      <c r="B208" s="368"/>
      <c r="C208" s="368"/>
      <c r="D208" s="368"/>
      <c r="E208" s="368"/>
      <c r="F208" s="368"/>
      <c r="G208" s="368"/>
      <c r="H208" s="368"/>
      <c r="I208" s="368"/>
      <c r="J208" s="368"/>
      <c r="K208" s="368"/>
      <c r="L208" s="368"/>
      <c r="M208" s="368"/>
      <c r="N208" s="368"/>
      <c r="O208" s="368"/>
      <c r="P208" s="368"/>
      <c r="Q208" s="368"/>
      <c r="R208" s="368"/>
      <c r="S208" s="368"/>
      <c r="T208" s="368"/>
      <c r="U208" s="368"/>
      <c r="V208" s="368"/>
      <c r="W208" s="26"/>
      <c r="X208" s="26"/>
      <c r="Y208" s="26"/>
      <c r="Z208" s="26"/>
    </row>
    <row r="209">
      <c r="A209" s="368"/>
      <c r="B209" s="368"/>
      <c r="C209" s="368"/>
      <c r="D209" s="368"/>
      <c r="E209" s="368"/>
      <c r="F209" s="368"/>
      <c r="G209" s="368"/>
      <c r="H209" s="368"/>
      <c r="I209" s="368"/>
      <c r="J209" s="368"/>
      <c r="K209" s="368"/>
      <c r="L209" s="368"/>
      <c r="M209" s="368"/>
      <c r="N209" s="368"/>
      <c r="O209" s="368"/>
      <c r="P209" s="368"/>
      <c r="Q209" s="368"/>
      <c r="R209" s="368"/>
      <c r="S209" s="368"/>
      <c r="T209" s="368"/>
      <c r="U209" s="368"/>
      <c r="V209" s="368"/>
      <c r="W209" s="26"/>
      <c r="X209" s="26"/>
      <c r="Y209" s="26"/>
      <c r="Z209" s="26"/>
    </row>
    <row r="210">
      <c r="A210" s="368"/>
      <c r="B210" s="368"/>
      <c r="C210" s="368"/>
      <c r="D210" s="368"/>
      <c r="E210" s="368"/>
      <c r="F210" s="368"/>
      <c r="G210" s="368"/>
      <c r="H210" s="368"/>
      <c r="I210" s="368"/>
      <c r="J210" s="368"/>
      <c r="K210" s="368"/>
      <c r="L210" s="368"/>
      <c r="M210" s="368"/>
      <c r="N210" s="368"/>
      <c r="O210" s="368"/>
      <c r="P210" s="368"/>
      <c r="Q210" s="368"/>
      <c r="R210" s="368"/>
      <c r="S210" s="368"/>
      <c r="T210" s="368"/>
      <c r="U210" s="368"/>
      <c r="V210" s="368"/>
      <c r="W210" s="26"/>
      <c r="X210" s="26"/>
      <c r="Y210" s="26"/>
      <c r="Z210" s="26"/>
    </row>
    <row r="211">
      <c r="A211" s="368"/>
      <c r="B211" s="368"/>
      <c r="C211" s="368"/>
      <c r="D211" s="368"/>
      <c r="E211" s="368"/>
      <c r="F211" s="368"/>
      <c r="G211" s="368"/>
      <c r="H211" s="368"/>
      <c r="I211" s="368"/>
      <c r="J211" s="368"/>
      <c r="K211" s="368"/>
      <c r="L211" s="368"/>
      <c r="M211" s="368"/>
      <c r="N211" s="368"/>
      <c r="O211" s="368"/>
      <c r="P211" s="368"/>
      <c r="Q211" s="368"/>
      <c r="R211" s="368"/>
      <c r="S211" s="368"/>
      <c r="T211" s="368"/>
      <c r="U211" s="368"/>
      <c r="V211" s="368"/>
      <c r="W211" s="26"/>
      <c r="X211" s="26"/>
      <c r="Y211" s="26"/>
      <c r="Z211" s="26"/>
    </row>
    <row r="212">
      <c r="A212" s="368"/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26"/>
      <c r="X212" s="26"/>
      <c r="Y212" s="26"/>
      <c r="Z212" s="26"/>
    </row>
    <row r="213">
      <c r="A213" s="368"/>
      <c r="B213" s="368"/>
      <c r="C213" s="368"/>
      <c r="D213" s="368"/>
      <c r="E213" s="368"/>
      <c r="F213" s="368"/>
      <c r="G213" s="368"/>
      <c r="H213" s="368"/>
      <c r="I213" s="368"/>
      <c r="J213" s="368"/>
      <c r="K213" s="368"/>
      <c r="L213" s="368"/>
      <c r="M213" s="368"/>
      <c r="N213" s="368"/>
      <c r="O213" s="368"/>
      <c r="P213" s="368"/>
      <c r="Q213" s="368"/>
      <c r="R213" s="368"/>
      <c r="S213" s="368"/>
      <c r="T213" s="368"/>
      <c r="U213" s="368"/>
      <c r="V213" s="368"/>
      <c r="W213" s="26"/>
      <c r="X213" s="26"/>
      <c r="Y213" s="26"/>
      <c r="Z213" s="26"/>
    </row>
    <row r="214">
      <c r="A214" s="368"/>
      <c r="B214" s="368"/>
      <c r="C214" s="368"/>
      <c r="D214" s="368"/>
      <c r="E214" s="368"/>
      <c r="F214" s="368"/>
      <c r="G214" s="368"/>
      <c r="H214" s="368"/>
      <c r="I214" s="368"/>
      <c r="J214" s="368"/>
      <c r="K214" s="368"/>
      <c r="L214" s="368"/>
      <c r="M214" s="368"/>
      <c r="N214" s="368"/>
      <c r="O214" s="368"/>
      <c r="P214" s="368"/>
      <c r="Q214" s="368"/>
      <c r="R214" s="368"/>
      <c r="S214" s="368"/>
      <c r="T214" s="368"/>
      <c r="U214" s="368"/>
      <c r="V214" s="368"/>
      <c r="W214" s="26"/>
      <c r="X214" s="26"/>
      <c r="Y214" s="26"/>
      <c r="Z214" s="26"/>
    </row>
    <row r="215">
      <c r="A215" s="368"/>
      <c r="B215" s="368"/>
      <c r="C215" s="368"/>
      <c r="D215" s="368"/>
      <c r="E215" s="368"/>
      <c r="F215" s="368"/>
      <c r="G215" s="368"/>
      <c r="H215" s="368"/>
      <c r="I215" s="368"/>
      <c r="J215" s="368"/>
      <c r="K215" s="368"/>
      <c r="L215" s="368"/>
      <c r="M215" s="368"/>
      <c r="N215" s="368"/>
      <c r="O215" s="368"/>
      <c r="P215" s="368"/>
      <c r="Q215" s="368"/>
      <c r="R215" s="368"/>
      <c r="S215" s="368"/>
      <c r="T215" s="368"/>
      <c r="U215" s="368"/>
      <c r="V215" s="368"/>
      <c r="W215" s="26"/>
      <c r="X215" s="26"/>
      <c r="Y215" s="26"/>
      <c r="Z215" s="26"/>
    </row>
    <row r="216">
      <c r="A216" s="368"/>
      <c r="B216" s="368"/>
      <c r="C216" s="368"/>
      <c r="D216" s="368"/>
      <c r="E216" s="368"/>
      <c r="F216" s="368"/>
      <c r="G216" s="368"/>
      <c r="H216" s="368"/>
      <c r="I216" s="368"/>
      <c r="J216" s="368"/>
      <c r="K216" s="368"/>
      <c r="L216" s="368"/>
      <c r="M216" s="368"/>
      <c r="N216" s="368"/>
      <c r="O216" s="368"/>
      <c r="P216" s="368"/>
      <c r="Q216" s="368"/>
      <c r="R216" s="368"/>
      <c r="S216" s="368"/>
      <c r="T216" s="368"/>
      <c r="U216" s="368"/>
      <c r="V216" s="368"/>
      <c r="W216" s="26"/>
      <c r="X216" s="26"/>
      <c r="Y216" s="26"/>
      <c r="Z216" s="26"/>
    </row>
    <row r="217">
      <c r="A217" s="368"/>
      <c r="B217" s="368"/>
      <c r="C217" s="368"/>
      <c r="D217" s="368"/>
      <c r="E217" s="368"/>
      <c r="F217" s="368"/>
      <c r="G217" s="368"/>
      <c r="H217" s="368"/>
      <c r="I217" s="368"/>
      <c r="J217" s="368"/>
      <c r="K217" s="368"/>
      <c r="L217" s="368"/>
      <c r="M217" s="368"/>
      <c r="N217" s="368"/>
      <c r="O217" s="368"/>
      <c r="P217" s="368"/>
      <c r="Q217" s="368"/>
      <c r="R217" s="368"/>
      <c r="S217" s="368"/>
      <c r="T217" s="368"/>
      <c r="U217" s="368"/>
      <c r="V217" s="368"/>
      <c r="W217" s="26"/>
      <c r="X217" s="26"/>
      <c r="Y217" s="26"/>
      <c r="Z217" s="26"/>
    </row>
    <row r="218">
      <c r="A218" s="368"/>
      <c r="B218" s="368"/>
      <c r="C218" s="368"/>
      <c r="D218" s="368"/>
      <c r="E218" s="368"/>
      <c r="F218" s="368"/>
      <c r="G218" s="368"/>
      <c r="H218" s="368"/>
      <c r="I218" s="368"/>
      <c r="J218" s="368"/>
      <c r="K218" s="368"/>
      <c r="L218" s="368"/>
      <c r="M218" s="368"/>
      <c r="N218" s="368"/>
      <c r="O218" s="368"/>
      <c r="P218" s="368"/>
      <c r="Q218" s="368"/>
      <c r="R218" s="368"/>
      <c r="S218" s="368"/>
      <c r="T218" s="368"/>
      <c r="U218" s="368"/>
      <c r="V218" s="368"/>
      <c r="W218" s="26"/>
      <c r="X218" s="26"/>
      <c r="Y218" s="26"/>
      <c r="Z218" s="26"/>
    </row>
    <row r="219">
      <c r="A219" s="368"/>
      <c r="B219" s="368"/>
      <c r="C219" s="368"/>
      <c r="D219" s="368"/>
      <c r="E219" s="368"/>
      <c r="F219" s="368"/>
      <c r="G219" s="368"/>
      <c r="H219" s="368"/>
      <c r="I219" s="368"/>
      <c r="J219" s="368"/>
      <c r="K219" s="368"/>
      <c r="L219" s="368"/>
      <c r="M219" s="368"/>
      <c r="N219" s="368"/>
      <c r="O219" s="368"/>
      <c r="P219" s="368"/>
      <c r="Q219" s="368"/>
      <c r="R219" s="368"/>
      <c r="S219" s="368"/>
      <c r="T219" s="368"/>
      <c r="U219" s="368"/>
      <c r="V219" s="368"/>
      <c r="W219" s="26"/>
      <c r="X219" s="26"/>
      <c r="Y219" s="26"/>
      <c r="Z219" s="26"/>
    </row>
    <row r="220">
      <c r="A220" s="368"/>
      <c r="B220" s="368"/>
      <c r="C220" s="368"/>
      <c r="D220" s="368"/>
      <c r="E220" s="368"/>
      <c r="F220" s="368"/>
      <c r="G220" s="368"/>
      <c r="H220" s="368"/>
      <c r="I220" s="368"/>
      <c r="J220" s="368"/>
      <c r="K220" s="368"/>
      <c r="L220" s="368"/>
      <c r="M220" s="368"/>
      <c r="N220" s="368"/>
      <c r="O220" s="368"/>
      <c r="P220" s="368"/>
      <c r="Q220" s="368"/>
      <c r="R220" s="368"/>
      <c r="S220" s="368"/>
      <c r="T220" s="368"/>
      <c r="U220" s="368"/>
      <c r="V220" s="368"/>
      <c r="W220" s="26"/>
      <c r="X220" s="26"/>
      <c r="Y220" s="26"/>
      <c r="Z220" s="26"/>
    </row>
    <row r="221">
      <c r="A221" s="368"/>
      <c r="B221" s="368"/>
      <c r="C221" s="368"/>
      <c r="D221" s="368"/>
      <c r="E221" s="368"/>
      <c r="F221" s="368"/>
      <c r="G221" s="368"/>
      <c r="H221" s="368"/>
      <c r="I221" s="368"/>
      <c r="J221" s="368"/>
      <c r="K221" s="368"/>
      <c r="L221" s="368"/>
      <c r="M221" s="368"/>
      <c r="N221" s="368"/>
      <c r="O221" s="368"/>
      <c r="P221" s="368"/>
      <c r="Q221" s="368"/>
      <c r="R221" s="368"/>
      <c r="S221" s="368"/>
      <c r="T221" s="368"/>
      <c r="U221" s="368"/>
      <c r="V221" s="368"/>
      <c r="W221" s="26"/>
      <c r="X221" s="26"/>
      <c r="Y221" s="26"/>
      <c r="Z221" s="26"/>
    </row>
    <row r="222">
      <c r="A222" s="368"/>
      <c r="B222" s="368"/>
      <c r="C222" s="368"/>
      <c r="D222" s="368"/>
      <c r="E222" s="368"/>
      <c r="F222" s="368"/>
      <c r="G222" s="368"/>
      <c r="H222" s="368"/>
      <c r="I222" s="368"/>
      <c r="J222" s="368"/>
      <c r="K222" s="368"/>
      <c r="L222" s="368"/>
      <c r="M222" s="368"/>
      <c r="N222" s="368"/>
      <c r="O222" s="368"/>
      <c r="P222" s="368"/>
      <c r="Q222" s="368"/>
      <c r="R222" s="368"/>
      <c r="S222" s="368"/>
      <c r="T222" s="368"/>
      <c r="U222" s="368"/>
      <c r="V222" s="368"/>
      <c r="W222" s="26"/>
      <c r="X222" s="26"/>
      <c r="Y222" s="26"/>
      <c r="Z222" s="26"/>
    </row>
    <row r="223">
      <c r="A223" s="368"/>
      <c r="B223" s="368"/>
      <c r="C223" s="368"/>
      <c r="D223" s="368"/>
      <c r="E223" s="368"/>
      <c r="F223" s="368"/>
      <c r="G223" s="368"/>
      <c r="H223" s="368"/>
      <c r="I223" s="368"/>
      <c r="J223" s="368"/>
      <c r="K223" s="368"/>
      <c r="L223" s="368"/>
      <c r="M223" s="368"/>
      <c r="N223" s="368"/>
      <c r="O223" s="368"/>
      <c r="P223" s="368"/>
      <c r="Q223" s="368"/>
      <c r="R223" s="368"/>
      <c r="S223" s="368"/>
      <c r="T223" s="368"/>
      <c r="U223" s="368"/>
      <c r="V223" s="368"/>
      <c r="W223" s="26"/>
      <c r="X223" s="26"/>
      <c r="Y223" s="26"/>
      <c r="Z223" s="26"/>
    </row>
    <row r="224">
      <c r="A224" s="368"/>
      <c r="B224" s="368"/>
      <c r="C224" s="368"/>
      <c r="D224" s="368"/>
      <c r="E224" s="368"/>
      <c r="F224" s="368"/>
      <c r="G224" s="368"/>
      <c r="H224" s="368"/>
      <c r="I224" s="368"/>
      <c r="J224" s="368"/>
      <c r="K224" s="368"/>
      <c r="L224" s="368"/>
      <c r="M224" s="368"/>
      <c r="N224" s="368"/>
      <c r="O224" s="368"/>
      <c r="P224" s="368"/>
      <c r="Q224" s="368"/>
      <c r="R224" s="368"/>
      <c r="S224" s="368"/>
      <c r="T224" s="368"/>
      <c r="U224" s="368"/>
      <c r="V224" s="368"/>
      <c r="W224" s="26"/>
      <c r="X224" s="26"/>
      <c r="Y224" s="26"/>
      <c r="Z224" s="26"/>
    </row>
    <row r="225">
      <c r="A225" s="368"/>
      <c r="B225" s="368"/>
      <c r="C225" s="368"/>
      <c r="D225" s="368"/>
      <c r="E225" s="368"/>
      <c r="F225" s="368"/>
      <c r="G225" s="368"/>
      <c r="H225" s="368"/>
      <c r="I225" s="368"/>
      <c r="J225" s="368"/>
      <c r="K225" s="368"/>
      <c r="L225" s="368"/>
      <c r="M225" s="368"/>
      <c r="N225" s="368"/>
      <c r="O225" s="368"/>
      <c r="P225" s="368"/>
      <c r="Q225" s="368"/>
      <c r="R225" s="368"/>
      <c r="S225" s="368"/>
      <c r="T225" s="368"/>
      <c r="U225" s="368"/>
      <c r="V225" s="368"/>
      <c r="W225" s="26"/>
      <c r="X225" s="26"/>
      <c r="Y225" s="26"/>
      <c r="Z225" s="26"/>
    </row>
    <row r="226">
      <c r="A226" s="368"/>
      <c r="B226" s="368"/>
      <c r="C226" s="368"/>
      <c r="D226" s="368"/>
      <c r="E226" s="368"/>
      <c r="F226" s="368"/>
      <c r="G226" s="368"/>
      <c r="H226" s="368"/>
      <c r="I226" s="368"/>
      <c r="J226" s="368"/>
      <c r="K226" s="368"/>
      <c r="L226" s="368"/>
      <c r="M226" s="368"/>
      <c r="N226" s="368"/>
      <c r="O226" s="368"/>
      <c r="P226" s="368"/>
      <c r="Q226" s="368"/>
      <c r="R226" s="368"/>
      <c r="S226" s="368"/>
      <c r="T226" s="368"/>
      <c r="U226" s="368"/>
      <c r="V226" s="368"/>
      <c r="W226" s="26"/>
      <c r="X226" s="26"/>
      <c r="Y226" s="26"/>
      <c r="Z226" s="26"/>
    </row>
    <row r="227">
      <c r="A227" s="368"/>
      <c r="B227" s="368"/>
      <c r="C227" s="368"/>
      <c r="D227" s="368"/>
      <c r="E227" s="368"/>
      <c r="F227" s="368"/>
      <c r="G227" s="368"/>
      <c r="H227" s="368"/>
      <c r="I227" s="368"/>
      <c r="J227" s="368"/>
      <c r="K227" s="368"/>
      <c r="L227" s="368"/>
      <c r="M227" s="368"/>
      <c r="N227" s="368"/>
      <c r="O227" s="368"/>
      <c r="P227" s="368"/>
      <c r="Q227" s="368"/>
      <c r="R227" s="368"/>
      <c r="S227" s="368"/>
      <c r="T227" s="368"/>
      <c r="U227" s="368"/>
      <c r="V227" s="368"/>
      <c r="W227" s="26"/>
      <c r="X227" s="26"/>
      <c r="Y227" s="26"/>
      <c r="Z227" s="26"/>
    </row>
    <row r="228">
      <c r="A228" s="368"/>
      <c r="B228" s="368"/>
      <c r="C228" s="368"/>
      <c r="D228" s="368"/>
      <c r="E228" s="368"/>
      <c r="F228" s="368"/>
      <c r="G228" s="368"/>
      <c r="H228" s="368"/>
      <c r="I228" s="368"/>
      <c r="J228" s="368"/>
      <c r="K228" s="368"/>
      <c r="L228" s="368"/>
      <c r="M228" s="368"/>
      <c r="N228" s="368"/>
      <c r="O228" s="368"/>
      <c r="P228" s="368"/>
      <c r="Q228" s="368"/>
      <c r="R228" s="368"/>
      <c r="S228" s="368"/>
      <c r="T228" s="368"/>
      <c r="U228" s="368"/>
      <c r="V228" s="368"/>
      <c r="W228" s="26"/>
      <c r="X228" s="26"/>
      <c r="Y228" s="26"/>
      <c r="Z228" s="26"/>
    </row>
    <row r="229">
      <c r="A229" s="368"/>
      <c r="B229" s="368"/>
      <c r="C229" s="368"/>
      <c r="D229" s="368"/>
      <c r="E229" s="368"/>
      <c r="F229" s="368"/>
      <c r="G229" s="368"/>
      <c r="H229" s="368"/>
      <c r="I229" s="368"/>
      <c r="J229" s="368"/>
      <c r="K229" s="368"/>
      <c r="L229" s="368"/>
      <c r="M229" s="368"/>
      <c r="N229" s="368"/>
      <c r="O229" s="368"/>
      <c r="P229" s="368"/>
      <c r="Q229" s="368"/>
      <c r="R229" s="368"/>
      <c r="S229" s="368"/>
      <c r="T229" s="368"/>
      <c r="U229" s="368"/>
      <c r="V229" s="368"/>
      <c r="W229" s="26"/>
      <c r="X229" s="26"/>
      <c r="Y229" s="26"/>
      <c r="Z229" s="26"/>
    </row>
    <row r="230">
      <c r="A230" s="368"/>
      <c r="B230" s="368"/>
      <c r="C230" s="368"/>
      <c r="D230" s="368"/>
      <c r="E230" s="368"/>
      <c r="F230" s="368"/>
      <c r="G230" s="368"/>
      <c r="H230" s="368"/>
      <c r="I230" s="368"/>
      <c r="J230" s="368"/>
      <c r="K230" s="368"/>
      <c r="L230" s="368"/>
      <c r="M230" s="368"/>
      <c r="N230" s="368"/>
      <c r="O230" s="368"/>
      <c r="P230" s="368"/>
      <c r="Q230" s="368"/>
      <c r="R230" s="368"/>
      <c r="S230" s="368"/>
      <c r="T230" s="368"/>
      <c r="U230" s="368"/>
      <c r="V230" s="368"/>
      <c r="W230" s="26"/>
      <c r="X230" s="26"/>
      <c r="Y230" s="26"/>
      <c r="Z230" s="26"/>
    </row>
    <row r="231">
      <c r="A231" s="368"/>
      <c r="B231" s="368"/>
      <c r="C231" s="368"/>
      <c r="D231" s="368"/>
      <c r="E231" s="368"/>
      <c r="F231" s="368"/>
      <c r="G231" s="368"/>
      <c r="H231" s="368"/>
      <c r="I231" s="368"/>
      <c r="J231" s="368"/>
      <c r="K231" s="368"/>
      <c r="L231" s="368"/>
      <c r="M231" s="368"/>
      <c r="N231" s="368"/>
      <c r="O231" s="368"/>
      <c r="P231" s="368"/>
      <c r="Q231" s="368"/>
      <c r="R231" s="368"/>
      <c r="S231" s="368"/>
      <c r="T231" s="368"/>
      <c r="U231" s="368"/>
      <c r="V231" s="368"/>
      <c r="W231" s="26"/>
      <c r="X231" s="26"/>
      <c r="Y231" s="26"/>
      <c r="Z231" s="26"/>
    </row>
    <row r="232">
      <c r="A232" s="368"/>
      <c r="B232" s="368"/>
      <c r="C232" s="368"/>
      <c r="D232" s="368"/>
      <c r="E232" s="368"/>
      <c r="F232" s="368"/>
      <c r="G232" s="368"/>
      <c r="H232" s="368"/>
      <c r="I232" s="368"/>
      <c r="J232" s="368"/>
      <c r="K232" s="368"/>
      <c r="L232" s="368"/>
      <c r="M232" s="368"/>
      <c r="N232" s="368"/>
      <c r="O232" s="368"/>
      <c r="P232" s="368"/>
      <c r="Q232" s="368"/>
      <c r="R232" s="368"/>
      <c r="S232" s="368"/>
      <c r="T232" s="368"/>
      <c r="U232" s="368"/>
      <c r="V232" s="368"/>
      <c r="W232" s="26"/>
      <c r="X232" s="26"/>
      <c r="Y232" s="26"/>
      <c r="Z232" s="26"/>
    </row>
    <row r="233">
      <c r="A233" s="368"/>
      <c r="B233" s="368"/>
      <c r="C233" s="368"/>
      <c r="D233" s="368"/>
      <c r="E233" s="368"/>
      <c r="F233" s="368"/>
      <c r="G233" s="368"/>
      <c r="H233" s="368"/>
      <c r="I233" s="368"/>
      <c r="J233" s="368"/>
      <c r="K233" s="368"/>
      <c r="L233" s="368"/>
      <c r="M233" s="368"/>
      <c r="N233" s="368"/>
      <c r="O233" s="368"/>
      <c r="P233" s="368"/>
      <c r="Q233" s="368"/>
      <c r="R233" s="368"/>
      <c r="S233" s="368"/>
      <c r="T233" s="368"/>
      <c r="U233" s="368"/>
      <c r="V233" s="368"/>
      <c r="W233" s="26"/>
      <c r="X233" s="26"/>
      <c r="Y233" s="26"/>
      <c r="Z233" s="26"/>
    </row>
    <row r="234">
      <c r="A234" s="368"/>
      <c r="B234" s="368"/>
      <c r="C234" s="368"/>
      <c r="D234" s="368"/>
      <c r="E234" s="368"/>
      <c r="F234" s="368"/>
      <c r="G234" s="368"/>
      <c r="H234" s="368"/>
      <c r="I234" s="368"/>
      <c r="J234" s="368"/>
      <c r="K234" s="368"/>
      <c r="L234" s="368"/>
      <c r="M234" s="368"/>
      <c r="N234" s="368"/>
      <c r="O234" s="368"/>
      <c r="P234" s="368"/>
      <c r="Q234" s="368"/>
      <c r="R234" s="368"/>
      <c r="S234" s="368"/>
      <c r="T234" s="368"/>
      <c r="U234" s="368"/>
      <c r="V234" s="368"/>
      <c r="W234" s="26"/>
      <c r="X234" s="26"/>
      <c r="Y234" s="26"/>
      <c r="Z234" s="26"/>
    </row>
    <row r="235">
      <c r="A235" s="368"/>
      <c r="B235" s="368"/>
      <c r="C235" s="368"/>
      <c r="D235" s="368"/>
      <c r="E235" s="368"/>
      <c r="F235" s="368"/>
      <c r="G235" s="368"/>
      <c r="H235" s="368"/>
      <c r="I235" s="368"/>
      <c r="J235" s="368"/>
      <c r="K235" s="368"/>
      <c r="L235" s="368"/>
      <c r="M235" s="368"/>
      <c r="N235" s="368"/>
      <c r="O235" s="368"/>
      <c r="P235" s="368"/>
      <c r="Q235" s="368"/>
      <c r="R235" s="368"/>
      <c r="S235" s="368"/>
      <c r="T235" s="368"/>
      <c r="U235" s="368"/>
      <c r="V235" s="368"/>
      <c r="W235" s="26"/>
      <c r="X235" s="26"/>
      <c r="Y235" s="26"/>
      <c r="Z235" s="26"/>
    </row>
    <row r="236">
      <c r="A236" s="368"/>
      <c r="B236" s="368"/>
      <c r="C236" s="368"/>
      <c r="D236" s="368"/>
      <c r="E236" s="368"/>
      <c r="F236" s="368"/>
      <c r="G236" s="368"/>
      <c r="H236" s="368"/>
      <c r="I236" s="368"/>
      <c r="J236" s="368"/>
      <c r="K236" s="368"/>
      <c r="L236" s="368"/>
      <c r="M236" s="368"/>
      <c r="N236" s="368"/>
      <c r="O236" s="368"/>
      <c r="P236" s="368"/>
      <c r="Q236" s="368"/>
      <c r="R236" s="368"/>
      <c r="S236" s="368"/>
      <c r="T236" s="368"/>
      <c r="U236" s="368"/>
      <c r="V236" s="368"/>
      <c r="W236" s="26"/>
      <c r="X236" s="26"/>
      <c r="Y236" s="26"/>
      <c r="Z236" s="26"/>
    </row>
    <row r="237">
      <c r="A237" s="368"/>
      <c r="B237" s="368"/>
      <c r="C237" s="368"/>
      <c r="D237" s="368"/>
      <c r="E237" s="368"/>
      <c r="F237" s="368"/>
      <c r="G237" s="368"/>
      <c r="H237" s="368"/>
      <c r="I237" s="368"/>
      <c r="J237" s="368"/>
      <c r="K237" s="368"/>
      <c r="L237" s="368"/>
      <c r="M237" s="368"/>
      <c r="N237" s="368"/>
      <c r="O237" s="368"/>
      <c r="P237" s="368"/>
      <c r="Q237" s="368"/>
      <c r="R237" s="368"/>
      <c r="S237" s="368"/>
      <c r="T237" s="368"/>
      <c r="U237" s="368"/>
      <c r="V237" s="368"/>
      <c r="W237" s="26"/>
      <c r="X237" s="26"/>
      <c r="Y237" s="26"/>
      <c r="Z237" s="26"/>
    </row>
    <row r="238">
      <c r="A238" s="368"/>
      <c r="B238" s="368"/>
      <c r="C238" s="368"/>
      <c r="D238" s="368"/>
      <c r="E238" s="368"/>
      <c r="F238" s="368"/>
      <c r="G238" s="368"/>
      <c r="H238" s="368"/>
      <c r="I238" s="368"/>
      <c r="J238" s="368"/>
      <c r="K238" s="368"/>
      <c r="L238" s="368"/>
      <c r="M238" s="368"/>
      <c r="N238" s="368"/>
      <c r="O238" s="368"/>
      <c r="P238" s="368"/>
      <c r="Q238" s="368"/>
      <c r="R238" s="368"/>
      <c r="S238" s="368"/>
      <c r="T238" s="368"/>
      <c r="U238" s="368"/>
      <c r="V238" s="368"/>
      <c r="W238" s="26"/>
      <c r="X238" s="26"/>
      <c r="Y238" s="26"/>
      <c r="Z238" s="26"/>
    </row>
    <row r="239">
      <c r="A239" s="368"/>
      <c r="B239" s="368"/>
      <c r="C239" s="368"/>
      <c r="D239" s="368"/>
      <c r="E239" s="368"/>
      <c r="F239" s="368"/>
      <c r="G239" s="368"/>
      <c r="H239" s="368"/>
      <c r="I239" s="368"/>
      <c r="J239" s="368"/>
      <c r="K239" s="368"/>
      <c r="L239" s="368"/>
      <c r="M239" s="368"/>
      <c r="N239" s="368"/>
      <c r="O239" s="368"/>
      <c r="P239" s="368"/>
      <c r="Q239" s="368"/>
      <c r="R239" s="368"/>
      <c r="S239" s="368"/>
      <c r="T239" s="368"/>
      <c r="U239" s="368"/>
      <c r="V239" s="368"/>
      <c r="W239" s="26"/>
      <c r="X239" s="26"/>
      <c r="Y239" s="26"/>
      <c r="Z239" s="26"/>
    </row>
    <row r="240">
      <c r="A240" s="368"/>
      <c r="B240" s="368"/>
      <c r="C240" s="368"/>
      <c r="D240" s="368"/>
      <c r="E240" s="368"/>
      <c r="F240" s="368"/>
      <c r="G240" s="368"/>
      <c r="H240" s="368"/>
      <c r="I240" s="368"/>
      <c r="J240" s="368"/>
      <c r="K240" s="368"/>
      <c r="L240" s="368"/>
      <c r="M240" s="368"/>
      <c r="N240" s="368"/>
      <c r="O240" s="368"/>
      <c r="P240" s="368"/>
      <c r="Q240" s="368"/>
      <c r="R240" s="368"/>
      <c r="S240" s="368"/>
      <c r="T240" s="368"/>
      <c r="U240" s="368"/>
      <c r="V240" s="368"/>
      <c r="W240" s="26"/>
      <c r="X240" s="26"/>
      <c r="Y240" s="26"/>
      <c r="Z240" s="26"/>
    </row>
    <row r="241">
      <c r="A241" s="368"/>
      <c r="B241" s="368"/>
      <c r="C241" s="368"/>
      <c r="D241" s="368"/>
      <c r="E241" s="368"/>
      <c r="F241" s="368"/>
      <c r="G241" s="368"/>
      <c r="H241" s="368"/>
      <c r="I241" s="368"/>
      <c r="J241" s="368"/>
      <c r="K241" s="368"/>
      <c r="L241" s="368"/>
      <c r="M241" s="368"/>
      <c r="N241" s="368"/>
      <c r="O241" s="368"/>
      <c r="P241" s="368"/>
      <c r="Q241" s="368"/>
      <c r="R241" s="368"/>
      <c r="S241" s="368"/>
      <c r="T241" s="368"/>
      <c r="U241" s="368"/>
      <c r="V241" s="368"/>
      <c r="W241" s="26"/>
      <c r="X241" s="26"/>
      <c r="Y241" s="26"/>
      <c r="Z241" s="26"/>
    </row>
    <row r="242">
      <c r="A242" s="368"/>
      <c r="B242" s="368"/>
      <c r="C242" s="368"/>
      <c r="D242" s="368"/>
      <c r="E242" s="368"/>
      <c r="F242" s="368"/>
      <c r="G242" s="368"/>
      <c r="H242" s="368"/>
      <c r="I242" s="368"/>
      <c r="J242" s="368"/>
      <c r="K242" s="368"/>
      <c r="L242" s="368"/>
      <c r="M242" s="368"/>
      <c r="N242" s="368"/>
      <c r="O242" s="368"/>
      <c r="P242" s="368"/>
      <c r="Q242" s="368"/>
      <c r="R242" s="368"/>
      <c r="S242" s="368"/>
      <c r="T242" s="368"/>
      <c r="U242" s="368"/>
      <c r="V242" s="368"/>
      <c r="W242" s="26"/>
      <c r="X242" s="26"/>
      <c r="Y242" s="26"/>
      <c r="Z242" s="26"/>
    </row>
    <row r="243">
      <c r="A243" s="368"/>
      <c r="B243" s="368"/>
      <c r="C243" s="368"/>
      <c r="D243" s="368"/>
      <c r="E243" s="368"/>
      <c r="F243" s="368"/>
      <c r="G243" s="368"/>
      <c r="H243" s="368"/>
      <c r="I243" s="368"/>
      <c r="J243" s="368"/>
      <c r="K243" s="368"/>
      <c r="L243" s="368"/>
      <c r="M243" s="368"/>
      <c r="N243" s="368"/>
      <c r="O243" s="368"/>
      <c r="P243" s="368"/>
      <c r="Q243" s="368"/>
      <c r="R243" s="368"/>
      <c r="S243" s="368"/>
      <c r="T243" s="368"/>
      <c r="U243" s="368"/>
      <c r="V243" s="368"/>
      <c r="W243" s="26"/>
      <c r="X243" s="26"/>
      <c r="Y243" s="26"/>
      <c r="Z243" s="26"/>
    </row>
    <row r="244">
      <c r="A244" s="368"/>
      <c r="B244" s="368"/>
      <c r="C244" s="368"/>
      <c r="D244" s="368"/>
      <c r="E244" s="368"/>
      <c r="F244" s="368"/>
      <c r="G244" s="368"/>
      <c r="H244" s="368"/>
      <c r="I244" s="368"/>
      <c r="J244" s="368"/>
      <c r="K244" s="368"/>
      <c r="L244" s="368"/>
      <c r="M244" s="368"/>
      <c r="N244" s="368"/>
      <c r="O244" s="368"/>
      <c r="P244" s="368"/>
      <c r="Q244" s="368"/>
      <c r="R244" s="368"/>
      <c r="S244" s="368"/>
      <c r="T244" s="368"/>
      <c r="U244" s="368"/>
      <c r="V244" s="368"/>
      <c r="W244" s="26"/>
      <c r="X244" s="26"/>
      <c r="Y244" s="26"/>
      <c r="Z244" s="26"/>
    </row>
    <row r="245">
      <c r="A245" s="368"/>
      <c r="B245" s="368"/>
      <c r="C245" s="368"/>
      <c r="D245" s="368"/>
      <c r="E245" s="368"/>
      <c r="F245" s="368"/>
      <c r="G245" s="368"/>
      <c r="H245" s="368"/>
      <c r="I245" s="368"/>
      <c r="J245" s="368"/>
      <c r="K245" s="368"/>
      <c r="L245" s="368"/>
      <c r="M245" s="368"/>
      <c r="N245" s="368"/>
      <c r="O245" s="368"/>
      <c r="P245" s="368"/>
      <c r="Q245" s="368"/>
      <c r="R245" s="368"/>
      <c r="S245" s="368"/>
      <c r="T245" s="368"/>
      <c r="U245" s="368"/>
      <c r="V245" s="368"/>
      <c r="W245" s="26"/>
      <c r="X245" s="26"/>
      <c r="Y245" s="26"/>
      <c r="Z245" s="26"/>
    </row>
    <row r="246">
      <c r="A246" s="368"/>
      <c r="B246" s="368"/>
      <c r="C246" s="368"/>
      <c r="D246" s="368"/>
      <c r="E246" s="368"/>
      <c r="F246" s="368"/>
      <c r="G246" s="368"/>
      <c r="H246" s="368"/>
      <c r="I246" s="368"/>
      <c r="J246" s="368"/>
      <c r="K246" s="368"/>
      <c r="L246" s="368"/>
      <c r="M246" s="368"/>
      <c r="N246" s="368"/>
      <c r="O246" s="368"/>
      <c r="P246" s="368"/>
      <c r="Q246" s="368"/>
      <c r="R246" s="368"/>
      <c r="S246" s="368"/>
      <c r="T246" s="368"/>
      <c r="U246" s="368"/>
      <c r="V246" s="368"/>
      <c r="W246" s="26"/>
      <c r="X246" s="26"/>
      <c r="Y246" s="26"/>
      <c r="Z246" s="26"/>
    </row>
    <row r="247">
      <c r="A247" s="368"/>
      <c r="B247" s="368"/>
      <c r="C247" s="368"/>
      <c r="D247" s="368"/>
      <c r="E247" s="368"/>
      <c r="F247" s="368"/>
      <c r="G247" s="368"/>
      <c r="H247" s="368"/>
      <c r="I247" s="368"/>
      <c r="J247" s="368"/>
      <c r="K247" s="368"/>
      <c r="L247" s="368"/>
      <c r="M247" s="368"/>
      <c r="N247" s="368"/>
      <c r="O247" s="368"/>
      <c r="P247" s="368"/>
      <c r="Q247" s="368"/>
      <c r="R247" s="368"/>
      <c r="S247" s="368"/>
      <c r="T247" s="368"/>
      <c r="U247" s="368"/>
      <c r="V247" s="368"/>
      <c r="W247" s="26"/>
      <c r="X247" s="26"/>
      <c r="Y247" s="26"/>
      <c r="Z247" s="26"/>
    </row>
    <row r="248">
      <c r="A248" s="368"/>
      <c r="B248" s="368"/>
      <c r="C248" s="368"/>
      <c r="D248" s="368"/>
      <c r="E248" s="368"/>
      <c r="F248" s="368"/>
      <c r="G248" s="368"/>
      <c r="H248" s="368"/>
      <c r="I248" s="368"/>
      <c r="J248" s="368"/>
      <c r="K248" s="368"/>
      <c r="L248" s="368"/>
      <c r="M248" s="368"/>
      <c r="N248" s="368"/>
      <c r="O248" s="368"/>
      <c r="P248" s="368"/>
      <c r="Q248" s="368"/>
      <c r="R248" s="368"/>
      <c r="S248" s="368"/>
      <c r="T248" s="368"/>
      <c r="U248" s="368"/>
      <c r="V248" s="368"/>
      <c r="W248" s="26"/>
      <c r="X248" s="26"/>
      <c r="Y248" s="26"/>
      <c r="Z248" s="26"/>
    </row>
    <row r="249">
      <c r="A249" s="368"/>
      <c r="B249" s="368"/>
      <c r="C249" s="368"/>
      <c r="D249" s="368"/>
      <c r="E249" s="368"/>
      <c r="F249" s="368"/>
      <c r="G249" s="368"/>
      <c r="H249" s="368"/>
      <c r="I249" s="368"/>
      <c r="J249" s="368"/>
      <c r="K249" s="368"/>
      <c r="L249" s="368"/>
      <c r="M249" s="368"/>
      <c r="N249" s="368"/>
      <c r="O249" s="368"/>
      <c r="P249" s="368"/>
      <c r="Q249" s="368"/>
      <c r="R249" s="368"/>
      <c r="S249" s="368"/>
      <c r="T249" s="368"/>
      <c r="U249" s="368"/>
      <c r="V249" s="368"/>
      <c r="W249" s="26"/>
      <c r="X249" s="26"/>
      <c r="Y249" s="26"/>
      <c r="Z249" s="26"/>
    </row>
    <row r="250">
      <c r="A250" s="368"/>
      <c r="B250" s="368"/>
      <c r="C250" s="368"/>
      <c r="D250" s="368"/>
      <c r="E250" s="368"/>
      <c r="F250" s="368"/>
      <c r="G250" s="368"/>
      <c r="H250" s="368"/>
      <c r="I250" s="368"/>
      <c r="J250" s="368"/>
      <c r="K250" s="368"/>
      <c r="L250" s="368"/>
      <c r="M250" s="368"/>
      <c r="N250" s="368"/>
      <c r="O250" s="368"/>
      <c r="P250" s="368"/>
      <c r="Q250" s="368"/>
      <c r="R250" s="368"/>
      <c r="S250" s="368"/>
      <c r="T250" s="368"/>
      <c r="U250" s="368"/>
      <c r="V250" s="368"/>
      <c r="W250" s="26"/>
      <c r="X250" s="26"/>
      <c r="Y250" s="26"/>
      <c r="Z250" s="26"/>
    </row>
    <row r="251">
      <c r="A251" s="368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8"/>
      <c r="S251" s="368"/>
      <c r="T251" s="368"/>
      <c r="U251" s="368"/>
      <c r="V251" s="368"/>
      <c r="W251" s="26"/>
      <c r="X251" s="26"/>
      <c r="Y251" s="26"/>
      <c r="Z251" s="26"/>
    </row>
    <row r="252">
      <c r="A252" s="368"/>
      <c r="B252" s="368"/>
      <c r="C252" s="368"/>
      <c r="D252" s="368"/>
      <c r="E252" s="368"/>
      <c r="F252" s="368"/>
      <c r="G252" s="368"/>
      <c r="H252" s="368"/>
      <c r="I252" s="368"/>
      <c r="J252" s="368"/>
      <c r="K252" s="368"/>
      <c r="L252" s="368"/>
      <c r="M252" s="368"/>
      <c r="N252" s="368"/>
      <c r="O252" s="368"/>
      <c r="P252" s="368"/>
      <c r="Q252" s="368"/>
      <c r="R252" s="368"/>
      <c r="S252" s="368"/>
      <c r="T252" s="368"/>
      <c r="U252" s="368"/>
      <c r="V252" s="368"/>
      <c r="W252" s="26"/>
      <c r="X252" s="26"/>
      <c r="Y252" s="26"/>
      <c r="Z252" s="26"/>
    </row>
    <row r="253">
      <c r="A253" s="368"/>
      <c r="B253" s="368"/>
      <c r="C253" s="368"/>
      <c r="D253" s="368"/>
      <c r="E253" s="368"/>
      <c r="F253" s="368"/>
      <c r="G253" s="368"/>
      <c r="H253" s="368"/>
      <c r="I253" s="368"/>
      <c r="J253" s="368"/>
      <c r="K253" s="368"/>
      <c r="L253" s="368"/>
      <c r="M253" s="368"/>
      <c r="N253" s="368"/>
      <c r="O253" s="368"/>
      <c r="P253" s="368"/>
      <c r="Q253" s="368"/>
      <c r="R253" s="368"/>
      <c r="S253" s="368"/>
      <c r="T253" s="368"/>
      <c r="U253" s="368"/>
      <c r="V253" s="368"/>
      <c r="W253" s="26"/>
      <c r="X253" s="26"/>
      <c r="Y253" s="26"/>
      <c r="Z253" s="26"/>
    </row>
    <row r="254">
      <c r="A254" s="368"/>
      <c r="B254" s="368"/>
      <c r="C254" s="368"/>
      <c r="D254" s="368"/>
      <c r="E254" s="368"/>
      <c r="F254" s="368"/>
      <c r="G254" s="368"/>
      <c r="H254" s="368"/>
      <c r="I254" s="368"/>
      <c r="J254" s="368"/>
      <c r="K254" s="368"/>
      <c r="L254" s="368"/>
      <c r="M254" s="368"/>
      <c r="N254" s="368"/>
      <c r="O254" s="368"/>
      <c r="P254" s="368"/>
      <c r="Q254" s="368"/>
      <c r="R254" s="368"/>
      <c r="S254" s="368"/>
      <c r="T254" s="368"/>
      <c r="U254" s="368"/>
      <c r="V254" s="368"/>
      <c r="W254" s="26"/>
      <c r="X254" s="26"/>
      <c r="Y254" s="26"/>
      <c r="Z254" s="26"/>
    </row>
    <row r="255">
      <c r="A255" s="368"/>
      <c r="B255" s="368"/>
      <c r="C255" s="368"/>
      <c r="D255" s="368"/>
      <c r="E255" s="368"/>
      <c r="F255" s="368"/>
      <c r="G255" s="368"/>
      <c r="H255" s="368"/>
      <c r="I255" s="368"/>
      <c r="J255" s="368"/>
      <c r="K255" s="368"/>
      <c r="L255" s="368"/>
      <c r="M255" s="368"/>
      <c r="N255" s="368"/>
      <c r="O255" s="368"/>
      <c r="P255" s="368"/>
      <c r="Q255" s="368"/>
      <c r="R255" s="368"/>
      <c r="S255" s="368"/>
      <c r="T255" s="368"/>
      <c r="U255" s="368"/>
      <c r="V255" s="368"/>
      <c r="W255" s="26"/>
      <c r="X255" s="26"/>
      <c r="Y255" s="26"/>
      <c r="Z255" s="26"/>
    </row>
    <row r="256">
      <c r="A256" s="368"/>
      <c r="B256" s="368"/>
      <c r="C256" s="368"/>
      <c r="D256" s="368"/>
      <c r="E256" s="368"/>
      <c r="F256" s="368"/>
      <c r="G256" s="368"/>
      <c r="H256" s="368"/>
      <c r="I256" s="368"/>
      <c r="J256" s="368"/>
      <c r="K256" s="368"/>
      <c r="L256" s="368"/>
      <c r="M256" s="368"/>
      <c r="N256" s="368"/>
      <c r="O256" s="368"/>
      <c r="P256" s="368"/>
      <c r="Q256" s="368"/>
      <c r="R256" s="368"/>
      <c r="S256" s="368"/>
      <c r="T256" s="368"/>
      <c r="U256" s="368"/>
      <c r="V256" s="368"/>
      <c r="W256" s="26"/>
      <c r="X256" s="26"/>
      <c r="Y256" s="26"/>
      <c r="Z256" s="26"/>
    </row>
    <row r="257">
      <c r="A257" s="368"/>
      <c r="B257" s="368"/>
      <c r="C257" s="368"/>
      <c r="D257" s="368"/>
      <c r="E257" s="368"/>
      <c r="F257" s="368"/>
      <c r="G257" s="368"/>
      <c r="H257" s="368"/>
      <c r="I257" s="368"/>
      <c r="J257" s="368"/>
      <c r="K257" s="368"/>
      <c r="L257" s="368"/>
      <c r="M257" s="368"/>
      <c r="N257" s="368"/>
      <c r="O257" s="368"/>
      <c r="P257" s="368"/>
      <c r="Q257" s="368"/>
      <c r="R257" s="368"/>
      <c r="S257" s="368"/>
      <c r="T257" s="368"/>
      <c r="U257" s="368"/>
      <c r="V257" s="368"/>
      <c r="W257" s="26"/>
      <c r="X257" s="26"/>
      <c r="Y257" s="26"/>
      <c r="Z257" s="26"/>
    </row>
    <row r="258">
      <c r="A258" s="368"/>
      <c r="B258" s="368"/>
      <c r="C258" s="368"/>
      <c r="D258" s="368"/>
      <c r="E258" s="368"/>
      <c r="F258" s="368"/>
      <c r="G258" s="368"/>
      <c r="H258" s="368"/>
      <c r="I258" s="368"/>
      <c r="J258" s="368"/>
      <c r="K258" s="368"/>
      <c r="L258" s="368"/>
      <c r="M258" s="368"/>
      <c r="N258" s="368"/>
      <c r="O258" s="368"/>
      <c r="P258" s="368"/>
      <c r="Q258" s="368"/>
      <c r="R258" s="368"/>
      <c r="S258" s="368"/>
      <c r="T258" s="368"/>
      <c r="U258" s="368"/>
      <c r="V258" s="368"/>
      <c r="W258" s="26"/>
      <c r="X258" s="26"/>
      <c r="Y258" s="26"/>
      <c r="Z258" s="26"/>
    </row>
    <row r="259">
      <c r="A259" s="368"/>
      <c r="B259" s="368"/>
      <c r="C259" s="368"/>
      <c r="D259" s="368"/>
      <c r="E259" s="368"/>
      <c r="F259" s="368"/>
      <c r="G259" s="368"/>
      <c r="H259" s="368"/>
      <c r="I259" s="368"/>
      <c r="J259" s="368"/>
      <c r="K259" s="368"/>
      <c r="L259" s="368"/>
      <c r="M259" s="368"/>
      <c r="N259" s="368"/>
      <c r="O259" s="368"/>
      <c r="P259" s="368"/>
      <c r="Q259" s="368"/>
      <c r="R259" s="368"/>
      <c r="S259" s="368"/>
      <c r="T259" s="368"/>
      <c r="U259" s="368"/>
      <c r="V259" s="368"/>
      <c r="W259" s="26"/>
      <c r="X259" s="26"/>
      <c r="Y259" s="26"/>
      <c r="Z259" s="26"/>
    </row>
    <row r="260">
      <c r="A260" s="368"/>
      <c r="B260" s="368"/>
      <c r="C260" s="368"/>
      <c r="D260" s="368"/>
      <c r="E260" s="368"/>
      <c r="F260" s="368"/>
      <c r="G260" s="368"/>
      <c r="H260" s="368"/>
      <c r="I260" s="368"/>
      <c r="J260" s="368"/>
      <c r="K260" s="368"/>
      <c r="L260" s="368"/>
      <c r="M260" s="368"/>
      <c r="N260" s="368"/>
      <c r="O260" s="368"/>
      <c r="P260" s="368"/>
      <c r="Q260" s="368"/>
      <c r="R260" s="368"/>
      <c r="S260" s="368"/>
      <c r="T260" s="368"/>
      <c r="U260" s="368"/>
      <c r="V260" s="368"/>
      <c r="W260" s="26"/>
      <c r="X260" s="26"/>
      <c r="Y260" s="26"/>
      <c r="Z260" s="26"/>
    </row>
    <row r="261">
      <c r="A261" s="368"/>
      <c r="B261" s="368"/>
      <c r="C261" s="368"/>
      <c r="D261" s="368"/>
      <c r="E261" s="368"/>
      <c r="F261" s="368"/>
      <c r="G261" s="368"/>
      <c r="H261" s="368"/>
      <c r="I261" s="368"/>
      <c r="J261" s="368"/>
      <c r="K261" s="368"/>
      <c r="L261" s="368"/>
      <c r="M261" s="368"/>
      <c r="N261" s="368"/>
      <c r="O261" s="368"/>
      <c r="P261" s="368"/>
      <c r="Q261" s="368"/>
      <c r="R261" s="368"/>
      <c r="S261" s="368"/>
      <c r="T261" s="368"/>
      <c r="U261" s="368"/>
      <c r="V261" s="368"/>
      <c r="W261" s="26"/>
      <c r="X261" s="26"/>
      <c r="Y261" s="26"/>
      <c r="Z261" s="26"/>
    </row>
    <row r="262">
      <c r="A262" s="368"/>
      <c r="B262" s="368"/>
      <c r="C262" s="368"/>
      <c r="D262" s="368"/>
      <c r="E262" s="368"/>
      <c r="F262" s="368"/>
      <c r="G262" s="368"/>
      <c r="H262" s="368"/>
      <c r="I262" s="368"/>
      <c r="J262" s="368"/>
      <c r="K262" s="368"/>
      <c r="L262" s="368"/>
      <c r="M262" s="368"/>
      <c r="N262" s="368"/>
      <c r="O262" s="368"/>
      <c r="P262" s="368"/>
      <c r="Q262" s="368"/>
      <c r="R262" s="368"/>
      <c r="S262" s="368"/>
      <c r="T262" s="368"/>
      <c r="U262" s="368"/>
      <c r="V262" s="368"/>
      <c r="W262" s="26"/>
      <c r="X262" s="26"/>
      <c r="Y262" s="26"/>
      <c r="Z262" s="26"/>
    </row>
    <row r="263">
      <c r="A263" s="368"/>
      <c r="B263" s="368"/>
      <c r="C263" s="368"/>
      <c r="D263" s="368"/>
      <c r="E263" s="368"/>
      <c r="F263" s="368"/>
      <c r="G263" s="368"/>
      <c r="H263" s="368"/>
      <c r="I263" s="368"/>
      <c r="J263" s="368"/>
      <c r="K263" s="368"/>
      <c r="L263" s="368"/>
      <c r="M263" s="368"/>
      <c r="N263" s="368"/>
      <c r="O263" s="368"/>
      <c r="P263" s="368"/>
      <c r="Q263" s="368"/>
      <c r="R263" s="368"/>
      <c r="S263" s="368"/>
      <c r="T263" s="368"/>
      <c r="U263" s="368"/>
      <c r="V263" s="368"/>
      <c r="W263" s="26"/>
      <c r="X263" s="26"/>
      <c r="Y263" s="26"/>
      <c r="Z263" s="26"/>
    </row>
    <row r="264">
      <c r="A264" s="368"/>
      <c r="B264" s="368"/>
      <c r="C264" s="368"/>
      <c r="D264" s="368"/>
      <c r="E264" s="368"/>
      <c r="F264" s="368"/>
      <c r="G264" s="368"/>
      <c r="H264" s="368"/>
      <c r="I264" s="368"/>
      <c r="J264" s="368"/>
      <c r="K264" s="368"/>
      <c r="L264" s="368"/>
      <c r="M264" s="368"/>
      <c r="N264" s="368"/>
      <c r="O264" s="368"/>
      <c r="P264" s="368"/>
      <c r="Q264" s="368"/>
      <c r="R264" s="368"/>
      <c r="S264" s="368"/>
      <c r="T264" s="368"/>
      <c r="U264" s="368"/>
      <c r="V264" s="368"/>
      <c r="W264" s="26"/>
      <c r="X264" s="26"/>
      <c r="Y264" s="26"/>
      <c r="Z264" s="26"/>
    </row>
    <row r="265">
      <c r="A265" s="368"/>
      <c r="B265" s="368"/>
      <c r="C265" s="368"/>
      <c r="D265" s="368"/>
      <c r="E265" s="368"/>
      <c r="F265" s="368"/>
      <c r="G265" s="368"/>
      <c r="H265" s="368"/>
      <c r="I265" s="368"/>
      <c r="J265" s="368"/>
      <c r="K265" s="368"/>
      <c r="L265" s="368"/>
      <c r="M265" s="368"/>
      <c r="N265" s="368"/>
      <c r="O265" s="368"/>
      <c r="P265" s="368"/>
      <c r="Q265" s="368"/>
      <c r="R265" s="368"/>
      <c r="S265" s="368"/>
      <c r="T265" s="368"/>
      <c r="U265" s="368"/>
      <c r="V265" s="368"/>
      <c r="W265" s="26"/>
      <c r="X265" s="26"/>
      <c r="Y265" s="26"/>
      <c r="Z265" s="26"/>
    </row>
    <row r="266">
      <c r="A266" s="368"/>
      <c r="B266" s="368"/>
      <c r="C266" s="368"/>
      <c r="D266" s="368"/>
      <c r="E266" s="368"/>
      <c r="F266" s="368"/>
      <c r="G266" s="368"/>
      <c r="H266" s="368"/>
      <c r="I266" s="368"/>
      <c r="J266" s="368"/>
      <c r="K266" s="368"/>
      <c r="L266" s="368"/>
      <c r="M266" s="368"/>
      <c r="N266" s="368"/>
      <c r="O266" s="368"/>
      <c r="P266" s="368"/>
      <c r="Q266" s="368"/>
      <c r="R266" s="368"/>
      <c r="S266" s="368"/>
      <c r="T266" s="368"/>
      <c r="U266" s="368"/>
      <c r="V266" s="368"/>
      <c r="W266" s="26"/>
      <c r="X266" s="26"/>
      <c r="Y266" s="26"/>
      <c r="Z266" s="26"/>
    </row>
    <row r="267">
      <c r="A267" s="368"/>
      <c r="B267" s="368"/>
      <c r="C267" s="368"/>
      <c r="D267" s="368"/>
      <c r="E267" s="368"/>
      <c r="F267" s="368"/>
      <c r="G267" s="368"/>
      <c r="H267" s="368"/>
      <c r="I267" s="368"/>
      <c r="J267" s="368"/>
      <c r="K267" s="368"/>
      <c r="L267" s="368"/>
      <c r="M267" s="368"/>
      <c r="N267" s="368"/>
      <c r="O267" s="368"/>
      <c r="P267" s="368"/>
      <c r="Q267" s="368"/>
      <c r="R267" s="368"/>
      <c r="S267" s="368"/>
      <c r="T267" s="368"/>
      <c r="U267" s="368"/>
      <c r="V267" s="368"/>
      <c r="W267" s="26"/>
      <c r="X267" s="26"/>
      <c r="Y267" s="26"/>
      <c r="Z267" s="26"/>
    </row>
    <row r="268">
      <c r="A268" s="368"/>
      <c r="B268" s="368"/>
      <c r="C268" s="368"/>
      <c r="D268" s="368"/>
      <c r="E268" s="368"/>
      <c r="F268" s="368"/>
      <c r="G268" s="368"/>
      <c r="H268" s="368"/>
      <c r="I268" s="368"/>
      <c r="J268" s="368"/>
      <c r="K268" s="368"/>
      <c r="L268" s="368"/>
      <c r="M268" s="368"/>
      <c r="N268" s="368"/>
      <c r="O268" s="368"/>
      <c r="P268" s="368"/>
      <c r="Q268" s="368"/>
      <c r="R268" s="368"/>
      <c r="S268" s="368"/>
      <c r="T268" s="368"/>
      <c r="U268" s="368"/>
      <c r="V268" s="368"/>
      <c r="W268" s="26"/>
      <c r="X268" s="26"/>
      <c r="Y268" s="26"/>
      <c r="Z268" s="26"/>
    </row>
    <row r="269">
      <c r="A269" s="368"/>
      <c r="B269" s="368"/>
      <c r="C269" s="368"/>
      <c r="D269" s="368"/>
      <c r="E269" s="368"/>
      <c r="F269" s="368"/>
      <c r="G269" s="368"/>
      <c r="H269" s="368"/>
      <c r="I269" s="368"/>
      <c r="J269" s="368"/>
      <c r="K269" s="368"/>
      <c r="L269" s="368"/>
      <c r="M269" s="368"/>
      <c r="N269" s="368"/>
      <c r="O269" s="368"/>
      <c r="P269" s="368"/>
      <c r="Q269" s="368"/>
      <c r="R269" s="368"/>
      <c r="S269" s="368"/>
      <c r="T269" s="368"/>
      <c r="U269" s="368"/>
      <c r="V269" s="368"/>
      <c r="W269" s="26"/>
      <c r="X269" s="26"/>
      <c r="Y269" s="26"/>
      <c r="Z269" s="26"/>
    </row>
    <row r="270">
      <c r="A270" s="368"/>
      <c r="B270" s="368"/>
      <c r="C270" s="368"/>
      <c r="D270" s="368"/>
      <c r="E270" s="368"/>
      <c r="F270" s="368"/>
      <c r="G270" s="368"/>
      <c r="H270" s="368"/>
      <c r="I270" s="368"/>
      <c r="J270" s="368"/>
      <c r="K270" s="368"/>
      <c r="L270" s="368"/>
      <c r="M270" s="368"/>
      <c r="N270" s="368"/>
      <c r="O270" s="368"/>
      <c r="P270" s="368"/>
      <c r="Q270" s="368"/>
      <c r="R270" s="368"/>
      <c r="S270" s="368"/>
      <c r="T270" s="368"/>
      <c r="U270" s="368"/>
      <c r="V270" s="368"/>
      <c r="W270" s="26"/>
      <c r="X270" s="26"/>
      <c r="Y270" s="26"/>
      <c r="Z270" s="26"/>
    </row>
    <row r="271">
      <c r="A271" s="368"/>
      <c r="B271" s="368"/>
      <c r="C271" s="368"/>
      <c r="D271" s="368"/>
      <c r="E271" s="368"/>
      <c r="F271" s="368"/>
      <c r="G271" s="368"/>
      <c r="H271" s="368"/>
      <c r="I271" s="368"/>
      <c r="J271" s="368"/>
      <c r="K271" s="368"/>
      <c r="L271" s="368"/>
      <c r="M271" s="368"/>
      <c r="N271" s="368"/>
      <c r="O271" s="368"/>
      <c r="P271" s="368"/>
      <c r="Q271" s="368"/>
      <c r="R271" s="368"/>
      <c r="S271" s="368"/>
      <c r="T271" s="368"/>
      <c r="U271" s="368"/>
      <c r="V271" s="368"/>
      <c r="W271" s="26"/>
      <c r="X271" s="26"/>
      <c r="Y271" s="26"/>
      <c r="Z271" s="26"/>
    </row>
    <row r="272">
      <c r="A272" s="368"/>
      <c r="B272" s="368"/>
      <c r="C272" s="368"/>
      <c r="D272" s="368"/>
      <c r="E272" s="368"/>
      <c r="F272" s="368"/>
      <c r="G272" s="368"/>
      <c r="H272" s="368"/>
      <c r="I272" s="368"/>
      <c r="J272" s="368"/>
      <c r="K272" s="368"/>
      <c r="L272" s="368"/>
      <c r="M272" s="368"/>
      <c r="N272" s="368"/>
      <c r="O272" s="368"/>
      <c r="P272" s="368"/>
      <c r="Q272" s="368"/>
      <c r="R272" s="368"/>
      <c r="S272" s="368"/>
      <c r="T272" s="368"/>
      <c r="U272" s="368"/>
      <c r="V272" s="368"/>
      <c r="W272" s="26"/>
      <c r="X272" s="26"/>
      <c r="Y272" s="26"/>
      <c r="Z272" s="26"/>
    </row>
    <row r="273">
      <c r="A273" s="368"/>
      <c r="B273" s="368"/>
      <c r="C273" s="368"/>
      <c r="D273" s="368"/>
      <c r="E273" s="368"/>
      <c r="F273" s="368"/>
      <c r="G273" s="368"/>
      <c r="H273" s="368"/>
      <c r="I273" s="368"/>
      <c r="J273" s="368"/>
      <c r="K273" s="368"/>
      <c r="L273" s="368"/>
      <c r="M273" s="368"/>
      <c r="N273" s="368"/>
      <c r="O273" s="368"/>
      <c r="P273" s="368"/>
      <c r="Q273" s="368"/>
      <c r="R273" s="368"/>
      <c r="S273" s="368"/>
      <c r="T273" s="368"/>
      <c r="U273" s="368"/>
      <c r="V273" s="368"/>
      <c r="W273" s="26"/>
      <c r="X273" s="26"/>
      <c r="Y273" s="26"/>
      <c r="Z273" s="26"/>
    </row>
    <row r="274">
      <c r="A274" s="368"/>
      <c r="B274" s="368"/>
      <c r="C274" s="368"/>
      <c r="D274" s="368"/>
      <c r="E274" s="368"/>
      <c r="F274" s="368"/>
      <c r="G274" s="368"/>
      <c r="H274" s="368"/>
      <c r="I274" s="368"/>
      <c r="J274" s="368"/>
      <c r="K274" s="368"/>
      <c r="L274" s="368"/>
      <c r="M274" s="368"/>
      <c r="N274" s="368"/>
      <c r="O274" s="368"/>
      <c r="P274" s="368"/>
      <c r="Q274" s="368"/>
      <c r="R274" s="368"/>
      <c r="S274" s="368"/>
      <c r="T274" s="368"/>
      <c r="U274" s="368"/>
      <c r="V274" s="368"/>
      <c r="W274" s="26"/>
      <c r="X274" s="26"/>
      <c r="Y274" s="26"/>
      <c r="Z274" s="26"/>
    </row>
    <row r="275">
      <c r="A275" s="368"/>
      <c r="B275" s="368"/>
      <c r="C275" s="368"/>
      <c r="D275" s="368"/>
      <c r="E275" s="368"/>
      <c r="F275" s="368"/>
      <c r="G275" s="368"/>
      <c r="H275" s="368"/>
      <c r="I275" s="368"/>
      <c r="J275" s="368"/>
      <c r="K275" s="368"/>
      <c r="L275" s="368"/>
      <c r="M275" s="368"/>
      <c r="N275" s="368"/>
      <c r="O275" s="368"/>
      <c r="P275" s="368"/>
      <c r="Q275" s="368"/>
      <c r="R275" s="368"/>
      <c r="S275" s="368"/>
      <c r="T275" s="368"/>
      <c r="U275" s="368"/>
      <c r="V275" s="368"/>
      <c r="W275" s="26"/>
      <c r="X275" s="26"/>
      <c r="Y275" s="26"/>
      <c r="Z275" s="26"/>
    </row>
    <row r="276">
      <c r="A276" s="368"/>
      <c r="B276" s="368"/>
      <c r="C276" s="368"/>
      <c r="D276" s="368"/>
      <c r="E276" s="368"/>
      <c r="F276" s="368"/>
      <c r="G276" s="368"/>
      <c r="H276" s="368"/>
      <c r="I276" s="368"/>
      <c r="J276" s="368"/>
      <c r="K276" s="368"/>
      <c r="L276" s="368"/>
      <c r="M276" s="368"/>
      <c r="N276" s="368"/>
      <c r="O276" s="368"/>
      <c r="P276" s="368"/>
      <c r="Q276" s="368"/>
      <c r="R276" s="368"/>
      <c r="S276" s="368"/>
      <c r="T276" s="368"/>
      <c r="U276" s="368"/>
      <c r="V276" s="368"/>
      <c r="W276" s="26"/>
      <c r="X276" s="26"/>
      <c r="Y276" s="26"/>
      <c r="Z276" s="26"/>
    </row>
    <row r="277">
      <c r="A277" s="368"/>
      <c r="B277" s="368"/>
      <c r="C277" s="368"/>
      <c r="D277" s="368"/>
      <c r="E277" s="368"/>
      <c r="F277" s="368"/>
      <c r="G277" s="368"/>
      <c r="H277" s="368"/>
      <c r="I277" s="368"/>
      <c r="J277" s="368"/>
      <c r="K277" s="368"/>
      <c r="L277" s="368"/>
      <c r="M277" s="368"/>
      <c r="N277" s="368"/>
      <c r="O277" s="368"/>
      <c r="P277" s="368"/>
      <c r="Q277" s="368"/>
      <c r="R277" s="368"/>
      <c r="S277" s="368"/>
      <c r="T277" s="368"/>
      <c r="U277" s="368"/>
      <c r="V277" s="368"/>
      <c r="W277" s="26"/>
      <c r="X277" s="26"/>
      <c r="Y277" s="26"/>
      <c r="Z277" s="26"/>
    </row>
    <row r="278">
      <c r="A278" s="368"/>
      <c r="B278" s="368"/>
      <c r="C278" s="368"/>
      <c r="D278" s="368"/>
      <c r="E278" s="368"/>
      <c r="F278" s="368"/>
      <c r="G278" s="368"/>
      <c r="H278" s="368"/>
      <c r="I278" s="368"/>
      <c r="J278" s="368"/>
      <c r="K278" s="368"/>
      <c r="L278" s="368"/>
      <c r="M278" s="368"/>
      <c r="N278" s="368"/>
      <c r="O278" s="368"/>
      <c r="P278" s="368"/>
      <c r="Q278" s="368"/>
      <c r="R278" s="368"/>
      <c r="S278" s="368"/>
      <c r="T278" s="368"/>
      <c r="U278" s="368"/>
      <c r="V278" s="368"/>
      <c r="W278" s="26"/>
      <c r="X278" s="26"/>
      <c r="Y278" s="26"/>
      <c r="Z278" s="26"/>
    </row>
    <row r="279">
      <c r="A279" s="368"/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26"/>
      <c r="X279" s="26"/>
      <c r="Y279" s="26"/>
      <c r="Z279" s="26"/>
    </row>
    <row r="280">
      <c r="A280" s="368"/>
      <c r="B280" s="368"/>
      <c r="C280" s="368"/>
      <c r="D280" s="368"/>
      <c r="E280" s="368"/>
      <c r="F280" s="368"/>
      <c r="G280" s="368"/>
      <c r="H280" s="368"/>
      <c r="I280" s="368"/>
      <c r="J280" s="368"/>
      <c r="K280" s="368"/>
      <c r="L280" s="368"/>
      <c r="M280" s="368"/>
      <c r="N280" s="368"/>
      <c r="O280" s="368"/>
      <c r="P280" s="368"/>
      <c r="Q280" s="368"/>
      <c r="R280" s="368"/>
      <c r="S280" s="368"/>
      <c r="T280" s="368"/>
      <c r="U280" s="368"/>
      <c r="V280" s="368"/>
      <c r="W280" s="26"/>
      <c r="X280" s="26"/>
      <c r="Y280" s="26"/>
      <c r="Z280" s="26"/>
    </row>
    <row r="281">
      <c r="A281" s="368"/>
      <c r="B281" s="368"/>
      <c r="C281" s="368"/>
      <c r="D281" s="368"/>
      <c r="E281" s="368"/>
      <c r="F281" s="368"/>
      <c r="G281" s="368"/>
      <c r="H281" s="368"/>
      <c r="I281" s="368"/>
      <c r="J281" s="368"/>
      <c r="K281" s="368"/>
      <c r="L281" s="368"/>
      <c r="M281" s="368"/>
      <c r="N281" s="368"/>
      <c r="O281" s="368"/>
      <c r="P281" s="368"/>
      <c r="Q281" s="368"/>
      <c r="R281" s="368"/>
      <c r="S281" s="368"/>
      <c r="T281" s="368"/>
      <c r="U281" s="368"/>
      <c r="V281" s="368"/>
      <c r="W281" s="26"/>
      <c r="X281" s="26"/>
      <c r="Y281" s="26"/>
      <c r="Z281" s="26"/>
    </row>
    <row r="282">
      <c r="A282" s="368"/>
      <c r="B282" s="368"/>
      <c r="C282" s="368"/>
      <c r="D282" s="368"/>
      <c r="E282" s="368"/>
      <c r="F282" s="368"/>
      <c r="G282" s="368"/>
      <c r="H282" s="368"/>
      <c r="I282" s="368"/>
      <c r="J282" s="368"/>
      <c r="K282" s="368"/>
      <c r="L282" s="368"/>
      <c r="M282" s="368"/>
      <c r="N282" s="368"/>
      <c r="O282" s="368"/>
      <c r="P282" s="368"/>
      <c r="Q282" s="368"/>
      <c r="R282" s="368"/>
      <c r="S282" s="368"/>
      <c r="T282" s="368"/>
      <c r="U282" s="368"/>
      <c r="V282" s="368"/>
      <c r="W282" s="26"/>
      <c r="X282" s="26"/>
      <c r="Y282" s="26"/>
      <c r="Z282" s="26"/>
    </row>
    <row r="283">
      <c r="A283" s="368"/>
      <c r="B283" s="368"/>
      <c r="C283" s="368"/>
      <c r="D283" s="368"/>
      <c r="E283" s="368"/>
      <c r="F283" s="368"/>
      <c r="G283" s="368"/>
      <c r="H283" s="368"/>
      <c r="I283" s="368"/>
      <c r="J283" s="368"/>
      <c r="K283" s="368"/>
      <c r="L283" s="368"/>
      <c r="M283" s="368"/>
      <c r="N283" s="368"/>
      <c r="O283" s="368"/>
      <c r="P283" s="368"/>
      <c r="Q283" s="368"/>
      <c r="R283" s="368"/>
      <c r="S283" s="368"/>
      <c r="T283" s="368"/>
      <c r="U283" s="368"/>
      <c r="V283" s="368"/>
      <c r="W283" s="26"/>
      <c r="X283" s="26"/>
      <c r="Y283" s="26"/>
      <c r="Z283" s="26"/>
    </row>
    <row r="284">
      <c r="A284" s="368"/>
      <c r="B284" s="368"/>
      <c r="C284" s="368"/>
      <c r="D284" s="368"/>
      <c r="E284" s="368"/>
      <c r="F284" s="368"/>
      <c r="G284" s="368"/>
      <c r="H284" s="368"/>
      <c r="I284" s="368"/>
      <c r="J284" s="368"/>
      <c r="K284" s="368"/>
      <c r="L284" s="368"/>
      <c r="M284" s="368"/>
      <c r="N284" s="368"/>
      <c r="O284" s="368"/>
      <c r="P284" s="368"/>
      <c r="Q284" s="368"/>
      <c r="R284" s="368"/>
      <c r="S284" s="368"/>
      <c r="T284" s="368"/>
      <c r="U284" s="368"/>
      <c r="V284" s="368"/>
      <c r="W284" s="26"/>
      <c r="X284" s="26"/>
      <c r="Y284" s="26"/>
      <c r="Z284" s="26"/>
    </row>
    <row r="285">
      <c r="A285" s="368"/>
      <c r="B285" s="368"/>
      <c r="C285" s="368"/>
      <c r="D285" s="368"/>
      <c r="E285" s="368"/>
      <c r="F285" s="368"/>
      <c r="G285" s="368"/>
      <c r="H285" s="368"/>
      <c r="I285" s="368"/>
      <c r="J285" s="368"/>
      <c r="K285" s="368"/>
      <c r="L285" s="368"/>
      <c r="M285" s="368"/>
      <c r="N285" s="368"/>
      <c r="O285" s="368"/>
      <c r="P285" s="368"/>
      <c r="Q285" s="368"/>
      <c r="R285" s="368"/>
      <c r="S285" s="368"/>
      <c r="T285" s="368"/>
      <c r="U285" s="368"/>
      <c r="V285" s="368"/>
      <c r="W285" s="26"/>
      <c r="X285" s="26"/>
      <c r="Y285" s="26"/>
      <c r="Z285" s="26"/>
    </row>
    <row r="286">
      <c r="A286" s="368"/>
      <c r="B286" s="368"/>
      <c r="C286" s="368"/>
      <c r="D286" s="368"/>
      <c r="E286" s="368"/>
      <c r="F286" s="368"/>
      <c r="G286" s="368"/>
      <c r="H286" s="368"/>
      <c r="I286" s="368"/>
      <c r="J286" s="368"/>
      <c r="K286" s="368"/>
      <c r="L286" s="368"/>
      <c r="M286" s="368"/>
      <c r="N286" s="368"/>
      <c r="O286" s="368"/>
      <c r="P286" s="368"/>
      <c r="Q286" s="368"/>
      <c r="R286" s="368"/>
      <c r="S286" s="368"/>
      <c r="T286" s="368"/>
      <c r="U286" s="368"/>
      <c r="V286" s="368"/>
      <c r="W286" s="26"/>
      <c r="X286" s="26"/>
      <c r="Y286" s="26"/>
      <c r="Z286" s="26"/>
    </row>
    <row r="287">
      <c r="A287" s="368"/>
      <c r="B287" s="368"/>
      <c r="C287" s="368"/>
      <c r="D287" s="368"/>
      <c r="E287" s="368"/>
      <c r="F287" s="368"/>
      <c r="G287" s="368"/>
      <c r="H287" s="368"/>
      <c r="I287" s="368"/>
      <c r="J287" s="368"/>
      <c r="K287" s="368"/>
      <c r="L287" s="368"/>
      <c r="M287" s="368"/>
      <c r="N287" s="368"/>
      <c r="O287" s="368"/>
      <c r="P287" s="368"/>
      <c r="Q287" s="368"/>
      <c r="R287" s="368"/>
      <c r="S287" s="368"/>
      <c r="T287" s="368"/>
      <c r="U287" s="368"/>
      <c r="V287" s="368"/>
      <c r="W287" s="26"/>
      <c r="X287" s="26"/>
      <c r="Y287" s="26"/>
      <c r="Z287" s="26"/>
    </row>
    <row r="288">
      <c r="A288" s="368"/>
      <c r="B288" s="368"/>
      <c r="C288" s="368"/>
      <c r="D288" s="368"/>
      <c r="E288" s="368"/>
      <c r="F288" s="368"/>
      <c r="G288" s="368"/>
      <c r="H288" s="368"/>
      <c r="I288" s="368"/>
      <c r="J288" s="368"/>
      <c r="K288" s="368"/>
      <c r="L288" s="368"/>
      <c r="M288" s="368"/>
      <c r="N288" s="368"/>
      <c r="O288" s="368"/>
      <c r="P288" s="368"/>
      <c r="Q288" s="368"/>
      <c r="R288" s="368"/>
      <c r="S288" s="368"/>
      <c r="T288" s="368"/>
      <c r="U288" s="368"/>
      <c r="V288" s="368"/>
      <c r="W288" s="26"/>
      <c r="X288" s="26"/>
      <c r="Y288" s="26"/>
      <c r="Z288" s="26"/>
    </row>
    <row r="289">
      <c r="A289" s="368"/>
      <c r="B289" s="368"/>
      <c r="C289" s="368"/>
      <c r="D289" s="368"/>
      <c r="E289" s="368"/>
      <c r="F289" s="368"/>
      <c r="G289" s="368"/>
      <c r="H289" s="368"/>
      <c r="I289" s="368"/>
      <c r="J289" s="368"/>
      <c r="K289" s="368"/>
      <c r="L289" s="368"/>
      <c r="M289" s="368"/>
      <c r="N289" s="368"/>
      <c r="O289" s="368"/>
      <c r="P289" s="368"/>
      <c r="Q289" s="368"/>
      <c r="R289" s="368"/>
      <c r="S289" s="368"/>
      <c r="T289" s="368"/>
      <c r="U289" s="368"/>
      <c r="V289" s="368"/>
      <c r="W289" s="26"/>
      <c r="X289" s="26"/>
      <c r="Y289" s="26"/>
      <c r="Z289" s="26"/>
    </row>
    <row r="290">
      <c r="A290" s="368"/>
      <c r="B290" s="368"/>
      <c r="C290" s="368"/>
      <c r="D290" s="368"/>
      <c r="E290" s="368"/>
      <c r="F290" s="368"/>
      <c r="G290" s="368"/>
      <c r="H290" s="368"/>
      <c r="I290" s="368"/>
      <c r="J290" s="368"/>
      <c r="K290" s="368"/>
      <c r="L290" s="368"/>
      <c r="M290" s="368"/>
      <c r="N290" s="368"/>
      <c r="O290" s="368"/>
      <c r="P290" s="368"/>
      <c r="Q290" s="368"/>
      <c r="R290" s="368"/>
      <c r="S290" s="368"/>
      <c r="T290" s="368"/>
      <c r="U290" s="368"/>
      <c r="V290" s="368"/>
      <c r="W290" s="26"/>
      <c r="X290" s="26"/>
      <c r="Y290" s="26"/>
      <c r="Z290" s="26"/>
    </row>
    <row r="291">
      <c r="A291" s="368"/>
      <c r="B291" s="368"/>
      <c r="C291" s="368"/>
      <c r="D291" s="368"/>
      <c r="E291" s="368"/>
      <c r="F291" s="368"/>
      <c r="G291" s="368"/>
      <c r="H291" s="368"/>
      <c r="I291" s="368"/>
      <c r="J291" s="368"/>
      <c r="K291" s="368"/>
      <c r="L291" s="368"/>
      <c r="M291" s="368"/>
      <c r="N291" s="368"/>
      <c r="O291" s="368"/>
      <c r="P291" s="368"/>
      <c r="Q291" s="368"/>
      <c r="R291" s="368"/>
      <c r="S291" s="368"/>
      <c r="T291" s="368"/>
      <c r="U291" s="368"/>
      <c r="V291" s="368"/>
      <c r="W291" s="26"/>
      <c r="X291" s="26"/>
      <c r="Y291" s="26"/>
      <c r="Z291" s="26"/>
    </row>
    <row r="292">
      <c r="A292" s="368"/>
      <c r="B292" s="368"/>
      <c r="C292" s="368"/>
      <c r="D292" s="368"/>
      <c r="E292" s="368"/>
      <c r="F292" s="368"/>
      <c r="G292" s="368"/>
      <c r="H292" s="368"/>
      <c r="I292" s="368"/>
      <c r="J292" s="368"/>
      <c r="K292" s="368"/>
      <c r="L292" s="368"/>
      <c r="M292" s="368"/>
      <c r="N292" s="368"/>
      <c r="O292" s="368"/>
      <c r="P292" s="368"/>
      <c r="Q292" s="368"/>
      <c r="R292" s="368"/>
      <c r="S292" s="368"/>
      <c r="T292" s="368"/>
      <c r="U292" s="368"/>
      <c r="V292" s="368"/>
      <c r="W292" s="26"/>
      <c r="X292" s="26"/>
      <c r="Y292" s="26"/>
      <c r="Z292" s="26"/>
    </row>
    <row r="293">
      <c r="A293" s="368"/>
      <c r="B293" s="368"/>
      <c r="C293" s="368"/>
      <c r="D293" s="368"/>
      <c r="E293" s="368"/>
      <c r="F293" s="368"/>
      <c r="G293" s="368"/>
      <c r="H293" s="368"/>
      <c r="I293" s="368"/>
      <c r="J293" s="368"/>
      <c r="K293" s="368"/>
      <c r="L293" s="368"/>
      <c r="M293" s="368"/>
      <c r="N293" s="368"/>
      <c r="O293" s="368"/>
      <c r="P293" s="368"/>
      <c r="Q293" s="368"/>
      <c r="R293" s="368"/>
      <c r="S293" s="368"/>
      <c r="T293" s="368"/>
      <c r="U293" s="368"/>
      <c r="V293" s="368"/>
      <c r="W293" s="26"/>
      <c r="X293" s="26"/>
      <c r="Y293" s="26"/>
      <c r="Z293" s="26"/>
    </row>
    <row r="294">
      <c r="A294" s="368"/>
      <c r="B294" s="368"/>
      <c r="C294" s="368"/>
      <c r="D294" s="368"/>
      <c r="E294" s="368"/>
      <c r="F294" s="368"/>
      <c r="G294" s="368"/>
      <c r="H294" s="368"/>
      <c r="I294" s="368"/>
      <c r="J294" s="368"/>
      <c r="K294" s="368"/>
      <c r="L294" s="368"/>
      <c r="M294" s="368"/>
      <c r="N294" s="368"/>
      <c r="O294" s="368"/>
      <c r="P294" s="368"/>
      <c r="Q294" s="368"/>
      <c r="R294" s="368"/>
      <c r="S294" s="368"/>
      <c r="T294" s="368"/>
      <c r="U294" s="368"/>
      <c r="V294" s="368"/>
      <c r="W294" s="26"/>
      <c r="X294" s="26"/>
      <c r="Y294" s="26"/>
      <c r="Z294" s="26"/>
    </row>
    <row r="295">
      <c r="A295" s="368"/>
      <c r="B295" s="368"/>
      <c r="C295" s="368"/>
      <c r="D295" s="368"/>
      <c r="E295" s="368"/>
      <c r="F295" s="368"/>
      <c r="G295" s="368"/>
      <c r="H295" s="368"/>
      <c r="I295" s="368"/>
      <c r="J295" s="368"/>
      <c r="K295" s="368"/>
      <c r="L295" s="368"/>
      <c r="M295" s="368"/>
      <c r="N295" s="368"/>
      <c r="O295" s="368"/>
      <c r="P295" s="368"/>
      <c r="Q295" s="368"/>
      <c r="R295" s="368"/>
      <c r="S295" s="368"/>
      <c r="T295" s="368"/>
      <c r="U295" s="368"/>
      <c r="V295" s="368"/>
      <c r="W295" s="26"/>
      <c r="X295" s="26"/>
      <c r="Y295" s="26"/>
      <c r="Z295" s="26"/>
    </row>
    <row r="296">
      <c r="A296" s="368"/>
      <c r="B296" s="368"/>
      <c r="C296" s="368"/>
      <c r="D296" s="368"/>
      <c r="E296" s="368"/>
      <c r="F296" s="368"/>
      <c r="G296" s="368"/>
      <c r="H296" s="368"/>
      <c r="I296" s="368"/>
      <c r="J296" s="368"/>
      <c r="K296" s="368"/>
      <c r="L296" s="368"/>
      <c r="M296" s="368"/>
      <c r="N296" s="368"/>
      <c r="O296" s="368"/>
      <c r="P296" s="368"/>
      <c r="Q296" s="368"/>
      <c r="R296" s="368"/>
      <c r="S296" s="368"/>
      <c r="T296" s="368"/>
      <c r="U296" s="368"/>
      <c r="V296" s="368"/>
      <c r="W296" s="26"/>
      <c r="X296" s="26"/>
      <c r="Y296" s="26"/>
      <c r="Z296" s="26"/>
    </row>
    <row r="297">
      <c r="A297" s="368"/>
      <c r="B297" s="368"/>
      <c r="C297" s="368"/>
      <c r="D297" s="368"/>
      <c r="E297" s="368"/>
      <c r="F297" s="368"/>
      <c r="G297" s="368"/>
      <c r="H297" s="368"/>
      <c r="I297" s="368"/>
      <c r="J297" s="368"/>
      <c r="K297" s="368"/>
      <c r="L297" s="368"/>
      <c r="M297" s="368"/>
      <c r="N297" s="368"/>
      <c r="O297" s="368"/>
      <c r="P297" s="368"/>
      <c r="Q297" s="368"/>
      <c r="R297" s="368"/>
      <c r="S297" s="368"/>
      <c r="T297" s="368"/>
      <c r="U297" s="368"/>
      <c r="V297" s="368"/>
      <c r="W297" s="26"/>
      <c r="X297" s="26"/>
      <c r="Y297" s="26"/>
      <c r="Z297" s="26"/>
    </row>
    <row r="298">
      <c r="A298" s="368"/>
      <c r="B298" s="368"/>
      <c r="C298" s="368"/>
      <c r="D298" s="368"/>
      <c r="E298" s="368"/>
      <c r="F298" s="368"/>
      <c r="G298" s="368"/>
      <c r="H298" s="368"/>
      <c r="I298" s="368"/>
      <c r="J298" s="368"/>
      <c r="K298" s="368"/>
      <c r="L298" s="368"/>
      <c r="M298" s="368"/>
      <c r="N298" s="368"/>
      <c r="O298" s="368"/>
      <c r="P298" s="368"/>
      <c r="Q298" s="368"/>
      <c r="R298" s="368"/>
      <c r="S298" s="368"/>
      <c r="T298" s="368"/>
      <c r="U298" s="368"/>
      <c r="V298" s="368"/>
      <c r="W298" s="26"/>
      <c r="X298" s="26"/>
      <c r="Y298" s="26"/>
      <c r="Z298" s="26"/>
    </row>
    <row r="299">
      <c r="A299" s="368"/>
      <c r="B299" s="368"/>
      <c r="C299" s="368"/>
      <c r="D299" s="368"/>
      <c r="E299" s="368"/>
      <c r="F299" s="368"/>
      <c r="G299" s="368"/>
      <c r="H299" s="368"/>
      <c r="I299" s="368"/>
      <c r="J299" s="368"/>
      <c r="K299" s="368"/>
      <c r="L299" s="368"/>
      <c r="M299" s="368"/>
      <c r="N299" s="368"/>
      <c r="O299" s="368"/>
      <c r="P299" s="368"/>
      <c r="Q299" s="368"/>
      <c r="R299" s="368"/>
      <c r="S299" s="368"/>
      <c r="T299" s="368"/>
      <c r="U299" s="368"/>
      <c r="V299" s="368"/>
      <c r="W299" s="26"/>
      <c r="X299" s="26"/>
      <c r="Y299" s="26"/>
      <c r="Z299" s="26"/>
    </row>
    <row r="300">
      <c r="A300" s="368"/>
      <c r="B300" s="368"/>
      <c r="C300" s="368"/>
      <c r="D300" s="368"/>
      <c r="E300" s="368"/>
      <c r="F300" s="368"/>
      <c r="G300" s="368"/>
      <c r="H300" s="368"/>
      <c r="I300" s="368"/>
      <c r="J300" s="368"/>
      <c r="K300" s="368"/>
      <c r="L300" s="368"/>
      <c r="M300" s="368"/>
      <c r="N300" s="368"/>
      <c r="O300" s="368"/>
      <c r="P300" s="368"/>
      <c r="Q300" s="368"/>
      <c r="R300" s="368"/>
      <c r="S300" s="368"/>
      <c r="T300" s="368"/>
      <c r="U300" s="368"/>
      <c r="V300" s="368"/>
      <c r="W300" s="26"/>
      <c r="X300" s="26"/>
      <c r="Y300" s="26"/>
      <c r="Z300" s="26"/>
    </row>
    <row r="301">
      <c r="A301" s="368"/>
      <c r="B301" s="368"/>
      <c r="C301" s="368"/>
      <c r="D301" s="368"/>
      <c r="E301" s="368"/>
      <c r="F301" s="368"/>
      <c r="G301" s="368"/>
      <c r="H301" s="368"/>
      <c r="I301" s="368"/>
      <c r="J301" s="368"/>
      <c r="K301" s="368"/>
      <c r="L301" s="368"/>
      <c r="M301" s="368"/>
      <c r="N301" s="368"/>
      <c r="O301" s="368"/>
      <c r="P301" s="368"/>
      <c r="Q301" s="368"/>
      <c r="R301" s="368"/>
      <c r="S301" s="368"/>
      <c r="T301" s="368"/>
      <c r="U301" s="368"/>
      <c r="V301" s="368"/>
      <c r="W301" s="26"/>
      <c r="X301" s="26"/>
      <c r="Y301" s="26"/>
      <c r="Z301" s="26"/>
    </row>
    <row r="302">
      <c r="A302" s="368"/>
      <c r="B302" s="368"/>
      <c r="C302" s="368"/>
      <c r="D302" s="368"/>
      <c r="E302" s="368"/>
      <c r="F302" s="368"/>
      <c r="G302" s="368"/>
      <c r="H302" s="368"/>
      <c r="I302" s="368"/>
      <c r="J302" s="368"/>
      <c r="K302" s="368"/>
      <c r="L302" s="368"/>
      <c r="M302" s="368"/>
      <c r="N302" s="368"/>
      <c r="O302" s="368"/>
      <c r="P302" s="368"/>
      <c r="Q302" s="368"/>
      <c r="R302" s="368"/>
      <c r="S302" s="368"/>
      <c r="T302" s="368"/>
      <c r="U302" s="368"/>
      <c r="V302" s="368"/>
      <c r="W302" s="26"/>
      <c r="X302" s="26"/>
      <c r="Y302" s="26"/>
      <c r="Z302" s="26"/>
    </row>
    <row r="303">
      <c r="A303" s="368"/>
      <c r="B303" s="368"/>
      <c r="C303" s="368"/>
      <c r="D303" s="368"/>
      <c r="E303" s="368"/>
      <c r="F303" s="368"/>
      <c r="G303" s="368"/>
      <c r="H303" s="368"/>
      <c r="I303" s="368"/>
      <c r="J303" s="368"/>
      <c r="K303" s="368"/>
      <c r="L303" s="368"/>
      <c r="M303" s="368"/>
      <c r="N303" s="368"/>
      <c r="O303" s="368"/>
      <c r="P303" s="368"/>
      <c r="Q303" s="368"/>
      <c r="R303" s="368"/>
      <c r="S303" s="368"/>
      <c r="T303" s="368"/>
      <c r="U303" s="368"/>
      <c r="V303" s="368"/>
      <c r="W303" s="26"/>
      <c r="X303" s="26"/>
      <c r="Y303" s="26"/>
      <c r="Z303" s="26"/>
    </row>
    <row r="304">
      <c r="A304" s="368"/>
      <c r="B304" s="368"/>
      <c r="C304" s="368"/>
      <c r="D304" s="368"/>
      <c r="E304" s="368"/>
      <c r="F304" s="368"/>
      <c r="G304" s="368"/>
      <c r="H304" s="368"/>
      <c r="I304" s="368"/>
      <c r="J304" s="368"/>
      <c r="K304" s="368"/>
      <c r="L304" s="368"/>
      <c r="M304" s="368"/>
      <c r="N304" s="368"/>
      <c r="O304" s="368"/>
      <c r="P304" s="368"/>
      <c r="Q304" s="368"/>
      <c r="R304" s="368"/>
      <c r="S304" s="368"/>
      <c r="T304" s="368"/>
      <c r="U304" s="368"/>
      <c r="V304" s="368"/>
      <c r="W304" s="26"/>
      <c r="X304" s="26"/>
      <c r="Y304" s="26"/>
      <c r="Z304" s="26"/>
    </row>
    <row r="305">
      <c r="A305" s="368"/>
      <c r="B305" s="368"/>
      <c r="C305" s="368"/>
      <c r="D305" s="368"/>
      <c r="E305" s="368"/>
      <c r="F305" s="368"/>
      <c r="G305" s="368"/>
      <c r="H305" s="368"/>
      <c r="I305" s="368"/>
      <c r="J305" s="368"/>
      <c r="K305" s="368"/>
      <c r="L305" s="368"/>
      <c r="M305" s="368"/>
      <c r="N305" s="368"/>
      <c r="O305" s="368"/>
      <c r="P305" s="368"/>
      <c r="Q305" s="368"/>
      <c r="R305" s="368"/>
      <c r="S305" s="368"/>
      <c r="T305" s="368"/>
      <c r="U305" s="368"/>
      <c r="V305" s="368"/>
      <c r="W305" s="26"/>
      <c r="X305" s="26"/>
      <c r="Y305" s="26"/>
      <c r="Z305" s="26"/>
    </row>
    <row r="306">
      <c r="A306" s="368"/>
      <c r="B306" s="368"/>
      <c r="C306" s="368"/>
      <c r="D306" s="368"/>
      <c r="E306" s="368"/>
      <c r="F306" s="368"/>
      <c r="G306" s="368"/>
      <c r="H306" s="368"/>
      <c r="I306" s="368"/>
      <c r="J306" s="368"/>
      <c r="K306" s="368"/>
      <c r="L306" s="368"/>
      <c r="M306" s="368"/>
      <c r="N306" s="368"/>
      <c r="O306" s="368"/>
      <c r="P306" s="368"/>
      <c r="Q306" s="368"/>
      <c r="R306" s="368"/>
      <c r="S306" s="368"/>
      <c r="T306" s="368"/>
      <c r="U306" s="368"/>
      <c r="V306" s="368"/>
      <c r="W306" s="26"/>
      <c r="X306" s="26"/>
      <c r="Y306" s="26"/>
      <c r="Z306" s="26"/>
    </row>
    <row r="307">
      <c r="A307" s="368"/>
      <c r="B307" s="368"/>
      <c r="C307" s="368"/>
      <c r="D307" s="368"/>
      <c r="E307" s="368"/>
      <c r="F307" s="368"/>
      <c r="G307" s="368"/>
      <c r="H307" s="368"/>
      <c r="I307" s="368"/>
      <c r="J307" s="368"/>
      <c r="K307" s="368"/>
      <c r="L307" s="368"/>
      <c r="M307" s="368"/>
      <c r="N307" s="368"/>
      <c r="O307" s="368"/>
      <c r="P307" s="368"/>
      <c r="Q307" s="368"/>
      <c r="R307" s="368"/>
      <c r="S307" s="368"/>
      <c r="T307" s="368"/>
      <c r="U307" s="368"/>
      <c r="V307" s="368"/>
      <c r="W307" s="26"/>
      <c r="X307" s="26"/>
      <c r="Y307" s="26"/>
      <c r="Z307" s="26"/>
    </row>
    <row r="308">
      <c r="A308" s="368"/>
      <c r="B308" s="368"/>
      <c r="C308" s="368"/>
      <c r="D308" s="368"/>
      <c r="E308" s="368"/>
      <c r="F308" s="368"/>
      <c r="G308" s="368"/>
      <c r="H308" s="368"/>
      <c r="I308" s="368"/>
      <c r="J308" s="368"/>
      <c r="K308" s="368"/>
      <c r="L308" s="368"/>
      <c r="M308" s="368"/>
      <c r="N308" s="368"/>
      <c r="O308" s="368"/>
      <c r="P308" s="368"/>
      <c r="Q308" s="368"/>
      <c r="R308" s="368"/>
      <c r="S308" s="368"/>
      <c r="T308" s="368"/>
      <c r="U308" s="368"/>
      <c r="V308" s="368"/>
      <c r="W308" s="26"/>
      <c r="X308" s="26"/>
      <c r="Y308" s="26"/>
      <c r="Z308" s="26"/>
    </row>
    <row r="309">
      <c r="A309" s="368"/>
      <c r="B309" s="368"/>
      <c r="C309" s="368"/>
      <c r="D309" s="368"/>
      <c r="E309" s="368"/>
      <c r="F309" s="368"/>
      <c r="G309" s="368"/>
      <c r="H309" s="368"/>
      <c r="I309" s="368"/>
      <c r="J309" s="368"/>
      <c r="K309" s="368"/>
      <c r="L309" s="368"/>
      <c r="M309" s="368"/>
      <c r="N309" s="368"/>
      <c r="O309" s="368"/>
      <c r="P309" s="368"/>
      <c r="Q309" s="368"/>
      <c r="R309" s="368"/>
      <c r="S309" s="368"/>
      <c r="T309" s="368"/>
      <c r="U309" s="368"/>
      <c r="V309" s="368"/>
      <c r="W309" s="26"/>
      <c r="X309" s="26"/>
      <c r="Y309" s="26"/>
      <c r="Z309" s="26"/>
    </row>
    <row r="310">
      <c r="A310" s="368"/>
      <c r="B310" s="368"/>
      <c r="C310" s="368"/>
      <c r="D310" s="368"/>
      <c r="E310" s="368"/>
      <c r="F310" s="368"/>
      <c r="G310" s="368"/>
      <c r="H310" s="368"/>
      <c r="I310" s="368"/>
      <c r="J310" s="368"/>
      <c r="K310" s="368"/>
      <c r="L310" s="368"/>
      <c r="M310" s="368"/>
      <c r="N310" s="368"/>
      <c r="O310" s="368"/>
      <c r="P310" s="368"/>
      <c r="Q310" s="368"/>
      <c r="R310" s="368"/>
      <c r="S310" s="368"/>
      <c r="T310" s="368"/>
      <c r="U310" s="368"/>
      <c r="V310" s="368"/>
      <c r="W310" s="26"/>
      <c r="X310" s="26"/>
      <c r="Y310" s="26"/>
      <c r="Z310" s="26"/>
    </row>
    <row r="311">
      <c r="A311" s="368"/>
      <c r="B311" s="368"/>
      <c r="C311" s="368"/>
      <c r="D311" s="368"/>
      <c r="E311" s="368"/>
      <c r="F311" s="368"/>
      <c r="G311" s="368"/>
      <c r="H311" s="368"/>
      <c r="I311" s="368"/>
      <c r="J311" s="368"/>
      <c r="K311" s="368"/>
      <c r="L311" s="368"/>
      <c r="M311" s="368"/>
      <c r="N311" s="368"/>
      <c r="O311" s="368"/>
      <c r="P311" s="368"/>
      <c r="Q311" s="368"/>
      <c r="R311" s="368"/>
      <c r="S311" s="368"/>
      <c r="T311" s="368"/>
      <c r="U311" s="368"/>
      <c r="V311" s="368"/>
      <c r="W311" s="26"/>
      <c r="X311" s="26"/>
      <c r="Y311" s="26"/>
      <c r="Z311" s="26"/>
    </row>
    <row r="312">
      <c r="A312" s="368"/>
      <c r="B312" s="368"/>
      <c r="C312" s="368"/>
      <c r="D312" s="368"/>
      <c r="E312" s="368"/>
      <c r="F312" s="368"/>
      <c r="G312" s="368"/>
      <c r="H312" s="368"/>
      <c r="I312" s="368"/>
      <c r="J312" s="368"/>
      <c r="K312" s="368"/>
      <c r="L312" s="368"/>
      <c r="M312" s="368"/>
      <c r="N312" s="368"/>
      <c r="O312" s="368"/>
      <c r="P312" s="368"/>
      <c r="Q312" s="368"/>
      <c r="R312" s="368"/>
      <c r="S312" s="368"/>
      <c r="T312" s="368"/>
      <c r="U312" s="368"/>
      <c r="V312" s="368"/>
      <c r="W312" s="26"/>
      <c r="X312" s="26"/>
      <c r="Y312" s="26"/>
      <c r="Z312" s="26"/>
    </row>
    <row r="313">
      <c r="A313" s="368"/>
      <c r="B313" s="368"/>
      <c r="C313" s="368"/>
      <c r="D313" s="368"/>
      <c r="E313" s="368"/>
      <c r="F313" s="368"/>
      <c r="G313" s="368"/>
      <c r="H313" s="368"/>
      <c r="I313" s="368"/>
      <c r="J313" s="368"/>
      <c r="K313" s="368"/>
      <c r="L313" s="368"/>
      <c r="M313" s="368"/>
      <c r="N313" s="368"/>
      <c r="O313" s="368"/>
      <c r="P313" s="368"/>
      <c r="Q313" s="368"/>
      <c r="R313" s="368"/>
      <c r="S313" s="368"/>
      <c r="T313" s="368"/>
      <c r="U313" s="368"/>
      <c r="V313" s="368"/>
      <c r="W313" s="26"/>
      <c r="X313" s="26"/>
      <c r="Y313" s="26"/>
      <c r="Z313" s="26"/>
    </row>
    <row r="314">
      <c r="A314" s="368"/>
      <c r="B314" s="368"/>
      <c r="C314" s="368"/>
      <c r="D314" s="368"/>
      <c r="E314" s="368"/>
      <c r="F314" s="368"/>
      <c r="G314" s="368"/>
      <c r="H314" s="368"/>
      <c r="I314" s="368"/>
      <c r="J314" s="368"/>
      <c r="K314" s="368"/>
      <c r="L314" s="368"/>
      <c r="M314" s="368"/>
      <c r="N314" s="368"/>
      <c r="O314" s="368"/>
      <c r="P314" s="368"/>
      <c r="Q314" s="368"/>
      <c r="R314" s="368"/>
      <c r="S314" s="368"/>
      <c r="T314" s="368"/>
      <c r="U314" s="368"/>
      <c r="V314" s="368"/>
      <c r="W314" s="26"/>
      <c r="X314" s="26"/>
      <c r="Y314" s="26"/>
      <c r="Z314" s="26"/>
    </row>
    <row r="315">
      <c r="A315" s="368"/>
      <c r="B315" s="368"/>
      <c r="C315" s="368"/>
      <c r="D315" s="368"/>
      <c r="E315" s="368"/>
      <c r="F315" s="368"/>
      <c r="G315" s="368"/>
      <c r="H315" s="368"/>
      <c r="I315" s="368"/>
      <c r="J315" s="368"/>
      <c r="K315" s="368"/>
      <c r="L315" s="368"/>
      <c r="M315" s="368"/>
      <c r="N315" s="368"/>
      <c r="O315" s="368"/>
      <c r="P315" s="368"/>
      <c r="Q315" s="368"/>
      <c r="R315" s="368"/>
      <c r="S315" s="368"/>
      <c r="T315" s="368"/>
      <c r="U315" s="368"/>
      <c r="V315" s="368"/>
      <c r="W315" s="26"/>
      <c r="X315" s="26"/>
      <c r="Y315" s="26"/>
      <c r="Z315" s="26"/>
    </row>
    <row r="316">
      <c r="A316" s="368"/>
      <c r="B316" s="368"/>
      <c r="C316" s="368"/>
      <c r="D316" s="368"/>
      <c r="E316" s="368"/>
      <c r="F316" s="368"/>
      <c r="G316" s="368"/>
      <c r="H316" s="368"/>
      <c r="I316" s="368"/>
      <c r="J316" s="368"/>
      <c r="K316" s="368"/>
      <c r="L316" s="368"/>
      <c r="M316" s="368"/>
      <c r="N316" s="368"/>
      <c r="O316" s="368"/>
      <c r="P316" s="368"/>
      <c r="Q316" s="368"/>
      <c r="R316" s="368"/>
      <c r="S316" s="368"/>
      <c r="T316" s="368"/>
      <c r="U316" s="368"/>
      <c r="V316" s="368"/>
      <c r="W316" s="26"/>
      <c r="X316" s="26"/>
      <c r="Y316" s="26"/>
      <c r="Z316" s="26"/>
    </row>
    <row r="317">
      <c r="A317" s="368"/>
      <c r="B317" s="368"/>
      <c r="C317" s="368"/>
      <c r="D317" s="368"/>
      <c r="E317" s="368"/>
      <c r="F317" s="368"/>
      <c r="G317" s="368"/>
      <c r="H317" s="368"/>
      <c r="I317" s="368"/>
      <c r="J317" s="368"/>
      <c r="K317" s="368"/>
      <c r="L317" s="368"/>
      <c r="M317" s="368"/>
      <c r="N317" s="368"/>
      <c r="O317" s="368"/>
      <c r="P317" s="368"/>
      <c r="Q317" s="368"/>
      <c r="R317" s="368"/>
      <c r="S317" s="368"/>
      <c r="T317" s="368"/>
      <c r="U317" s="368"/>
      <c r="V317" s="368"/>
      <c r="W317" s="26"/>
      <c r="X317" s="26"/>
      <c r="Y317" s="26"/>
      <c r="Z317" s="26"/>
    </row>
    <row r="318">
      <c r="A318" s="368"/>
      <c r="B318" s="368"/>
      <c r="C318" s="368"/>
      <c r="D318" s="368"/>
      <c r="E318" s="368"/>
      <c r="F318" s="368"/>
      <c r="G318" s="368"/>
      <c r="H318" s="368"/>
      <c r="I318" s="368"/>
      <c r="J318" s="368"/>
      <c r="K318" s="368"/>
      <c r="L318" s="368"/>
      <c r="M318" s="368"/>
      <c r="N318" s="368"/>
      <c r="O318" s="368"/>
      <c r="P318" s="368"/>
      <c r="Q318" s="368"/>
      <c r="R318" s="368"/>
      <c r="S318" s="368"/>
      <c r="T318" s="368"/>
      <c r="U318" s="368"/>
      <c r="V318" s="368"/>
      <c r="W318" s="26"/>
      <c r="X318" s="26"/>
      <c r="Y318" s="26"/>
      <c r="Z318" s="26"/>
    </row>
    <row r="319">
      <c r="A319" s="368"/>
      <c r="B319" s="368"/>
      <c r="C319" s="368"/>
      <c r="D319" s="368"/>
      <c r="E319" s="368"/>
      <c r="F319" s="368"/>
      <c r="G319" s="368"/>
      <c r="H319" s="368"/>
      <c r="I319" s="368"/>
      <c r="J319" s="368"/>
      <c r="K319" s="368"/>
      <c r="L319" s="368"/>
      <c r="M319" s="368"/>
      <c r="N319" s="368"/>
      <c r="O319" s="368"/>
      <c r="P319" s="368"/>
      <c r="Q319" s="368"/>
      <c r="R319" s="368"/>
      <c r="S319" s="368"/>
      <c r="T319" s="368"/>
      <c r="U319" s="368"/>
      <c r="V319" s="368"/>
      <c r="W319" s="26"/>
      <c r="X319" s="26"/>
      <c r="Y319" s="26"/>
      <c r="Z319" s="26"/>
    </row>
    <row r="320">
      <c r="A320" s="368"/>
      <c r="B320" s="368"/>
      <c r="C320" s="368"/>
      <c r="D320" s="368"/>
      <c r="E320" s="368"/>
      <c r="F320" s="368"/>
      <c r="G320" s="368"/>
      <c r="H320" s="368"/>
      <c r="I320" s="368"/>
      <c r="J320" s="368"/>
      <c r="K320" s="368"/>
      <c r="L320" s="368"/>
      <c r="M320" s="368"/>
      <c r="N320" s="368"/>
      <c r="O320" s="368"/>
      <c r="P320" s="368"/>
      <c r="Q320" s="368"/>
      <c r="R320" s="368"/>
      <c r="S320" s="368"/>
      <c r="T320" s="368"/>
      <c r="U320" s="368"/>
      <c r="V320" s="368"/>
      <c r="W320" s="26"/>
      <c r="X320" s="26"/>
      <c r="Y320" s="26"/>
      <c r="Z320" s="26"/>
    </row>
    <row r="321">
      <c r="A321" s="368"/>
      <c r="B321" s="368"/>
      <c r="C321" s="368"/>
      <c r="D321" s="368"/>
      <c r="E321" s="368"/>
      <c r="F321" s="368"/>
      <c r="G321" s="368"/>
      <c r="H321" s="368"/>
      <c r="I321" s="368"/>
      <c r="J321" s="368"/>
      <c r="K321" s="368"/>
      <c r="L321" s="368"/>
      <c r="M321" s="368"/>
      <c r="N321" s="368"/>
      <c r="O321" s="368"/>
      <c r="P321" s="368"/>
      <c r="Q321" s="368"/>
      <c r="R321" s="368"/>
      <c r="S321" s="368"/>
      <c r="T321" s="368"/>
      <c r="U321" s="368"/>
      <c r="V321" s="368"/>
      <c r="W321" s="26"/>
      <c r="X321" s="26"/>
      <c r="Y321" s="26"/>
      <c r="Z321" s="26"/>
    </row>
    <row r="322">
      <c r="A322" s="368"/>
      <c r="B322" s="368"/>
      <c r="C322" s="368"/>
      <c r="D322" s="368"/>
      <c r="E322" s="368"/>
      <c r="F322" s="368"/>
      <c r="G322" s="368"/>
      <c r="H322" s="368"/>
      <c r="I322" s="368"/>
      <c r="J322" s="368"/>
      <c r="K322" s="368"/>
      <c r="L322" s="368"/>
      <c r="M322" s="368"/>
      <c r="N322" s="368"/>
      <c r="O322" s="368"/>
      <c r="P322" s="368"/>
      <c r="Q322" s="368"/>
      <c r="R322" s="368"/>
      <c r="S322" s="368"/>
      <c r="T322" s="368"/>
      <c r="U322" s="368"/>
      <c r="V322" s="368"/>
      <c r="W322" s="26"/>
      <c r="X322" s="26"/>
      <c r="Y322" s="26"/>
      <c r="Z322" s="26"/>
    </row>
    <row r="323">
      <c r="A323" s="368"/>
      <c r="B323" s="368"/>
      <c r="C323" s="368"/>
      <c r="D323" s="368"/>
      <c r="E323" s="368"/>
      <c r="F323" s="368"/>
      <c r="G323" s="368"/>
      <c r="H323" s="368"/>
      <c r="I323" s="368"/>
      <c r="J323" s="368"/>
      <c r="K323" s="368"/>
      <c r="L323" s="368"/>
      <c r="M323" s="368"/>
      <c r="N323" s="368"/>
      <c r="O323" s="368"/>
      <c r="P323" s="368"/>
      <c r="Q323" s="368"/>
      <c r="R323" s="368"/>
      <c r="S323" s="368"/>
      <c r="T323" s="368"/>
      <c r="U323" s="368"/>
      <c r="V323" s="368"/>
      <c r="W323" s="26"/>
      <c r="X323" s="26"/>
      <c r="Y323" s="26"/>
      <c r="Z323" s="26"/>
    </row>
    <row r="324">
      <c r="A324" s="368"/>
      <c r="B324" s="368"/>
      <c r="C324" s="368"/>
      <c r="D324" s="368"/>
      <c r="E324" s="368"/>
      <c r="F324" s="368"/>
      <c r="G324" s="368"/>
      <c r="H324" s="368"/>
      <c r="I324" s="368"/>
      <c r="J324" s="368"/>
      <c r="K324" s="368"/>
      <c r="L324" s="368"/>
      <c r="M324" s="368"/>
      <c r="N324" s="368"/>
      <c r="O324" s="368"/>
      <c r="P324" s="368"/>
      <c r="Q324" s="368"/>
      <c r="R324" s="368"/>
      <c r="S324" s="368"/>
      <c r="T324" s="368"/>
      <c r="U324" s="368"/>
      <c r="V324" s="368"/>
      <c r="W324" s="26"/>
      <c r="X324" s="26"/>
      <c r="Y324" s="26"/>
      <c r="Z324" s="26"/>
    </row>
    <row r="325">
      <c r="A325" s="368"/>
      <c r="B325" s="368"/>
      <c r="C325" s="368"/>
      <c r="D325" s="368"/>
      <c r="E325" s="368"/>
      <c r="F325" s="368"/>
      <c r="G325" s="368"/>
      <c r="H325" s="368"/>
      <c r="I325" s="368"/>
      <c r="J325" s="368"/>
      <c r="K325" s="368"/>
      <c r="L325" s="368"/>
      <c r="M325" s="368"/>
      <c r="N325" s="368"/>
      <c r="O325" s="368"/>
      <c r="P325" s="368"/>
      <c r="Q325" s="368"/>
      <c r="R325" s="368"/>
      <c r="S325" s="368"/>
      <c r="T325" s="368"/>
      <c r="U325" s="368"/>
      <c r="V325" s="368"/>
      <c r="W325" s="26"/>
      <c r="X325" s="26"/>
      <c r="Y325" s="26"/>
      <c r="Z325" s="26"/>
    </row>
    <row r="326">
      <c r="A326" s="368"/>
      <c r="B326" s="368"/>
      <c r="C326" s="368"/>
      <c r="D326" s="368"/>
      <c r="E326" s="368"/>
      <c r="F326" s="368"/>
      <c r="G326" s="368"/>
      <c r="H326" s="368"/>
      <c r="I326" s="368"/>
      <c r="J326" s="368"/>
      <c r="K326" s="368"/>
      <c r="L326" s="368"/>
      <c r="M326" s="368"/>
      <c r="N326" s="368"/>
      <c r="O326" s="368"/>
      <c r="P326" s="368"/>
      <c r="Q326" s="368"/>
      <c r="R326" s="368"/>
      <c r="S326" s="368"/>
      <c r="T326" s="368"/>
      <c r="U326" s="368"/>
      <c r="V326" s="368"/>
      <c r="W326" s="26"/>
      <c r="X326" s="26"/>
      <c r="Y326" s="26"/>
      <c r="Z326" s="26"/>
    </row>
    <row r="327">
      <c r="A327" s="368"/>
      <c r="B327" s="368"/>
      <c r="C327" s="368"/>
      <c r="D327" s="368"/>
      <c r="E327" s="368"/>
      <c r="F327" s="368"/>
      <c r="G327" s="368"/>
      <c r="H327" s="368"/>
      <c r="I327" s="368"/>
      <c r="J327" s="368"/>
      <c r="K327" s="368"/>
      <c r="L327" s="368"/>
      <c r="M327" s="368"/>
      <c r="N327" s="368"/>
      <c r="O327" s="368"/>
      <c r="P327" s="368"/>
      <c r="Q327" s="368"/>
      <c r="R327" s="368"/>
      <c r="S327" s="368"/>
      <c r="T327" s="368"/>
      <c r="U327" s="368"/>
      <c r="V327" s="368"/>
      <c r="W327" s="26"/>
      <c r="X327" s="26"/>
      <c r="Y327" s="26"/>
      <c r="Z327" s="26"/>
    </row>
    <row r="328">
      <c r="A328" s="368"/>
      <c r="B328" s="368"/>
      <c r="C328" s="368"/>
      <c r="D328" s="368"/>
      <c r="E328" s="368"/>
      <c r="F328" s="368"/>
      <c r="G328" s="368"/>
      <c r="H328" s="368"/>
      <c r="I328" s="368"/>
      <c r="J328" s="368"/>
      <c r="K328" s="368"/>
      <c r="L328" s="368"/>
      <c r="M328" s="368"/>
      <c r="N328" s="368"/>
      <c r="O328" s="368"/>
      <c r="P328" s="368"/>
      <c r="Q328" s="368"/>
      <c r="R328" s="368"/>
      <c r="S328" s="368"/>
      <c r="T328" s="368"/>
      <c r="U328" s="368"/>
      <c r="V328" s="368"/>
      <c r="W328" s="26"/>
      <c r="X328" s="26"/>
      <c r="Y328" s="26"/>
      <c r="Z328" s="26"/>
    </row>
    <row r="329">
      <c r="A329" s="368"/>
      <c r="B329" s="368"/>
      <c r="C329" s="368"/>
      <c r="D329" s="368"/>
      <c r="E329" s="368"/>
      <c r="F329" s="368"/>
      <c r="G329" s="368"/>
      <c r="H329" s="368"/>
      <c r="I329" s="368"/>
      <c r="J329" s="368"/>
      <c r="K329" s="368"/>
      <c r="L329" s="368"/>
      <c r="M329" s="368"/>
      <c r="N329" s="368"/>
      <c r="O329" s="368"/>
      <c r="P329" s="368"/>
      <c r="Q329" s="368"/>
      <c r="R329" s="368"/>
      <c r="S329" s="368"/>
      <c r="T329" s="368"/>
      <c r="U329" s="368"/>
      <c r="V329" s="368"/>
      <c r="W329" s="26"/>
      <c r="X329" s="26"/>
      <c r="Y329" s="26"/>
      <c r="Z329" s="26"/>
    </row>
    <row r="330">
      <c r="A330" s="368"/>
      <c r="B330" s="368"/>
      <c r="C330" s="368"/>
      <c r="D330" s="368"/>
      <c r="E330" s="368"/>
      <c r="F330" s="368"/>
      <c r="G330" s="368"/>
      <c r="H330" s="368"/>
      <c r="I330" s="368"/>
      <c r="J330" s="368"/>
      <c r="K330" s="368"/>
      <c r="L330" s="368"/>
      <c r="M330" s="368"/>
      <c r="N330" s="368"/>
      <c r="O330" s="368"/>
      <c r="P330" s="368"/>
      <c r="Q330" s="368"/>
      <c r="R330" s="368"/>
      <c r="S330" s="368"/>
      <c r="T330" s="368"/>
      <c r="U330" s="368"/>
      <c r="V330" s="368"/>
      <c r="W330" s="26"/>
      <c r="X330" s="26"/>
      <c r="Y330" s="26"/>
      <c r="Z330" s="26"/>
    </row>
    <row r="331">
      <c r="A331" s="368"/>
      <c r="B331" s="368"/>
      <c r="C331" s="368"/>
      <c r="D331" s="368"/>
      <c r="E331" s="368"/>
      <c r="F331" s="368"/>
      <c r="G331" s="368"/>
      <c r="H331" s="368"/>
      <c r="I331" s="368"/>
      <c r="J331" s="368"/>
      <c r="K331" s="368"/>
      <c r="L331" s="368"/>
      <c r="M331" s="368"/>
      <c r="N331" s="368"/>
      <c r="O331" s="368"/>
      <c r="P331" s="368"/>
      <c r="Q331" s="368"/>
      <c r="R331" s="368"/>
      <c r="S331" s="368"/>
      <c r="T331" s="368"/>
      <c r="U331" s="368"/>
      <c r="V331" s="368"/>
      <c r="W331" s="26"/>
      <c r="X331" s="26"/>
      <c r="Y331" s="26"/>
      <c r="Z331" s="26"/>
    </row>
    <row r="332">
      <c r="A332" s="368"/>
      <c r="B332" s="368"/>
      <c r="C332" s="368"/>
      <c r="D332" s="368"/>
      <c r="E332" s="368"/>
      <c r="F332" s="368"/>
      <c r="G332" s="368"/>
      <c r="H332" s="368"/>
      <c r="I332" s="368"/>
      <c r="J332" s="368"/>
      <c r="K332" s="368"/>
      <c r="L332" s="368"/>
      <c r="M332" s="368"/>
      <c r="N332" s="368"/>
      <c r="O332" s="368"/>
      <c r="P332" s="368"/>
      <c r="Q332" s="368"/>
      <c r="R332" s="368"/>
      <c r="S332" s="368"/>
      <c r="T332" s="368"/>
      <c r="U332" s="368"/>
      <c r="V332" s="368"/>
      <c r="W332" s="26"/>
      <c r="X332" s="26"/>
      <c r="Y332" s="26"/>
      <c r="Z332" s="26"/>
    </row>
    <row r="333">
      <c r="A333" s="368"/>
      <c r="B333" s="368"/>
      <c r="C333" s="368"/>
      <c r="D333" s="368"/>
      <c r="E333" s="368"/>
      <c r="F333" s="368"/>
      <c r="G333" s="368"/>
      <c r="H333" s="368"/>
      <c r="I333" s="368"/>
      <c r="J333" s="368"/>
      <c r="K333" s="368"/>
      <c r="L333" s="368"/>
      <c r="M333" s="368"/>
      <c r="N333" s="368"/>
      <c r="O333" s="368"/>
      <c r="P333" s="368"/>
      <c r="Q333" s="368"/>
      <c r="R333" s="368"/>
      <c r="S333" s="368"/>
      <c r="T333" s="368"/>
      <c r="U333" s="368"/>
      <c r="V333" s="368"/>
      <c r="W333" s="26"/>
      <c r="X333" s="26"/>
      <c r="Y333" s="26"/>
      <c r="Z333" s="26"/>
    </row>
    <row r="334">
      <c r="A334" s="368"/>
      <c r="B334" s="368"/>
      <c r="C334" s="368"/>
      <c r="D334" s="368"/>
      <c r="E334" s="368"/>
      <c r="F334" s="368"/>
      <c r="G334" s="368"/>
      <c r="H334" s="368"/>
      <c r="I334" s="368"/>
      <c r="J334" s="368"/>
      <c r="K334" s="368"/>
      <c r="L334" s="368"/>
      <c r="M334" s="368"/>
      <c r="N334" s="368"/>
      <c r="O334" s="368"/>
      <c r="P334" s="368"/>
      <c r="Q334" s="368"/>
      <c r="R334" s="368"/>
      <c r="S334" s="368"/>
      <c r="T334" s="368"/>
      <c r="U334" s="368"/>
      <c r="V334" s="368"/>
      <c r="W334" s="26"/>
      <c r="X334" s="26"/>
      <c r="Y334" s="26"/>
      <c r="Z334" s="26"/>
    </row>
    <row r="335">
      <c r="A335" s="368"/>
      <c r="B335" s="368"/>
      <c r="C335" s="368"/>
      <c r="D335" s="368"/>
      <c r="E335" s="368"/>
      <c r="F335" s="368"/>
      <c r="G335" s="368"/>
      <c r="H335" s="368"/>
      <c r="I335" s="368"/>
      <c r="J335" s="368"/>
      <c r="K335" s="368"/>
      <c r="L335" s="368"/>
      <c r="M335" s="368"/>
      <c r="N335" s="368"/>
      <c r="O335" s="368"/>
      <c r="P335" s="368"/>
      <c r="Q335" s="368"/>
      <c r="R335" s="368"/>
      <c r="S335" s="368"/>
      <c r="T335" s="368"/>
      <c r="U335" s="368"/>
      <c r="V335" s="368"/>
      <c r="W335" s="26"/>
      <c r="X335" s="26"/>
      <c r="Y335" s="26"/>
      <c r="Z335" s="26"/>
    </row>
    <row r="336">
      <c r="A336" s="368"/>
      <c r="B336" s="368"/>
      <c r="C336" s="368"/>
      <c r="D336" s="368"/>
      <c r="E336" s="368"/>
      <c r="F336" s="368"/>
      <c r="G336" s="368"/>
      <c r="H336" s="368"/>
      <c r="I336" s="368"/>
      <c r="J336" s="368"/>
      <c r="K336" s="368"/>
      <c r="L336" s="368"/>
      <c r="M336" s="368"/>
      <c r="N336" s="368"/>
      <c r="O336" s="368"/>
      <c r="P336" s="368"/>
      <c r="Q336" s="368"/>
      <c r="R336" s="368"/>
      <c r="S336" s="368"/>
      <c r="T336" s="368"/>
      <c r="U336" s="368"/>
      <c r="V336" s="368"/>
      <c r="W336" s="26"/>
      <c r="X336" s="26"/>
      <c r="Y336" s="26"/>
      <c r="Z336" s="26"/>
    </row>
    <row r="337">
      <c r="A337" s="368"/>
      <c r="B337" s="368"/>
      <c r="C337" s="368"/>
      <c r="D337" s="368"/>
      <c r="E337" s="368"/>
      <c r="F337" s="368"/>
      <c r="G337" s="368"/>
      <c r="H337" s="368"/>
      <c r="I337" s="368"/>
      <c r="J337" s="368"/>
      <c r="K337" s="368"/>
      <c r="L337" s="368"/>
      <c r="M337" s="368"/>
      <c r="N337" s="368"/>
      <c r="O337" s="368"/>
      <c r="P337" s="368"/>
      <c r="Q337" s="368"/>
      <c r="R337" s="368"/>
      <c r="S337" s="368"/>
      <c r="T337" s="368"/>
      <c r="U337" s="368"/>
      <c r="V337" s="368"/>
      <c r="W337" s="26"/>
      <c r="X337" s="26"/>
      <c r="Y337" s="26"/>
      <c r="Z337" s="26"/>
    </row>
    <row r="338">
      <c r="A338" s="368"/>
      <c r="B338" s="368"/>
      <c r="C338" s="368"/>
      <c r="D338" s="368"/>
      <c r="E338" s="368"/>
      <c r="F338" s="368"/>
      <c r="G338" s="368"/>
      <c r="H338" s="368"/>
      <c r="I338" s="368"/>
      <c r="J338" s="368"/>
      <c r="K338" s="368"/>
      <c r="L338" s="368"/>
      <c r="M338" s="368"/>
      <c r="N338" s="368"/>
      <c r="O338" s="368"/>
      <c r="P338" s="368"/>
      <c r="Q338" s="368"/>
      <c r="R338" s="368"/>
      <c r="S338" s="368"/>
      <c r="T338" s="368"/>
      <c r="U338" s="368"/>
      <c r="V338" s="368"/>
      <c r="W338" s="26"/>
      <c r="X338" s="26"/>
      <c r="Y338" s="26"/>
      <c r="Z338" s="26"/>
    </row>
    <row r="339">
      <c r="A339" s="368"/>
      <c r="B339" s="368"/>
      <c r="C339" s="368"/>
      <c r="D339" s="368"/>
      <c r="E339" s="368"/>
      <c r="F339" s="368"/>
      <c r="G339" s="368"/>
      <c r="H339" s="368"/>
      <c r="I339" s="368"/>
      <c r="J339" s="368"/>
      <c r="K339" s="368"/>
      <c r="L339" s="368"/>
      <c r="M339" s="368"/>
      <c r="N339" s="368"/>
      <c r="O339" s="368"/>
      <c r="P339" s="368"/>
      <c r="Q339" s="368"/>
      <c r="R339" s="368"/>
      <c r="S339" s="368"/>
      <c r="T339" s="368"/>
      <c r="U339" s="368"/>
      <c r="V339" s="368"/>
      <c r="W339" s="26"/>
      <c r="X339" s="26"/>
      <c r="Y339" s="26"/>
      <c r="Z339" s="26"/>
    </row>
    <row r="340">
      <c r="A340" s="368"/>
      <c r="B340" s="368"/>
      <c r="C340" s="368"/>
      <c r="D340" s="368"/>
      <c r="E340" s="368"/>
      <c r="F340" s="368"/>
      <c r="G340" s="368"/>
      <c r="H340" s="368"/>
      <c r="I340" s="368"/>
      <c r="J340" s="368"/>
      <c r="K340" s="368"/>
      <c r="L340" s="368"/>
      <c r="M340" s="368"/>
      <c r="N340" s="368"/>
      <c r="O340" s="368"/>
      <c r="P340" s="368"/>
      <c r="Q340" s="368"/>
      <c r="R340" s="368"/>
      <c r="S340" s="368"/>
      <c r="T340" s="368"/>
      <c r="U340" s="368"/>
      <c r="V340" s="368"/>
      <c r="W340" s="26"/>
      <c r="X340" s="26"/>
      <c r="Y340" s="26"/>
      <c r="Z340" s="26"/>
    </row>
    <row r="341">
      <c r="A341" s="368"/>
      <c r="B341" s="368"/>
      <c r="C341" s="368"/>
      <c r="D341" s="368"/>
      <c r="E341" s="368"/>
      <c r="F341" s="368"/>
      <c r="G341" s="368"/>
      <c r="H341" s="368"/>
      <c r="I341" s="368"/>
      <c r="J341" s="368"/>
      <c r="K341" s="368"/>
      <c r="L341" s="368"/>
      <c r="M341" s="368"/>
      <c r="N341" s="368"/>
      <c r="O341" s="368"/>
      <c r="P341" s="368"/>
      <c r="Q341" s="368"/>
      <c r="R341" s="368"/>
      <c r="S341" s="368"/>
      <c r="T341" s="368"/>
      <c r="U341" s="368"/>
      <c r="V341" s="368"/>
      <c r="W341" s="26"/>
      <c r="X341" s="26"/>
      <c r="Y341" s="26"/>
      <c r="Z341" s="26"/>
    </row>
    <row r="342">
      <c r="A342" s="368"/>
      <c r="B342" s="368"/>
      <c r="C342" s="368"/>
      <c r="D342" s="368"/>
      <c r="E342" s="368"/>
      <c r="F342" s="368"/>
      <c r="G342" s="368"/>
      <c r="H342" s="368"/>
      <c r="I342" s="368"/>
      <c r="J342" s="368"/>
      <c r="K342" s="368"/>
      <c r="L342" s="368"/>
      <c r="M342" s="368"/>
      <c r="N342" s="368"/>
      <c r="O342" s="368"/>
      <c r="P342" s="368"/>
      <c r="Q342" s="368"/>
      <c r="R342" s="368"/>
      <c r="S342" s="368"/>
      <c r="T342" s="368"/>
      <c r="U342" s="368"/>
      <c r="V342" s="368"/>
      <c r="W342" s="26"/>
      <c r="X342" s="26"/>
      <c r="Y342" s="26"/>
      <c r="Z342" s="26"/>
    </row>
    <row r="343">
      <c r="A343" s="368"/>
      <c r="B343" s="368"/>
      <c r="C343" s="368"/>
      <c r="D343" s="368"/>
      <c r="E343" s="368"/>
      <c r="F343" s="368"/>
      <c r="G343" s="368"/>
      <c r="H343" s="368"/>
      <c r="I343" s="368"/>
      <c r="J343" s="368"/>
      <c r="K343" s="368"/>
      <c r="L343" s="368"/>
      <c r="M343" s="368"/>
      <c r="N343" s="368"/>
      <c r="O343" s="368"/>
      <c r="P343" s="368"/>
      <c r="Q343" s="368"/>
      <c r="R343" s="368"/>
      <c r="S343" s="368"/>
      <c r="T343" s="368"/>
      <c r="U343" s="368"/>
      <c r="V343" s="368"/>
      <c r="W343" s="26"/>
      <c r="X343" s="26"/>
      <c r="Y343" s="26"/>
      <c r="Z343" s="26"/>
    </row>
    <row r="344">
      <c r="A344" s="368"/>
      <c r="B344" s="368"/>
      <c r="C344" s="368"/>
      <c r="D344" s="368"/>
      <c r="E344" s="368"/>
      <c r="F344" s="368"/>
      <c r="G344" s="368"/>
      <c r="H344" s="368"/>
      <c r="I344" s="368"/>
      <c r="J344" s="368"/>
      <c r="K344" s="368"/>
      <c r="L344" s="368"/>
      <c r="M344" s="368"/>
      <c r="N344" s="368"/>
      <c r="O344" s="368"/>
      <c r="P344" s="368"/>
      <c r="Q344" s="368"/>
      <c r="R344" s="368"/>
      <c r="S344" s="368"/>
      <c r="T344" s="368"/>
      <c r="U344" s="368"/>
      <c r="V344" s="368"/>
      <c r="W344" s="26"/>
      <c r="X344" s="26"/>
      <c r="Y344" s="26"/>
      <c r="Z344" s="26"/>
    </row>
    <row r="345">
      <c r="A345" s="368"/>
      <c r="B345" s="368"/>
      <c r="C345" s="368"/>
      <c r="D345" s="368"/>
      <c r="E345" s="368"/>
      <c r="F345" s="368"/>
      <c r="G345" s="368"/>
      <c r="H345" s="368"/>
      <c r="I345" s="368"/>
      <c r="J345" s="368"/>
      <c r="K345" s="368"/>
      <c r="L345" s="368"/>
      <c r="M345" s="368"/>
      <c r="N345" s="368"/>
      <c r="O345" s="368"/>
      <c r="P345" s="368"/>
      <c r="Q345" s="368"/>
      <c r="R345" s="368"/>
      <c r="S345" s="368"/>
      <c r="T345" s="368"/>
      <c r="U345" s="368"/>
      <c r="V345" s="368"/>
      <c r="W345" s="26"/>
      <c r="X345" s="26"/>
      <c r="Y345" s="26"/>
      <c r="Z345" s="26"/>
    </row>
    <row r="346">
      <c r="A346" s="368"/>
      <c r="B346" s="368"/>
      <c r="C346" s="368"/>
      <c r="D346" s="368"/>
      <c r="E346" s="368"/>
      <c r="F346" s="368"/>
      <c r="G346" s="368"/>
      <c r="H346" s="368"/>
      <c r="I346" s="368"/>
      <c r="J346" s="368"/>
      <c r="K346" s="368"/>
      <c r="L346" s="368"/>
      <c r="M346" s="368"/>
      <c r="N346" s="368"/>
      <c r="O346" s="368"/>
      <c r="P346" s="368"/>
      <c r="Q346" s="368"/>
      <c r="R346" s="368"/>
      <c r="S346" s="368"/>
      <c r="T346" s="368"/>
      <c r="U346" s="368"/>
      <c r="V346" s="368"/>
      <c r="W346" s="26"/>
      <c r="X346" s="26"/>
      <c r="Y346" s="26"/>
      <c r="Z346" s="26"/>
    </row>
    <row r="347">
      <c r="A347" s="368"/>
      <c r="B347" s="368"/>
      <c r="C347" s="368"/>
      <c r="D347" s="368"/>
      <c r="E347" s="368"/>
      <c r="F347" s="368"/>
      <c r="G347" s="368"/>
      <c r="H347" s="368"/>
      <c r="I347" s="368"/>
      <c r="J347" s="368"/>
      <c r="K347" s="368"/>
      <c r="L347" s="368"/>
      <c r="M347" s="368"/>
      <c r="N347" s="368"/>
      <c r="O347" s="368"/>
      <c r="P347" s="368"/>
      <c r="Q347" s="368"/>
      <c r="R347" s="368"/>
      <c r="S347" s="368"/>
      <c r="T347" s="368"/>
      <c r="U347" s="368"/>
      <c r="V347" s="368"/>
      <c r="W347" s="26"/>
      <c r="X347" s="26"/>
      <c r="Y347" s="26"/>
      <c r="Z347" s="26"/>
    </row>
    <row r="348">
      <c r="A348" s="368"/>
      <c r="B348" s="368"/>
      <c r="C348" s="368"/>
      <c r="D348" s="368"/>
      <c r="E348" s="368"/>
      <c r="F348" s="368"/>
      <c r="G348" s="368"/>
      <c r="H348" s="368"/>
      <c r="I348" s="368"/>
      <c r="J348" s="368"/>
      <c r="K348" s="368"/>
      <c r="L348" s="368"/>
      <c r="M348" s="368"/>
      <c r="N348" s="368"/>
      <c r="O348" s="368"/>
      <c r="P348" s="368"/>
      <c r="Q348" s="368"/>
      <c r="R348" s="368"/>
      <c r="S348" s="368"/>
      <c r="T348" s="368"/>
      <c r="U348" s="368"/>
      <c r="V348" s="368"/>
      <c r="W348" s="26"/>
      <c r="X348" s="26"/>
      <c r="Y348" s="26"/>
      <c r="Z348" s="26"/>
    </row>
    <row r="349">
      <c r="A349" s="368"/>
      <c r="B349" s="368"/>
      <c r="C349" s="368"/>
      <c r="D349" s="368"/>
      <c r="E349" s="368"/>
      <c r="F349" s="368"/>
      <c r="G349" s="368"/>
      <c r="H349" s="368"/>
      <c r="I349" s="368"/>
      <c r="J349" s="368"/>
      <c r="K349" s="368"/>
      <c r="L349" s="368"/>
      <c r="M349" s="368"/>
      <c r="N349" s="368"/>
      <c r="O349" s="368"/>
      <c r="P349" s="368"/>
      <c r="Q349" s="368"/>
      <c r="R349" s="368"/>
      <c r="S349" s="368"/>
      <c r="T349" s="368"/>
      <c r="U349" s="368"/>
      <c r="V349" s="368"/>
      <c r="W349" s="26"/>
      <c r="X349" s="26"/>
      <c r="Y349" s="26"/>
      <c r="Z349" s="26"/>
    </row>
    <row r="350">
      <c r="A350" s="368"/>
      <c r="B350" s="368"/>
      <c r="C350" s="368"/>
      <c r="D350" s="368"/>
      <c r="E350" s="368"/>
      <c r="F350" s="368"/>
      <c r="G350" s="368"/>
      <c r="H350" s="368"/>
      <c r="I350" s="368"/>
      <c r="J350" s="368"/>
      <c r="K350" s="368"/>
      <c r="L350" s="368"/>
      <c r="M350" s="368"/>
      <c r="N350" s="368"/>
      <c r="O350" s="368"/>
      <c r="P350" s="368"/>
      <c r="Q350" s="368"/>
      <c r="R350" s="368"/>
      <c r="S350" s="368"/>
      <c r="T350" s="368"/>
      <c r="U350" s="368"/>
      <c r="V350" s="368"/>
      <c r="W350" s="26"/>
      <c r="X350" s="26"/>
      <c r="Y350" s="26"/>
      <c r="Z350" s="26"/>
    </row>
    <row r="351">
      <c r="A351" s="368"/>
      <c r="B351" s="368"/>
      <c r="C351" s="368"/>
      <c r="D351" s="368"/>
      <c r="E351" s="368"/>
      <c r="F351" s="368"/>
      <c r="G351" s="368"/>
      <c r="H351" s="368"/>
      <c r="I351" s="368"/>
      <c r="J351" s="368"/>
      <c r="K351" s="368"/>
      <c r="L351" s="368"/>
      <c r="M351" s="368"/>
      <c r="N351" s="368"/>
      <c r="O351" s="368"/>
      <c r="P351" s="368"/>
      <c r="Q351" s="368"/>
      <c r="R351" s="368"/>
      <c r="S351" s="368"/>
      <c r="T351" s="368"/>
      <c r="U351" s="368"/>
      <c r="V351" s="368"/>
      <c r="W351" s="26"/>
      <c r="X351" s="26"/>
      <c r="Y351" s="26"/>
      <c r="Z351" s="26"/>
    </row>
    <row r="352">
      <c r="A352" s="368"/>
      <c r="B352" s="368"/>
      <c r="C352" s="368"/>
      <c r="D352" s="368"/>
      <c r="E352" s="368"/>
      <c r="F352" s="368"/>
      <c r="G352" s="368"/>
      <c r="H352" s="368"/>
      <c r="I352" s="368"/>
      <c r="J352" s="368"/>
      <c r="K352" s="368"/>
      <c r="L352" s="368"/>
      <c r="M352" s="368"/>
      <c r="N352" s="368"/>
      <c r="O352" s="368"/>
      <c r="P352" s="368"/>
      <c r="Q352" s="368"/>
      <c r="R352" s="368"/>
      <c r="S352" s="368"/>
      <c r="T352" s="368"/>
      <c r="U352" s="368"/>
      <c r="V352" s="368"/>
      <c r="W352" s="26"/>
      <c r="X352" s="26"/>
      <c r="Y352" s="26"/>
      <c r="Z352" s="26"/>
    </row>
    <row r="353">
      <c r="A353" s="368"/>
      <c r="B353" s="368"/>
      <c r="C353" s="368"/>
      <c r="D353" s="368"/>
      <c r="E353" s="368"/>
      <c r="F353" s="368"/>
      <c r="G353" s="368"/>
      <c r="H353" s="368"/>
      <c r="I353" s="368"/>
      <c r="J353" s="368"/>
      <c r="K353" s="368"/>
      <c r="L353" s="368"/>
      <c r="M353" s="368"/>
      <c r="N353" s="368"/>
      <c r="O353" s="368"/>
      <c r="P353" s="368"/>
      <c r="Q353" s="368"/>
      <c r="R353" s="368"/>
      <c r="S353" s="368"/>
      <c r="T353" s="368"/>
      <c r="U353" s="368"/>
      <c r="V353" s="368"/>
      <c r="W353" s="26"/>
      <c r="X353" s="26"/>
      <c r="Y353" s="26"/>
      <c r="Z353" s="26"/>
    </row>
    <row r="354">
      <c r="A354" s="368"/>
      <c r="B354" s="368"/>
      <c r="C354" s="368"/>
      <c r="D354" s="368"/>
      <c r="E354" s="368"/>
      <c r="F354" s="368"/>
      <c r="G354" s="368"/>
      <c r="H354" s="368"/>
      <c r="I354" s="368"/>
      <c r="J354" s="368"/>
      <c r="K354" s="368"/>
      <c r="L354" s="368"/>
      <c r="M354" s="368"/>
      <c r="N354" s="368"/>
      <c r="O354" s="368"/>
      <c r="P354" s="368"/>
      <c r="Q354" s="368"/>
      <c r="R354" s="368"/>
      <c r="S354" s="368"/>
      <c r="T354" s="368"/>
      <c r="U354" s="368"/>
      <c r="V354" s="368"/>
      <c r="W354" s="26"/>
      <c r="X354" s="26"/>
      <c r="Y354" s="26"/>
      <c r="Z354" s="26"/>
    </row>
    <row r="355">
      <c r="A355" s="368"/>
      <c r="B355" s="368"/>
      <c r="C355" s="368"/>
      <c r="D355" s="368"/>
      <c r="E355" s="368"/>
      <c r="F355" s="368"/>
      <c r="G355" s="368"/>
      <c r="H355" s="368"/>
      <c r="I355" s="368"/>
      <c r="J355" s="368"/>
      <c r="K355" s="368"/>
      <c r="L355" s="368"/>
      <c r="M355" s="368"/>
      <c r="N355" s="368"/>
      <c r="O355" s="368"/>
      <c r="P355" s="368"/>
      <c r="Q355" s="368"/>
      <c r="R355" s="368"/>
      <c r="S355" s="368"/>
      <c r="T355" s="368"/>
      <c r="U355" s="368"/>
      <c r="V355" s="368"/>
      <c r="W355" s="26"/>
      <c r="X355" s="26"/>
      <c r="Y355" s="26"/>
      <c r="Z355" s="26"/>
    </row>
    <row r="356">
      <c r="A356" s="368"/>
      <c r="B356" s="368"/>
      <c r="C356" s="368"/>
      <c r="D356" s="368"/>
      <c r="E356" s="368"/>
      <c r="F356" s="368"/>
      <c r="G356" s="368"/>
      <c r="H356" s="368"/>
      <c r="I356" s="368"/>
      <c r="J356" s="368"/>
      <c r="K356" s="368"/>
      <c r="L356" s="368"/>
      <c r="M356" s="368"/>
      <c r="N356" s="368"/>
      <c r="O356" s="368"/>
      <c r="P356" s="368"/>
      <c r="Q356" s="368"/>
      <c r="R356" s="368"/>
      <c r="S356" s="368"/>
      <c r="T356" s="368"/>
      <c r="U356" s="368"/>
      <c r="V356" s="368"/>
      <c r="W356" s="26"/>
      <c r="X356" s="26"/>
      <c r="Y356" s="26"/>
      <c r="Z356" s="26"/>
    </row>
    <row r="357">
      <c r="A357" s="368"/>
      <c r="B357" s="368"/>
      <c r="C357" s="368"/>
      <c r="D357" s="368"/>
      <c r="E357" s="368"/>
      <c r="F357" s="368"/>
      <c r="G357" s="368"/>
      <c r="H357" s="368"/>
      <c r="I357" s="368"/>
      <c r="J357" s="368"/>
      <c r="K357" s="368"/>
      <c r="L357" s="368"/>
      <c r="M357" s="368"/>
      <c r="N357" s="368"/>
      <c r="O357" s="368"/>
      <c r="P357" s="368"/>
      <c r="Q357" s="368"/>
      <c r="R357" s="368"/>
      <c r="S357" s="368"/>
      <c r="T357" s="368"/>
      <c r="U357" s="368"/>
      <c r="V357" s="368"/>
      <c r="W357" s="26"/>
      <c r="X357" s="26"/>
      <c r="Y357" s="26"/>
      <c r="Z357" s="26"/>
    </row>
    <row r="358">
      <c r="A358" s="368"/>
      <c r="B358" s="368"/>
      <c r="C358" s="368"/>
      <c r="D358" s="368"/>
      <c r="E358" s="368"/>
      <c r="F358" s="368"/>
      <c r="G358" s="368"/>
      <c r="H358" s="368"/>
      <c r="I358" s="368"/>
      <c r="J358" s="368"/>
      <c r="K358" s="368"/>
      <c r="L358" s="368"/>
      <c r="M358" s="368"/>
      <c r="N358" s="368"/>
      <c r="O358" s="368"/>
      <c r="P358" s="368"/>
      <c r="Q358" s="368"/>
      <c r="R358" s="368"/>
      <c r="S358" s="368"/>
      <c r="T358" s="368"/>
      <c r="U358" s="368"/>
      <c r="V358" s="368"/>
      <c r="W358" s="26"/>
      <c r="X358" s="26"/>
      <c r="Y358" s="26"/>
      <c r="Z358" s="26"/>
    </row>
    <row r="359">
      <c r="A359" s="368"/>
      <c r="B359" s="368"/>
      <c r="C359" s="368"/>
      <c r="D359" s="368"/>
      <c r="E359" s="368"/>
      <c r="F359" s="368"/>
      <c r="G359" s="368"/>
      <c r="H359" s="368"/>
      <c r="I359" s="368"/>
      <c r="J359" s="368"/>
      <c r="K359" s="368"/>
      <c r="L359" s="368"/>
      <c r="M359" s="368"/>
      <c r="N359" s="368"/>
      <c r="O359" s="368"/>
      <c r="P359" s="368"/>
      <c r="Q359" s="368"/>
      <c r="R359" s="368"/>
      <c r="S359" s="368"/>
      <c r="T359" s="368"/>
      <c r="U359" s="368"/>
      <c r="V359" s="368"/>
      <c r="W359" s="26"/>
      <c r="X359" s="26"/>
      <c r="Y359" s="26"/>
      <c r="Z359" s="26"/>
    </row>
    <row r="360">
      <c r="A360" s="368"/>
      <c r="B360" s="368"/>
      <c r="C360" s="368"/>
      <c r="D360" s="368"/>
      <c r="E360" s="368"/>
      <c r="F360" s="368"/>
      <c r="G360" s="368"/>
      <c r="H360" s="368"/>
      <c r="I360" s="368"/>
      <c r="J360" s="368"/>
      <c r="K360" s="368"/>
      <c r="L360" s="368"/>
      <c r="M360" s="368"/>
      <c r="N360" s="368"/>
      <c r="O360" s="368"/>
      <c r="P360" s="368"/>
      <c r="Q360" s="368"/>
      <c r="R360" s="368"/>
      <c r="S360" s="368"/>
      <c r="T360" s="368"/>
      <c r="U360" s="368"/>
      <c r="V360" s="368"/>
      <c r="W360" s="26"/>
      <c r="X360" s="26"/>
      <c r="Y360" s="26"/>
      <c r="Z360" s="26"/>
    </row>
    <row r="361">
      <c r="A361" s="368"/>
      <c r="B361" s="368"/>
      <c r="C361" s="368"/>
      <c r="D361" s="368"/>
      <c r="E361" s="368"/>
      <c r="F361" s="368"/>
      <c r="G361" s="368"/>
      <c r="H361" s="368"/>
      <c r="I361" s="368"/>
      <c r="J361" s="368"/>
      <c r="K361" s="368"/>
      <c r="L361" s="368"/>
      <c r="M361" s="368"/>
      <c r="N361" s="368"/>
      <c r="O361" s="368"/>
      <c r="P361" s="368"/>
      <c r="Q361" s="368"/>
      <c r="R361" s="368"/>
      <c r="S361" s="368"/>
      <c r="T361" s="368"/>
      <c r="U361" s="368"/>
      <c r="V361" s="368"/>
      <c r="W361" s="26"/>
      <c r="X361" s="26"/>
      <c r="Y361" s="26"/>
      <c r="Z361" s="26"/>
    </row>
    <row r="362">
      <c r="A362" s="368"/>
      <c r="B362" s="368"/>
      <c r="C362" s="368"/>
      <c r="D362" s="368"/>
      <c r="E362" s="368"/>
      <c r="F362" s="368"/>
      <c r="G362" s="368"/>
      <c r="H362" s="368"/>
      <c r="I362" s="368"/>
      <c r="J362" s="368"/>
      <c r="K362" s="368"/>
      <c r="L362" s="368"/>
      <c r="M362" s="368"/>
      <c r="N362" s="368"/>
      <c r="O362" s="368"/>
      <c r="P362" s="368"/>
      <c r="Q362" s="368"/>
      <c r="R362" s="368"/>
      <c r="S362" s="368"/>
      <c r="T362" s="368"/>
      <c r="U362" s="368"/>
      <c r="V362" s="368"/>
      <c r="W362" s="26"/>
      <c r="X362" s="26"/>
      <c r="Y362" s="26"/>
      <c r="Z362" s="26"/>
    </row>
    <row r="363">
      <c r="A363" s="368"/>
      <c r="B363" s="368"/>
      <c r="C363" s="368"/>
      <c r="D363" s="368"/>
      <c r="E363" s="368"/>
      <c r="F363" s="368"/>
      <c r="G363" s="368"/>
      <c r="H363" s="368"/>
      <c r="I363" s="368"/>
      <c r="J363" s="368"/>
      <c r="K363" s="368"/>
      <c r="L363" s="368"/>
      <c r="M363" s="368"/>
      <c r="N363" s="368"/>
      <c r="O363" s="368"/>
      <c r="P363" s="368"/>
      <c r="Q363" s="368"/>
      <c r="R363" s="368"/>
      <c r="S363" s="368"/>
      <c r="T363" s="368"/>
      <c r="U363" s="368"/>
      <c r="V363" s="368"/>
      <c r="W363" s="26"/>
      <c r="X363" s="26"/>
      <c r="Y363" s="26"/>
      <c r="Z363" s="26"/>
    </row>
    <row r="364">
      <c r="A364" s="368"/>
      <c r="B364" s="368"/>
      <c r="C364" s="368"/>
      <c r="D364" s="368"/>
      <c r="E364" s="368"/>
      <c r="F364" s="368"/>
      <c r="G364" s="368"/>
      <c r="H364" s="368"/>
      <c r="I364" s="368"/>
      <c r="J364" s="368"/>
      <c r="K364" s="368"/>
      <c r="L364" s="368"/>
      <c r="M364" s="368"/>
      <c r="N364" s="368"/>
      <c r="O364" s="368"/>
      <c r="P364" s="368"/>
      <c r="Q364" s="368"/>
      <c r="R364" s="368"/>
      <c r="S364" s="368"/>
      <c r="T364" s="368"/>
      <c r="U364" s="368"/>
      <c r="V364" s="368"/>
      <c r="W364" s="26"/>
      <c r="X364" s="26"/>
      <c r="Y364" s="26"/>
      <c r="Z364" s="26"/>
    </row>
    <row r="365">
      <c r="A365" s="368"/>
      <c r="B365" s="368"/>
      <c r="C365" s="368"/>
      <c r="D365" s="368"/>
      <c r="E365" s="368"/>
      <c r="F365" s="368"/>
      <c r="G365" s="368"/>
      <c r="H365" s="368"/>
      <c r="I365" s="368"/>
      <c r="J365" s="368"/>
      <c r="K365" s="368"/>
      <c r="L365" s="368"/>
      <c r="M365" s="368"/>
      <c r="N365" s="368"/>
      <c r="O365" s="368"/>
      <c r="P365" s="368"/>
      <c r="Q365" s="368"/>
      <c r="R365" s="368"/>
      <c r="S365" s="368"/>
      <c r="T365" s="368"/>
      <c r="U365" s="368"/>
      <c r="V365" s="368"/>
      <c r="W365" s="26"/>
      <c r="X365" s="26"/>
      <c r="Y365" s="26"/>
      <c r="Z365" s="26"/>
    </row>
    <row r="366">
      <c r="A366" s="368"/>
      <c r="B366" s="368"/>
      <c r="C366" s="368"/>
      <c r="D366" s="368"/>
      <c r="E366" s="368"/>
      <c r="F366" s="368"/>
      <c r="G366" s="368"/>
      <c r="H366" s="368"/>
      <c r="I366" s="368"/>
      <c r="J366" s="368"/>
      <c r="K366" s="368"/>
      <c r="L366" s="368"/>
      <c r="M366" s="368"/>
      <c r="N366" s="368"/>
      <c r="O366" s="368"/>
      <c r="P366" s="368"/>
      <c r="Q366" s="368"/>
      <c r="R366" s="368"/>
      <c r="S366" s="368"/>
      <c r="T366" s="368"/>
      <c r="U366" s="368"/>
      <c r="V366" s="368"/>
      <c r="W366" s="26"/>
      <c r="X366" s="26"/>
      <c r="Y366" s="26"/>
      <c r="Z366" s="26"/>
    </row>
    <row r="367">
      <c r="A367" s="368"/>
      <c r="B367" s="368"/>
      <c r="C367" s="368"/>
      <c r="D367" s="368"/>
      <c r="E367" s="368"/>
      <c r="F367" s="368"/>
      <c r="G367" s="368"/>
      <c r="H367" s="368"/>
      <c r="I367" s="368"/>
      <c r="J367" s="368"/>
      <c r="K367" s="368"/>
      <c r="L367" s="368"/>
      <c r="M367" s="368"/>
      <c r="N367" s="368"/>
      <c r="O367" s="368"/>
      <c r="P367" s="368"/>
      <c r="Q367" s="368"/>
      <c r="R367" s="368"/>
      <c r="S367" s="368"/>
      <c r="T367" s="368"/>
      <c r="U367" s="368"/>
      <c r="V367" s="368"/>
      <c r="W367" s="26"/>
      <c r="X367" s="26"/>
      <c r="Y367" s="26"/>
      <c r="Z367" s="26"/>
    </row>
    <row r="368">
      <c r="A368" s="368"/>
      <c r="B368" s="368"/>
      <c r="C368" s="368"/>
      <c r="D368" s="368"/>
      <c r="E368" s="368"/>
      <c r="F368" s="368"/>
      <c r="G368" s="368"/>
      <c r="H368" s="368"/>
      <c r="I368" s="368"/>
      <c r="J368" s="368"/>
      <c r="K368" s="368"/>
      <c r="L368" s="368"/>
      <c r="M368" s="368"/>
      <c r="N368" s="368"/>
      <c r="O368" s="368"/>
      <c r="P368" s="368"/>
      <c r="Q368" s="368"/>
      <c r="R368" s="368"/>
      <c r="S368" s="368"/>
      <c r="T368" s="368"/>
      <c r="U368" s="368"/>
      <c r="V368" s="368"/>
      <c r="W368" s="26"/>
      <c r="X368" s="26"/>
      <c r="Y368" s="26"/>
      <c r="Z368" s="26"/>
    </row>
    <row r="369">
      <c r="A369" s="368"/>
      <c r="B369" s="368"/>
      <c r="C369" s="368"/>
      <c r="D369" s="368"/>
      <c r="E369" s="368"/>
      <c r="F369" s="368"/>
      <c r="G369" s="368"/>
      <c r="H369" s="368"/>
      <c r="I369" s="368"/>
      <c r="J369" s="368"/>
      <c r="K369" s="368"/>
      <c r="L369" s="368"/>
      <c r="M369" s="368"/>
      <c r="N369" s="368"/>
      <c r="O369" s="368"/>
      <c r="P369" s="368"/>
      <c r="Q369" s="368"/>
      <c r="R369" s="368"/>
      <c r="S369" s="368"/>
      <c r="T369" s="368"/>
      <c r="U369" s="368"/>
      <c r="V369" s="368"/>
      <c r="W369" s="26"/>
      <c r="X369" s="26"/>
      <c r="Y369" s="26"/>
      <c r="Z369" s="26"/>
    </row>
    <row r="370">
      <c r="A370" s="368"/>
      <c r="B370" s="368"/>
      <c r="C370" s="368"/>
      <c r="D370" s="368"/>
      <c r="E370" s="368"/>
      <c r="F370" s="368"/>
      <c r="G370" s="368"/>
      <c r="H370" s="368"/>
      <c r="I370" s="368"/>
      <c r="J370" s="368"/>
      <c r="K370" s="368"/>
      <c r="L370" s="368"/>
      <c r="M370" s="368"/>
      <c r="N370" s="368"/>
      <c r="O370" s="368"/>
      <c r="P370" s="368"/>
      <c r="Q370" s="368"/>
      <c r="R370" s="368"/>
      <c r="S370" s="368"/>
      <c r="T370" s="368"/>
      <c r="U370" s="368"/>
      <c r="V370" s="368"/>
      <c r="W370" s="26"/>
      <c r="X370" s="26"/>
      <c r="Y370" s="26"/>
      <c r="Z370" s="26"/>
    </row>
    <row r="371">
      <c r="A371" s="368"/>
      <c r="B371" s="368"/>
      <c r="C371" s="368"/>
      <c r="D371" s="368"/>
      <c r="E371" s="368"/>
      <c r="F371" s="368"/>
      <c r="G371" s="368"/>
      <c r="H371" s="368"/>
      <c r="I371" s="368"/>
      <c r="J371" s="368"/>
      <c r="K371" s="368"/>
      <c r="L371" s="368"/>
      <c r="M371" s="368"/>
      <c r="N371" s="368"/>
      <c r="O371" s="368"/>
      <c r="P371" s="368"/>
      <c r="Q371" s="368"/>
      <c r="R371" s="368"/>
      <c r="S371" s="368"/>
      <c r="T371" s="368"/>
      <c r="U371" s="368"/>
      <c r="V371" s="368"/>
      <c r="W371" s="26"/>
      <c r="X371" s="26"/>
      <c r="Y371" s="26"/>
      <c r="Z371" s="26"/>
    </row>
    <row r="372">
      <c r="A372" s="368"/>
      <c r="B372" s="368"/>
      <c r="C372" s="368"/>
      <c r="D372" s="368"/>
      <c r="E372" s="368"/>
      <c r="F372" s="368"/>
      <c r="G372" s="368"/>
      <c r="H372" s="368"/>
      <c r="I372" s="368"/>
      <c r="J372" s="368"/>
      <c r="K372" s="368"/>
      <c r="L372" s="368"/>
      <c r="M372" s="368"/>
      <c r="N372" s="368"/>
      <c r="O372" s="368"/>
      <c r="P372" s="368"/>
      <c r="Q372" s="368"/>
      <c r="R372" s="368"/>
      <c r="S372" s="368"/>
      <c r="T372" s="368"/>
      <c r="U372" s="368"/>
      <c r="V372" s="368"/>
      <c r="W372" s="26"/>
      <c r="X372" s="26"/>
      <c r="Y372" s="26"/>
      <c r="Z372" s="26"/>
    </row>
    <row r="373">
      <c r="A373" s="368"/>
      <c r="B373" s="368"/>
      <c r="C373" s="368"/>
      <c r="D373" s="368"/>
      <c r="E373" s="368"/>
      <c r="F373" s="368"/>
      <c r="G373" s="368"/>
      <c r="H373" s="368"/>
      <c r="I373" s="368"/>
      <c r="J373" s="368"/>
      <c r="K373" s="368"/>
      <c r="L373" s="368"/>
      <c r="M373" s="368"/>
      <c r="N373" s="368"/>
      <c r="O373" s="368"/>
      <c r="P373" s="368"/>
      <c r="Q373" s="368"/>
      <c r="R373" s="368"/>
      <c r="S373" s="368"/>
      <c r="T373" s="368"/>
      <c r="U373" s="368"/>
      <c r="V373" s="368"/>
      <c r="W373" s="26"/>
      <c r="X373" s="26"/>
      <c r="Y373" s="26"/>
      <c r="Z373" s="26"/>
    </row>
    <row r="374">
      <c r="A374" s="368"/>
      <c r="B374" s="368"/>
      <c r="C374" s="368"/>
      <c r="D374" s="368"/>
      <c r="E374" s="368"/>
      <c r="F374" s="368"/>
      <c r="G374" s="368"/>
      <c r="H374" s="368"/>
      <c r="I374" s="368"/>
      <c r="J374" s="368"/>
      <c r="K374" s="368"/>
      <c r="L374" s="368"/>
      <c r="M374" s="368"/>
      <c r="N374" s="368"/>
      <c r="O374" s="368"/>
      <c r="P374" s="368"/>
      <c r="Q374" s="368"/>
      <c r="R374" s="368"/>
      <c r="S374" s="368"/>
      <c r="T374" s="368"/>
      <c r="U374" s="368"/>
      <c r="V374" s="368"/>
      <c r="W374" s="26"/>
      <c r="X374" s="26"/>
      <c r="Y374" s="26"/>
      <c r="Z374" s="26"/>
    </row>
    <row r="375">
      <c r="A375" s="368"/>
      <c r="B375" s="368"/>
      <c r="C375" s="368"/>
      <c r="D375" s="368"/>
      <c r="E375" s="368"/>
      <c r="F375" s="368"/>
      <c r="G375" s="368"/>
      <c r="H375" s="368"/>
      <c r="I375" s="368"/>
      <c r="J375" s="368"/>
      <c r="K375" s="368"/>
      <c r="L375" s="368"/>
      <c r="M375" s="368"/>
      <c r="N375" s="368"/>
      <c r="O375" s="368"/>
      <c r="P375" s="368"/>
      <c r="Q375" s="368"/>
      <c r="R375" s="368"/>
      <c r="S375" s="368"/>
      <c r="T375" s="368"/>
      <c r="U375" s="368"/>
      <c r="V375" s="368"/>
      <c r="W375" s="26"/>
      <c r="X375" s="26"/>
      <c r="Y375" s="26"/>
      <c r="Z375" s="26"/>
    </row>
    <row r="376">
      <c r="A376" s="368"/>
      <c r="B376" s="368"/>
      <c r="C376" s="368"/>
      <c r="D376" s="368"/>
      <c r="E376" s="368"/>
      <c r="F376" s="368"/>
      <c r="G376" s="368"/>
      <c r="H376" s="368"/>
      <c r="I376" s="368"/>
      <c r="J376" s="368"/>
      <c r="K376" s="368"/>
      <c r="L376" s="368"/>
      <c r="M376" s="368"/>
      <c r="N376" s="368"/>
      <c r="O376" s="368"/>
      <c r="P376" s="368"/>
      <c r="Q376" s="368"/>
      <c r="R376" s="368"/>
      <c r="S376" s="368"/>
      <c r="T376" s="368"/>
      <c r="U376" s="368"/>
      <c r="V376" s="368"/>
      <c r="W376" s="26"/>
      <c r="X376" s="26"/>
      <c r="Y376" s="26"/>
      <c r="Z376" s="26"/>
    </row>
    <row r="377">
      <c r="A377" s="368"/>
      <c r="B377" s="368"/>
      <c r="C377" s="368"/>
      <c r="D377" s="368"/>
      <c r="E377" s="368"/>
      <c r="F377" s="368"/>
      <c r="G377" s="368"/>
      <c r="H377" s="368"/>
      <c r="I377" s="368"/>
      <c r="J377" s="368"/>
      <c r="K377" s="368"/>
      <c r="L377" s="368"/>
      <c r="M377" s="368"/>
      <c r="N377" s="368"/>
      <c r="O377" s="368"/>
      <c r="P377" s="368"/>
      <c r="Q377" s="368"/>
      <c r="R377" s="368"/>
      <c r="S377" s="368"/>
      <c r="T377" s="368"/>
      <c r="U377" s="368"/>
      <c r="V377" s="368"/>
      <c r="W377" s="26"/>
      <c r="X377" s="26"/>
      <c r="Y377" s="26"/>
      <c r="Z377" s="26"/>
    </row>
    <row r="378">
      <c r="A378" s="368"/>
      <c r="B378" s="368"/>
      <c r="C378" s="368"/>
      <c r="D378" s="368"/>
      <c r="E378" s="368"/>
      <c r="F378" s="368"/>
      <c r="G378" s="368"/>
      <c r="H378" s="368"/>
      <c r="I378" s="368"/>
      <c r="J378" s="368"/>
      <c r="K378" s="368"/>
      <c r="L378" s="368"/>
      <c r="M378" s="368"/>
      <c r="N378" s="368"/>
      <c r="O378" s="368"/>
      <c r="P378" s="368"/>
      <c r="Q378" s="368"/>
      <c r="R378" s="368"/>
      <c r="S378" s="368"/>
      <c r="T378" s="368"/>
      <c r="U378" s="368"/>
      <c r="V378" s="368"/>
      <c r="W378" s="26"/>
      <c r="X378" s="26"/>
      <c r="Y378" s="26"/>
      <c r="Z378" s="26"/>
    </row>
    <row r="379">
      <c r="A379" s="368"/>
      <c r="B379" s="368"/>
      <c r="C379" s="368"/>
      <c r="D379" s="368"/>
      <c r="E379" s="368"/>
      <c r="F379" s="368"/>
      <c r="G379" s="368"/>
      <c r="H379" s="368"/>
      <c r="I379" s="368"/>
      <c r="J379" s="368"/>
      <c r="K379" s="368"/>
      <c r="L379" s="368"/>
      <c r="M379" s="368"/>
      <c r="N379" s="368"/>
      <c r="O379" s="368"/>
      <c r="P379" s="368"/>
      <c r="Q379" s="368"/>
      <c r="R379" s="368"/>
      <c r="S379" s="368"/>
      <c r="T379" s="368"/>
      <c r="U379" s="368"/>
      <c r="V379" s="368"/>
      <c r="W379" s="26"/>
      <c r="X379" s="26"/>
      <c r="Y379" s="26"/>
      <c r="Z379" s="26"/>
    </row>
    <row r="380">
      <c r="A380" s="368"/>
      <c r="B380" s="368"/>
      <c r="C380" s="368"/>
      <c r="D380" s="368"/>
      <c r="E380" s="368"/>
      <c r="F380" s="368"/>
      <c r="G380" s="368"/>
      <c r="H380" s="368"/>
      <c r="I380" s="368"/>
      <c r="J380" s="368"/>
      <c r="K380" s="368"/>
      <c r="L380" s="368"/>
      <c r="M380" s="368"/>
      <c r="N380" s="368"/>
      <c r="O380" s="368"/>
      <c r="P380" s="368"/>
      <c r="Q380" s="368"/>
      <c r="R380" s="368"/>
      <c r="S380" s="368"/>
      <c r="T380" s="368"/>
      <c r="U380" s="368"/>
      <c r="V380" s="368"/>
      <c r="W380" s="26"/>
      <c r="X380" s="26"/>
      <c r="Y380" s="26"/>
      <c r="Z380" s="26"/>
    </row>
    <row r="381">
      <c r="A381" s="368"/>
      <c r="B381" s="368"/>
      <c r="C381" s="368"/>
      <c r="D381" s="368"/>
      <c r="E381" s="368"/>
      <c r="F381" s="368"/>
      <c r="G381" s="368"/>
      <c r="H381" s="368"/>
      <c r="I381" s="368"/>
      <c r="J381" s="368"/>
      <c r="K381" s="368"/>
      <c r="L381" s="368"/>
      <c r="M381" s="368"/>
      <c r="N381" s="368"/>
      <c r="O381" s="368"/>
      <c r="P381" s="368"/>
      <c r="Q381" s="368"/>
      <c r="R381" s="368"/>
      <c r="S381" s="368"/>
      <c r="T381" s="368"/>
      <c r="U381" s="368"/>
      <c r="V381" s="368"/>
      <c r="W381" s="26"/>
      <c r="X381" s="26"/>
      <c r="Y381" s="26"/>
      <c r="Z381" s="26"/>
    </row>
    <row r="382">
      <c r="A382" s="368"/>
      <c r="B382" s="368"/>
      <c r="C382" s="368"/>
      <c r="D382" s="368"/>
      <c r="E382" s="368"/>
      <c r="F382" s="368"/>
      <c r="G382" s="368"/>
      <c r="H382" s="368"/>
      <c r="I382" s="368"/>
      <c r="J382" s="368"/>
      <c r="K382" s="368"/>
      <c r="L382" s="368"/>
      <c r="M382" s="368"/>
      <c r="N382" s="368"/>
      <c r="O382" s="368"/>
      <c r="P382" s="368"/>
      <c r="Q382" s="368"/>
      <c r="R382" s="368"/>
      <c r="S382" s="368"/>
      <c r="T382" s="368"/>
      <c r="U382" s="368"/>
      <c r="V382" s="368"/>
      <c r="W382" s="26"/>
      <c r="X382" s="26"/>
      <c r="Y382" s="26"/>
      <c r="Z382" s="26"/>
    </row>
    <row r="383">
      <c r="A383" s="368"/>
      <c r="B383" s="368"/>
      <c r="C383" s="368"/>
      <c r="D383" s="368"/>
      <c r="E383" s="368"/>
      <c r="F383" s="368"/>
      <c r="G383" s="368"/>
      <c r="H383" s="368"/>
      <c r="I383" s="368"/>
      <c r="J383" s="368"/>
      <c r="K383" s="368"/>
      <c r="L383" s="368"/>
      <c r="M383" s="368"/>
      <c r="N383" s="368"/>
      <c r="O383" s="368"/>
      <c r="P383" s="368"/>
      <c r="Q383" s="368"/>
      <c r="R383" s="368"/>
      <c r="S383" s="368"/>
      <c r="T383" s="368"/>
      <c r="U383" s="368"/>
      <c r="V383" s="368"/>
      <c r="W383" s="26"/>
      <c r="X383" s="26"/>
      <c r="Y383" s="26"/>
      <c r="Z383" s="26"/>
    </row>
    <row r="384">
      <c r="A384" s="368"/>
      <c r="B384" s="368"/>
      <c r="C384" s="368"/>
      <c r="D384" s="368"/>
      <c r="E384" s="368"/>
      <c r="F384" s="368"/>
      <c r="G384" s="368"/>
      <c r="H384" s="368"/>
      <c r="I384" s="368"/>
      <c r="J384" s="368"/>
      <c r="K384" s="368"/>
      <c r="L384" s="368"/>
      <c r="M384" s="368"/>
      <c r="N384" s="368"/>
      <c r="O384" s="368"/>
      <c r="P384" s="368"/>
      <c r="Q384" s="368"/>
      <c r="R384" s="368"/>
      <c r="S384" s="368"/>
      <c r="T384" s="368"/>
      <c r="U384" s="368"/>
      <c r="V384" s="368"/>
      <c r="W384" s="26"/>
      <c r="X384" s="26"/>
      <c r="Y384" s="26"/>
      <c r="Z384" s="26"/>
    </row>
    <row r="385">
      <c r="A385" s="368"/>
      <c r="B385" s="368"/>
      <c r="C385" s="368"/>
      <c r="D385" s="368"/>
      <c r="E385" s="368"/>
      <c r="F385" s="368"/>
      <c r="G385" s="368"/>
      <c r="H385" s="368"/>
      <c r="I385" s="368"/>
      <c r="J385" s="368"/>
      <c r="K385" s="368"/>
      <c r="L385" s="368"/>
      <c r="M385" s="368"/>
      <c r="N385" s="368"/>
      <c r="O385" s="368"/>
      <c r="P385" s="368"/>
      <c r="Q385" s="368"/>
      <c r="R385" s="368"/>
      <c r="S385" s="368"/>
      <c r="T385" s="368"/>
      <c r="U385" s="368"/>
      <c r="V385" s="368"/>
      <c r="W385" s="26"/>
      <c r="X385" s="26"/>
      <c r="Y385" s="26"/>
      <c r="Z385" s="26"/>
    </row>
    <row r="386">
      <c r="A386" s="368"/>
      <c r="B386" s="368"/>
      <c r="C386" s="368"/>
      <c r="D386" s="368"/>
      <c r="E386" s="368"/>
      <c r="F386" s="368"/>
      <c r="G386" s="368"/>
      <c r="H386" s="368"/>
      <c r="I386" s="368"/>
      <c r="J386" s="368"/>
      <c r="K386" s="368"/>
      <c r="L386" s="368"/>
      <c r="M386" s="368"/>
      <c r="N386" s="368"/>
      <c r="O386" s="368"/>
      <c r="P386" s="368"/>
      <c r="Q386" s="368"/>
      <c r="R386" s="368"/>
      <c r="S386" s="368"/>
      <c r="T386" s="368"/>
      <c r="U386" s="368"/>
      <c r="V386" s="368"/>
      <c r="W386" s="26"/>
      <c r="X386" s="26"/>
      <c r="Y386" s="26"/>
      <c r="Z386" s="26"/>
    </row>
    <row r="387">
      <c r="A387" s="368"/>
      <c r="B387" s="368"/>
      <c r="C387" s="368"/>
      <c r="D387" s="368"/>
      <c r="E387" s="368"/>
      <c r="F387" s="368"/>
      <c r="G387" s="368"/>
      <c r="H387" s="368"/>
      <c r="I387" s="368"/>
      <c r="J387" s="368"/>
      <c r="K387" s="368"/>
      <c r="L387" s="368"/>
      <c r="M387" s="368"/>
      <c r="N387" s="368"/>
      <c r="O387" s="368"/>
      <c r="P387" s="368"/>
      <c r="Q387" s="368"/>
      <c r="R387" s="368"/>
      <c r="S387" s="368"/>
      <c r="T387" s="368"/>
      <c r="U387" s="368"/>
      <c r="V387" s="368"/>
      <c r="W387" s="26"/>
      <c r="X387" s="26"/>
      <c r="Y387" s="26"/>
      <c r="Z387" s="26"/>
    </row>
    <row r="388">
      <c r="A388" s="368"/>
      <c r="B388" s="368"/>
      <c r="C388" s="368"/>
      <c r="D388" s="368"/>
      <c r="E388" s="368"/>
      <c r="F388" s="368"/>
      <c r="G388" s="368"/>
      <c r="H388" s="368"/>
      <c r="I388" s="368"/>
      <c r="J388" s="368"/>
      <c r="K388" s="368"/>
      <c r="L388" s="368"/>
      <c r="M388" s="368"/>
      <c r="N388" s="368"/>
      <c r="O388" s="368"/>
      <c r="P388" s="368"/>
      <c r="Q388" s="368"/>
      <c r="R388" s="368"/>
      <c r="S388" s="368"/>
      <c r="T388" s="368"/>
      <c r="U388" s="368"/>
      <c r="V388" s="368"/>
      <c r="W388" s="26"/>
      <c r="X388" s="26"/>
      <c r="Y388" s="26"/>
      <c r="Z388" s="26"/>
    </row>
    <row r="389">
      <c r="A389" s="368"/>
      <c r="B389" s="368"/>
      <c r="C389" s="368"/>
      <c r="D389" s="368"/>
      <c r="E389" s="368"/>
      <c r="F389" s="368"/>
      <c r="G389" s="368"/>
      <c r="H389" s="368"/>
      <c r="I389" s="368"/>
      <c r="J389" s="368"/>
      <c r="K389" s="368"/>
      <c r="L389" s="368"/>
      <c r="M389" s="368"/>
      <c r="N389" s="368"/>
      <c r="O389" s="368"/>
      <c r="P389" s="368"/>
      <c r="Q389" s="368"/>
      <c r="R389" s="368"/>
      <c r="S389" s="368"/>
      <c r="T389" s="368"/>
      <c r="U389" s="368"/>
      <c r="V389" s="368"/>
      <c r="W389" s="26"/>
      <c r="X389" s="26"/>
      <c r="Y389" s="26"/>
      <c r="Z389" s="26"/>
    </row>
    <row r="390">
      <c r="A390" s="368"/>
      <c r="B390" s="368"/>
      <c r="C390" s="368"/>
      <c r="D390" s="368"/>
      <c r="E390" s="368"/>
      <c r="F390" s="368"/>
      <c r="G390" s="368"/>
      <c r="H390" s="368"/>
      <c r="I390" s="368"/>
      <c r="J390" s="368"/>
      <c r="K390" s="368"/>
      <c r="L390" s="368"/>
      <c r="M390" s="368"/>
      <c r="N390" s="368"/>
      <c r="O390" s="368"/>
      <c r="P390" s="368"/>
      <c r="Q390" s="368"/>
      <c r="R390" s="368"/>
      <c r="S390" s="368"/>
      <c r="T390" s="368"/>
      <c r="U390" s="368"/>
      <c r="V390" s="368"/>
      <c r="W390" s="26"/>
      <c r="X390" s="26"/>
      <c r="Y390" s="26"/>
      <c r="Z390" s="26"/>
    </row>
    <row r="391">
      <c r="A391" s="368"/>
      <c r="B391" s="368"/>
      <c r="C391" s="368"/>
      <c r="D391" s="368"/>
      <c r="E391" s="368"/>
      <c r="F391" s="368"/>
      <c r="G391" s="368"/>
      <c r="H391" s="368"/>
      <c r="I391" s="368"/>
      <c r="J391" s="368"/>
      <c r="K391" s="368"/>
      <c r="L391" s="368"/>
      <c r="M391" s="368"/>
      <c r="N391" s="368"/>
      <c r="O391" s="368"/>
      <c r="P391" s="368"/>
      <c r="Q391" s="368"/>
      <c r="R391" s="368"/>
      <c r="S391" s="368"/>
      <c r="T391" s="368"/>
      <c r="U391" s="368"/>
      <c r="V391" s="368"/>
      <c r="W391" s="26"/>
      <c r="X391" s="26"/>
      <c r="Y391" s="26"/>
      <c r="Z391" s="26"/>
    </row>
    <row r="392">
      <c r="A392" s="368"/>
      <c r="B392" s="368"/>
      <c r="C392" s="368"/>
      <c r="D392" s="368"/>
      <c r="E392" s="368"/>
      <c r="F392" s="368"/>
      <c r="G392" s="368"/>
      <c r="H392" s="368"/>
      <c r="I392" s="368"/>
      <c r="J392" s="368"/>
      <c r="K392" s="368"/>
      <c r="L392" s="368"/>
      <c r="M392" s="368"/>
      <c r="N392" s="368"/>
      <c r="O392" s="368"/>
      <c r="P392" s="368"/>
      <c r="Q392" s="368"/>
      <c r="R392" s="368"/>
      <c r="S392" s="368"/>
      <c r="T392" s="368"/>
      <c r="U392" s="368"/>
      <c r="V392" s="368"/>
      <c r="W392" s="26"/>
      <c r="X392" s="26"/>
      <c r="Y392" s="26"/>
      <c r="Z392" s="26"/>
    </row>
    <row r="393">
      <c r="A393" s="368"/>
      <c r="B393" s="368"/>
      <c r="C393" s="368"/>
      <c r="D393" s="368"/>
      <c r="E393" s="368"/>
      <c r="F393" s="368"/>
      <c r="G393" s="368"/>
      <c r="H393" s="368"/>
      <c r="I393" s="368"/>
      <c r="J393" s="368"/>
      <c r="K393" s="368"/>
      <c r="L393" s="368"/>
      <c r="M393" s="368"/>
      <c r="N393" s="368"/>
      <c r="O393" s="368"/>
      <c r="P393" s="368"/>
      <c r="Q393" s="368"/>
      <c r="R393" s="368"/>
      <c r="S393" s="368"/>
      <c r="T393" s="368"/>
      <c r="U393" s="368"/>
      <c r="V393" s="368"/>
      <c r="W393" s="26"/>
      <c r="X393" s="26"/>
      <c r="Y393" s="26"/>
      <c r="Z393" s="26"/>
    </row>
    <row r="394">
      <c r="A394" s="368"/>
      <c r="B394" s="368"/>
      <c r="C394" s="368"/>
      <c r="D394" s="368"/>
      <c r="E394" s="368"/>
      <c r="F394" s="368"/>
      <c r="G394" s="368"/>
      <c r="H394" s="368"/>
      <c r="I394" s="368"/>
      <c r="J394" s="368"/>
      <c r="K394" s="368"/>
      <c r="L394" s="368"/>
      <c r="M394" s="368"/>
      <c r="N394" s="368"/>
      <c r="O394" s="368"/>
      <c r="P394" s="368"/>
      <c r="Q394" s="368"/>
      <c r="R394" s="368"/>
      <c r="S394" s="368"/>
      <c r="T394" s="368"/>
      <c r="U394" s="368"/>
      <c r="V394" s="368"/>
      <c r="W394" s="26"/>
      <c r="X394" s="26"/>
      <c r="Y394" s="26"/>
      <c r="Z394" s="26"/>
    </row>
    <row r="395">
      <c r="A395" s="368"/>
      <c r="B395" s="368"/>
      <c r="C395" s="368"/>
      <c r="D395" s="368"/>
      <c r="E395" s="368"/>
      <c r="F395" s="368"/>
      <c r="G395" s="368"/>
      <c r="H395" s="368"/>
      <c r="I395" s="368"/>
      <c r="J395" s="368"/>
      <c r="K395" s="368"/>
      <c r="L395" s="368"/>
      <c r="M395" s="368"/>
      <c r="N395" s="368"/>
      <c r="O395" s="368"/>
      <c r="P395" s="368"/>
      <c r="Q395" s="368"/>
      <c r="R395" s="368"/>
      <c r="S395" s="368"/>
      <c r="T395" s="368"/>
      <c r="U395" s="368"/>
      <c r="V395" s="368"/>
      <c r="W395" s="26"/>
      <c r="X395" s="26"/>
      <c r="Y395" s="26"/>
      <c r="Z395" s="26"/>
    </row>
    <row r="396">
      <c r="A396" s="368"/>
      <c r="B396" s="368"/>
      <c r="C396" s="368"/>
      <c r="D396" s="368"/>
      <c r="E396" s="368"/>
      <c r="F396" s="368"/>
      <c r="G396" s="368"/>
      <c r="H396" s="368"/>
      <c r="I396" s="368"/>
      <c r="J396" s="368"/>
      <c r="K396" s="368"/>
      <c r="L396" s="368"/>
      <c r="M396" s="368"/>
      <c r="N396" s="368"/>
      <c r="O396" s="368"/>
      <c r="P396" s="368"/>
      <c r="Q396" s="368"/>
      <c r="R396" s="368"/>
      <c r="S396" s="368"/>
      <c r="T396" s="368"/>
      <c r="U396" s="368"/>
      <c r="V396" s="368"/>
      <c r="W396" s="26"/>
      <c r="X396" s="26"/>
      <c r="Y396" s="26"/>
      <c r="Z396" s="26"/>
    </row>
    <row r="397">
      <c r="A397" s="368"/>
      <c r="B397" s="368"/>
      <c r="C397" s="368"/>
      <c r="D397" s="368"/>
      <c r="E397" s="368"/>
      <c r="F397" s="368"/>
      <c r="G397" s="368"/>
      <c r="H397" s="368"/>
      <c r="I397" s="368"/>
      <c r="J397" s="368"/>
      <c r="K397" s="368"/>
      <c r="L397" s="368"/>
      <c r="M397" s="368"/>
      <c r="N397" s="368"/>
      <c r="O397" s="368"/>
      <c r="P397" s="368"/>
      <c r="Q397" s="368"/>
      <c r="R397" s="368"/>
      <c r="S397" s="368"/>
      <c r="T397" s="368"/>
      <c r="U397" s="368"/>
      <c r="V397" s="368"/>
      <c r="W397" s="26"/>
      <c r="X397" s="26"/>
      <c r="Y397" s="26"/>
      <c r="Z397" s="26"/>
    </row>
    <row r="398">
      <c r="A398" s="368"/>
      <c r="B398" s="368"/>
      <c r="C398" s="368"/>
      <c r="D398" s="368"/>
      <c r="E398" s="368"/>
      <c r="F398" s="368"/>
      <c r="G398" s="368"/>
      <c r="H398" s="368"/>
      <c r="I398" s="368"/>
      <c r="J398" s="368"/>
      <c r="K398" s="368"/>
      <c r="L398" s="368"/>
      <c r="M398" s="368"/>
      <c r="N398" s="368"/>
      <c r="O398" s="368"/>
      <c r="P398" s="368"/>
      <c r="Q398" s="368"/>
      <c r="R398" s="368"/>
      <c r="S398" s="368"/>
      <c r="T398" s="368"/>
      <c r="U398" s="368"/>
      <c r="V398" s="368"/>
      <c r="W398" s="26"/>
      <c r="X398" s="26"/>
      <c r="Y398" s="26"/>
      <c r="Z398" s="26"/>
    </row>
    <row r="399">
      <c r="A399" s="368"/>
      <c r="B399" s="368"/>
      <c r="C399" s="368"/>
      <c r="D399" s="368"/>
      <c r="E399" s="368"/>
      <c r="F399" s="368"/>
      <c r="G399" s="368"/>
      <c r="H399" s="368"/>
      <c r="I399" s="368"/>
      <c r="J399" s="368"/>
      <c r="K399" s="368"/>
      <c r="L399" s="368"/>
      <c r="M399" s="368"/>
      <c r="N399" s="368"/>
      <c r="O399" s="368"/>
      <c r="P399" s="368"/>
      <c r="Q399" s="368"/>
      <c r="R399" s="368"/>
      <c r="S399" s="368"/>
      <c r="T399" s="368"/>
      <c r="U399" s="368"/>
      <c r="V399" s="368"/>
      <c r="W399" s="26"/>
      <c r="X399" s="26"/>
      <c r="Y399" s="26"/>
      <c r="Z399" s="26"/>
    </row>
    <row r="400">
      <c r="A400" s="368"/>
      <c r="B400" s="368"/>
      <c r="C400" s="368"/>
      <c r="D400" s="368"/>
      <c r="E400" s="368"/>
      <c r="F400" s="368"/>
      <c r="G400" s="368"/>
      <c r="H400" s="368"/>
      <c r="I400" s="368"/>
      <c r="J400" s="368"/>
      <c r="K400" s="368"/>
      <c r="L400" s="368"/>
      <c r="M400" s="368"/>
      <c r="N400" s="368"/>
      <c r="O400" s="368"/>
      <c r="P400" s="368"/>
      <c r="Q400" s="368"/>
      <c r="R400" s="368"/>
      <c r="S400" s="368"/>
      <c r="T400" s="368"/>
      <c r="U400" s="368"/>
      <c r="V400" s="368"/>
      <c r="W400" s="26"/>
      <c r="X400" s="26"/>
      <c r="Y400" s="26"/>
      <c r="Z400" s="26"/>
    </row>
    <row r="401">
      <c r="A401" s="368"/>
      <c r="B401" s="368"/>
      <c r="C401" s="368"/>
      <c r="D401" s="368"/>
      <c r="E401" s="368"/>
      <c r="F401" s="368"/>
      <c r="G401" s="368"/>
      <c r="H401" s="368"/>
      <c r="I401" s="368"/>
      <c r="J401" s="368"/>
      <c r="K401" s="368"/>
      <c r="L401" s="368"/>
      <c r="M401" s="368"/>
      <c r="N401" s="368"/>
      <c r="O401" s="368"/>
      <c r="P401" s="368"/>
      <c r="Q401" s="368"/>
      <c r="R401" s="368"/>
      <c r="S401" s="368"/>
      <c r="T401" s="368"/>
      <c r="U401" s="368"/>
      <c r="V401" s="368"/>
      <c r="W401" s="26"/>
      <c r="X401" s="26"/>
      <c r="Y401" s="26"/>
      <c r="Z401" s="26"/>
    </row>
    <row r="402">
      <c r="A402" s="368"/>
      <c r="B402" s="368"/>
      <c r="C402" s="368"/>
      <c r="D402" s="368"/>
      <c r="E402" s="368"/>
      <c r="F402" s="368"/>
      <c r="G402" s="368"/>
      <c r="H402" s="368"/>
      <c r="I402" s="368"/>
      <c r="J402" s="368"/>
      <c r="K402" s="368"/>
      <c r="L402" s="368"/>
      <c r="M402" s="368"/>
      <c r="N402" s="368"/>
      <c r="O402" s="368"/>
      <c r="P402" s="368"/>
      <c r="Q402" s="368"/>
      <c r="R402" s="368"/>
      <c r="S402" s="368"/>
      <c r="T402" s="368"/>
      <c r="U402" s="368"/>
      <c r="V402" s="368"/>
      <c r="W402" s="26"/>
      <c r="X402" s="26"/>
      <c r="Y402" s="26"/>
      <c r="Z402" s="26"/>
    </row>
    <row r="403">
      <c r="A403" s="368"/>
      <c r="B403" s="368"/>
      <c r="C403" s="368"/>
      <c r="D403" s="368"/>
      <c r="E403" s="368"/>
      <c r="F403" s="368"/>
      <c r="G403" s="368"/>
      <c r="H403" s="368"/>
      <c r="I403" s="368"/>
      <c r="J403" s="368"/>
      <c r="K403" s="368"/>
      <c r="L403" s="368"/>
      <c r="M403" s="368"/>
      <c r="N403" s="368"/>
      <c r="O403" s="368"/>
      <c r="P403" s="368"/>
      <c r="Q403" s="368"/>
      <c r="R403" s="368"/>
      <c r="S403" s="368"/>
      <c r="T403" s="368"/>
      <c r="U403" s="368"/>
      <c r="V403" s="368"/>
      <c r="W403" s="26"/>
      <c r="X403" s="26"/>
      <c r="Y403" s="26"/>
      <c r="Z403" s="26"/>
    </row>
    <row r="404">
      <c r="A404" s="368"/>
      <c r="B404" s="368"/>
      <c r="C404" s="368"/>
      <c r="D404" s="368"/>
      <c r="E404" s="368"/>
      <c r="F404" s="368"/>
      <c r="G404" s="368"/>
      <c r="H404" s="368"/>
      <c r="I404" s="368"/>
      <c r="J404" s="368"/>
      <c r="K404" s="368"/>
      <c r="L404" s="368"/>
      <c r="M404" s="368"/>
      <c r="N404" s="368"/>
      <c r="O404" s="368"/>
      <c r="P404" s="368"/>
      <c r="Q404" s="368"/>
      <c r="R404" s="368"/>
      <c r="S404" s="368"/>
      <c r="T404" s="368"/>
      <c r="U404" s="368"/>
      <c r="V404" s="368"/>
      <c r="W404" s="26"/>
      <c r="X404" s="26"/>
      <c r="Y404" s="26"/>
      <c r="Z404" s="26"/>
    </row>
    <row r="405">
      <c r="A405" s="368"/>
      <c r="B405" s="368"/>
      <c r="C405" s="368"/>
      <c r="D405" s="368"/>
      <c r="E405" s="368"/>
      <c r="F405" s="368"/>
      <c r="G405" s="368"/>
      <c r="H405" s="368"/>
      <c r="I405" s="368"/>
      <c r="J405" s="368"/>
      <c r="K405" s="368"/>
      <c r="L405" s="368"/>
      <c r="M405" s="368"/>
      <c r="N405" s="368"/>
      <c r="O405" s="368"/>
      <c r="P405" s="368"/>
      <c r="Q405" s="368"/>
      <c r="R405" s="368"/>
      <c r="S405" s="368"/>
      <c r="T405" s="368"/>
      <c r="U405" s="368"/>
      <c r="V405" s="368"/>
      <c r="W405" s="26"/>
      <c r="X405" s="26"/>
      <c r="Y405" s="26"/>
      <c r="Z405" s="26"/>
    </row>
    <row r="406">
      <c r="A406" s="368"/>
      <c r="B406" s="368"/>
      <c r="C406" s="368"/>
      <c r="D406" s="368"/>
      <c r="E406" s="368"/>
      <c r="F406" s="368"/>
      <c r="G406" s="368"/>
      <c r="H406" s="368"/>
      <c r="I406" s="368"/>
      <c r="J406" s="368"/>
      <c r="K406" s="368"/>
      <c r="L406" s="368"/>
      <c r="M406" s="368"/>
      <c r="N406" s="368"/>
      <c r="O406" s="368"/>
      <c r="P406" s="368"/>
      <c r="Q406" s="368"/>
      <c r="R406" s="368"/>
      <c r="S406" s="368"/>
      <c r="T406" s="368"/>
      <c r="U406" s="368"/>
      <c r="V406" s="368"/>
      <c r="W406" s="26"/>
      <c r="X406" s="26"/>
      <c r="Y406" s="26"/>
      <c r="Z406" s="26"/>
    </row>
    <row r="407">
      <c r="A407" s="368"/>
      <c r="B407" s="368"/>
      <c r="C407" s="368"/>
      <c r="D407" s="368"/>
      <c r="E407" s="368"/>
      <c r="F407" s="368"/>
      <c r="G407" s="368"/>
      <c r="H407" s="368"/>
      <c r="I407" s="368"/>
      <c r="J407" s="368"/>
      <c r="K407" s="368"/>
      <c r="L407" s="368"/>
      <c r="M407" s="368"/>
      <c r="N407" s="368"/>
      <c r="O407" s="368"/>
      <c r="P407" s="368"/>
      <c r="Q407" s="368"/>
      <c r="R407" s="368"/>
      <c r="S407" s="368"/>
      <c r="T407" s="368"/>
      <c r="U407" s="368"/>
      <c r="V407" s="368"/>
      <c r="W407" s="26"/>
      <c r="X407" s="26"/>
      <c r="Y407" s="26"/>
      <c r="Z407" s="26"/>
    </row>
    <row r="408">
      <c r="A408" s="368"/>
      <c r="B408" s="368"/>
      <c r="C408" s="368"/>
      <c r="D408" s="368"/>
      <c r="E408" s="368"/>
      <c r="F408" s="368"/>
      <c r="G408" s="368"/>
      <c r="H408" s="368"/>
      <c r="I408" s="368"/>
      <c r="J408" s="368"/>
      <c r="K408" s="368"/>
      <c r="L408" s="368"/>
      <c r="M408" s="368"/>
      <c r="N408" s="368"/>
      <c r="O408" s="368"/>
      <c r="P408" s="368"/>
      <c r="Q408" s="368"/>
      <c r="R408" s="368"/>
      <c r="S408" s="368"/>
      <c r="T408" s="368"/>
      <c r="U408" s="368"/>
      <c r="V408" s="368"/>
      <c r="W408" s="26"/>
      <c r="X408" s="26"/>
      <c r="Y408" s="26"/>
      <c r="Z408" s="26"/>
    </row>
    <row r="409">
      <c r="A409" s="368"/>
      <c r="B409" s="368"/>
      <c r="C409" s="368"/>
      <c r="D409" s="368"/>
      <c r="E409" s="368"/>
      <c r="F409" s="368"/>
      <c r="G409" s="368"/>
      <c r="H409" s="368"/>
      <c r="I409" s="368"/>
      <c r="J409" s="368"/>
      <c r="K409" s="368"/>
      <c r="L409" s="368"/>
      <c r="M409" s="368"/>
      <c r="N409" s="368"/>
      <c r="O409" s="368"/>
      <c r="P409" s="368"/>
      <c r="Q409" s="368"/>
      <c r="R409" s="368"/>
      <c r="S409" s="368"/>
      <c r="T409" s="368"/>
      <c r="U409" s="368"/>
      <c r="V409" s="368"/>
      <c r="W409" s="26"/>
      <c r="X409" s="26"/>
      <c r="Y409" s="26"/>
      <c r="Z409" s="26"/>
    </row>
    <row r="410">
      <c r="A410" s="368"/>
      <c r="B410" s="368"/>
      <c r="C410" s="368"/>
      <c r="D410" s="368"/>
      <c r="E410" s="368"/>
      <c r="F410" s="368"/>
      <c r="G410" s="368"/>
      <c r="H410" s="368"/>
      <c r="I410" s="368"/>
      <c r="J410" s="368"/>
      <c r="K410" s="368"/>
      <c r="L410" s="368"/>
      <c r="M410" s="368"/>
      <c r="N410" s="368"/>
      <c r="O410" s="368"/>
      <c r="P410" s="368"/>
      <c r="Q410" s="368"/>
      <c r="R410" s="368"/>
      <c r="S410" s="368"/>
      <c r="T410" s="368"/>
      <c r="U410" s="368"/>
      <c r="V410" s="368"/>
      <c r="W410" s="26"/>
      <c r="X410" s="26"/>
      <c r="Y410" s="26"/>
      <c r="Z410" s="26"/>
    </row>
    <row r="411">
      <c r="A411" s="368"/>
      <c r="B411" s="368"/>
      <c r="C411" s="368"/>
      <c r="D411" s="368"/>
      <c r="E411" s="368"/>
      <c r="F411" s="368"/>
      <c r="G411" s="368"/>
      <c r="H411" s="368"/>
      <c r="I411" s="368"/>
      <c r="J411" s="368"/>
      <c r="K411" s="368"/>
      <c r="L411" s="368"/>
      <c r="M411" s="368"/>
      <c r="N411" s="368"/>
      <c r="O411" s="368"/>
      <c r="P411" s="368"/>
      <c r="Q411" s="368"/>
      <c r="R411" s="368"/>
      <c r="S411" s="368"/>
      <c r="T411" s="368"/>
      <c r="U411" s="368"/>
      <c r="V411" s="368"/>
      <c r="W411" s="26"/>
      <c r="X411" s="26"/>
      <c r="Y411" s="26"/>
      <c r="Z411" s="26"/>
    </row>
    <row r="412">
      <c r="A412" s="368"/>
      <c r="B412" s="368"/>
      <c r="C412" s="368"/>
      <c r="D412" s="368"/>
      <c r="E412" s="368"/>
      <c r="F412" s="368"/>
      <c r="G412" s="368"/>
      <c r="H412" s="368"/>
      <c r="I412" s="368"/>
      <c r="J412" s="368"/>
      <c r="K412" s="368"/>
      <c r="L412" s="368"/>
      <c r="M412" s="368"/>
      <c r="N412" s="368"/>
      <c r="O412" s="368"/>
      <c r="P412" s="368"/>
      <c r="Q412" s="368"/>
      <c r="R412" s="368"/>
      <c r="S412" s="368"/>
      <c r="T412" s="368"/>
      <c r="U412" s="368"/>
      <c r="V412" s="368"/>
      <c r="W412" s="26"/>
      <c r="X412" s="26"/>
      <c r="Y412" s="26"/>
      <c r="Z412" s="26"/>
    </row>
    <row r="413">
      <c r="A413" s="368"/>
      <c r="B413" s="368"/>
      <c r="C413" s="368"/>
      <c r="D413" s="368"/>
      <c r="E413" s="368"/>
      <c r="F413" s="368"/>
      <c r="G413" s="368"/>
      <c r="H413" s="368"/>
      <c r="I413" s="368"/>
      <c r="J413" s="368"/>
      <c r="K413" s="368"/>
      <c r="L413" s="368"/>
      <c r="M413" s="368"/>
      <c r="N413" s="368"/>
      <c r="O413" s="368"/>
      <c r="P413" s="368"/>
      <c r="Q413" s="368"/>
      <c r="R413" s="368"/>
      <c r="S413" s="368"/>
      <c r="T413" s="368"/>
      <c r="U413" s="368"/>
      <c r="V413" s="368"/>
      <c r="W413" s="26"/>
      <c r="X413" s="26"/>
      <c r="Y413" s="26"/>
      <c r="Z413" s="26"/>
    </row>
    <row r="414">
      <c r="A414" s="368"/>
      <c r="B414" s="368"/>
      <c r="C414" s="368"/>
      <c r="D414" s="368"/>
      <c r="E414" s="368"/>
      <c r="F414" s="368"/>
      <c r="G414" s="368"/>
      <c r="H414" s="368"/>
      <c r="I414" s="368"/>
      <c r="J414" s="368"/>
      <c r="K414" s="368"/>
      <c r="L414" s="368"/>
      <c r="M414" s="368"/>
      <c r="N414" s="368"/>
      <c r="O414" s="368"/>
      <c r="P414" s="368"/>
      <c r="Q414" s="368"/>
      <c r="R414" s="368"/>
      <c r="S414" s="368"/>
      <c r="T414" s="368"/>
      <c r="U414" s="368"/>
      <c r="V414" s="368"/>
      <c r="W414" s="26"/>
      <c r="X414" s="26"/>
      <c r="Y414" s="26"/>
      <c r="Z414" s="26"/>
    </row>
    <row r="415">
      <c r="A415" s="368"/>
      <c r="B415" s="368"/>
      <c r="C415" s="368"/>
      <c r="D415" s="368"/>
      <c r="E415" s="368"/>
      <c r="F415" s="368"/>
      <c r="G415" s="368"/>
      <c r="H415" s="368"/>
      <c r="I415" s="368"/>
      <c r="J415" s="368"/>
      <c r="K415" s="368"/>
      <c r="L415" s="368"/>
      <c r="M415" s="368"/>
      <c r="N415" s="368"/>
      <c r="O415" s="368"/>
      <c r="P415" s="368"/>
      <c r="Q415" s="368"/>
      <c r="R415" s="368"/>
      <c r="S415" s="368"/>
      <c r="T415" s="368"/>
      <c r="U415" s="368"/>
      <c r="V415" s="368"/>
      <c r="W415" s="26"/>
      <c r="X415" s="26"/>
      <c r="Y415" s="26"/>
      <c r="Z415" s="26"/>
    </row>
    <row r="416">
      <c r="A416" s="368"/>
      <c r="B416" s="368"/>
      <c r="C416" s="368"/>
      <c r="D416" s="368"/>
      <c r="E416" s="368"/>
      <c r="F416" s="368"/>
      <c r="G416" s="368"/>
      <c r="H416" s="368"/>
      <c r="I416" s="368"/>
      <c r="J416" s="368"/>
      <c r="K416" s="368"/>
      <c r="L416" s="368"/>
      <c r="M416" s="368"/>
      <c r="N416" s="368"/>
      <c r="O416" s="368"/>
      <c r="P416" s="368"/>
      <c r="Q416" s="368"/>
      <c r="R416" s="368"/>
      <c r="S416" s="368"/>
      <c r="T416" s="368"/>
      <c r="U416" s="368"/>
      <c r="V416" s="368"/>
      <c r="W416" s="26"/>
      <c r="X416" s="26"/>
      <c r="Y416" s="26"/>
      <c r="Z416" s="26"/>
    </row>
    <row r="417">
      <c r="A417" s="368"/>
      <c r="B417" s="368"/>
      <c r="C417" s="368"/>
      <c r="D417" s="368"/>
      <c r="E417" s="368"/>
      <c r="F417" s="368"/>
      <c r="G417" s="368"/>
      <c r="H417" s="368"/>
      <c r="I417" s="368"/>
      <c r="J417" s="368"/>
      <c r="K417" s="368"/>
      <c r="L417" s="368"/>
      <c r="M417" s="368"/>
      <c r="N417" s="368"/>
      <c r="O417" s="368"/>
      <c r="P417" s="368"/>
      <c r="Q417" s="368"/>
      <c r="R417" s="368"/>
      <c r="S417" s="368"/>
      <c r="T417" s="368"/>
      <c r="U417" s="368"/>
      <c r="V417" s="368"/>
      <c r="W417" s="26"/>
      <c r="X417" s="26"/>
      <c r="Y417" s="26"/>
      <c r="Z417" s="26"/>
    </row>
    <row r="418">
      <c r="A418" s="368"/>
      <c r="B418" s="368"/>
      <c r="C418" s="368"/>
      <c r="D418" s="368"/>
      <c r="E418" s="368"/>
      <c r="F418" s="368"/>
      <c r="G418" s="368"/>
      <c r="H418" s="368"/>
      <c r="I418" s="368"/>
      <c r="J418" s="368"/>
      <c r="K418" s="368"/>
      <c r="L418" s="368"/>
      <c r="M418" s="368"/>
      <c r="N418" s="368"/>
      <c r="O418" s="368"/>
      <c r="P418" s="368"/>
      <c r="Q418" s="368"/>
      <c r="R418" s="368"/>
      <c r="S418" s="368"/>
      <c r="T418" s="368"/>
      <c r="U418" s="368"/>
      <c r="V418" s="368"/>
      <c r="W418" s="26"/>
      <c r="X418" s="26"/>
      <c r="Y418" s="26"/>
      <c r="Z418" s="26"/>
    </row>
    <row r="419">
      <c r="A419" s="368"/>
      <c r="B419" s="368"/>
      <c r="C419" s="368"/>
      <c r="D419" s="368"/>
      <c r="E419" s="368"/>
      <c r="F419" s="368"/>
      <c r="G419" s="368"/>
      <c r="H419" s="368"/>
      <c r="I419" s="368"/>
      <c r="J419" s="368"/>
      <c r="K419" s="368"/>
      <c r="L419" s="368"/>
      <c r="M419" s="368"/>
      <c r="N419" s="368"/>
      <c r="O419" s="368"/>
      <c r="P419" s="368"/>
      <c r="Q419" s="368"/>
      <c r="R419" s="368"/>
      <c r="S419" s="368"/>
      <c r="T419" s="368"/>
      <c r="U419" s="368"/>
      <c r="V419" s="368"/>
      <c r="W419" s="26"/>
      <c r="X419" s="26"/>
      <c r="Y419" s="26"/>
      <c r="Z419" s="26"/>
    </row>
    <row r="420">
      <c r="A420" s="368"/>
      <c r="B420" s="368"/>
      <c r="C420" s="368"/>
      <c r="D420" s="368"/>
      <c r="E420" s="368"/>
      <c r="F420" s="368"/>
      <c r="G420" s="368"/>
      <c r="H420" s="368"/>
      <c r="I420" s="368"/>
      <c r="J420" s="368"/>
      <c r="K420" s="368"/>
      <c r="L420" s="368"/>
      <c r="M420" s="368"/>
      <c r="N420" s="368"/>
      <c r="O420" s="368"/>
      <c r="P420" s="368"/>
      <c r="Q420" s="368"/>
      <c r="R420" s="368"/>
      <c r="S420" s="368"/>
      <c r="T420" s="368"/>
      <c r="U420" s="368"/>
      <c r="V420" s="368"/>
      <c r="W420" s="26"/>
      <c r="X420" s="26"/>
      <c r="Y420" s="26"/>
      <c r="Z420" s="26"/>
    </row>
    <row r="421">
      <c r="A421" s="368"/>
      <c r="B421" s="368"/>
      <c r="C421" s="368"/>
      <c r="D421" s="368"/>
      <c r="E421" s="368"/>
      <c r="F421" s="368"/>
      <c r="G421" s="368"/>
      <c r="H421" s="368"/>
      <c r="I421" s="368"/>
      <c r="J421" s="368"/>
      <c r="K421" s="368"/>
      <c r="L421" s="368"/>
      <c r="M421" s="368"/>
      <c r="N421" s="368"/>
      <c r="O421" s="368"/>
      <c r="P421" s="368"/>
      <c r="Q421" s="368"/>
      <c r="R421" s="368"/>
      <c r="S421" s="368"/>
      <c r="T421" s="368"/>
      <c r="U421" s="368"/>
      <c r="V421" s="368"/>
      <c r="W421" s="26"/>
      <c r="X421" s="26"/>
      <c r="Y421" s="26"/>
      <c r="Z421" s="26"/>
    </row>
    <row r="422">
      <c r="A422" s="368"/>
      <c r="B422" s="368"/>
      <c r="C422" s="368"/>
      <c r="D422" s="368"/>
      <c r="E422" s="368"/>
      <c r="F422" s="368"/>
      <c r="G422" s="368"/>
      <c r="H422" s="368"/>
      <c r="I422" s="368"/>
      <c r="J422" s="368"/>
      <c r="K422" s="368"/>
      <c r="L422" s="368"/>
      <c r="M422" s="368"/>
      <c r="N422" s="368"/>
      <c r="O422" s="368"/>
      <c r="P422" s="368"/>
      <c r="Q422" s="368"/>
      <c r="R422" s="368"/>
      <c r="S422" s="368"/>
      <c r="T422" s="368"/>
      <c r="U422" s="368"/>
      <c r="V422" s="368"/>
      <c r="W422" s="26"/>
      <c r="X422" s="26"/>
      <c r="Y422" s="26"/>
      <c r="Z422" s="26"/>
    </row>
    <row r="423">
      <c r="A423" s="368"/>
      <c r="B423" s="368"/>
      <c r="C423" s="368"/>
      <c r="D423" s="368"/>
      <c r="E423" s="368"/>
      <c r="F423" s="368"/>
      <c r="G423" s="368"/>
      <c r="H423" s="368"/>
      <c r="I423" s="368"/>
      <c r="J423" s="368"/>
      <c r="K423" s="368"/>
      <c r="L423" s="368"/>
      <c r="M423" s="368"/>
      <c r="N423" s="368"/>
      <c r="O423" s="368"/>
      <c r="P423" s="368"/>
      <c r="Q423" s="368"/>
      <c r="R423" s="368"/>
      <c r="S423" s="368"/>
      <c r="T423" s="368"/>
      <c r="U423" s="368"/>
      <c r="V423" s="368"/>
      <c r="W423" s="26"/>
      <c r="X423" s="26"/>
      <c r="Y423" s="26"/>
      <c r="Z423" s="26"/>
    </row>
    <row r="424">
      <c r="A424" s="368"/>
      <c r="B424" s="368"/>
      <c r="C424" s="368"/>
      <c r="D424" s="368"/>
      <c r="E424" s="368"/>
      <c r="F424" s="368"/>
      <c r="G424" s="368"/>
      <c r="H424" s="368"/>
      <c r="I424" s="368"/>
      <c r="J424" s="368"/>
      <c r="K424" s="368"/>
      <c r="L424" s="368"/>
      <c r="M424" s="368"/>
      <c r="N424" s="368"/>
      <c r="O424" s="368"/>
      <c r="P424" s="368"/>
      <c r="Q424" s="368"/>
      <c r="R424" s="368"/>
      <c r="S424" s="368"/>
      <c r="T424" s="368"/>
      <c r="U424" s="368"/>
      <c r="V424" s="368"/>
      <c r="W424" s="26"/>
      <c r="X424" s="26"/>
      <c r="Y424" s="26"/>
      <c r="Z424" s="26"/>
    </row>
    <row r="425">
      <c r="A425" s="368"/>
      <c r="B425" s="368"/>
      <c r="C425" s="368"/>
      <c r="D425" s="368"/>
      <c r="E425" s="368"/>
      <c r="F425" s="368"/>
      <c r="G425" s="368"/>
      <c r="H425" s="368"/>
      <c r="I425" s="368"/>
      <c r="J425" s="368"/>
      <c r="K425" s="368"/>
      <c r="L425" s="368"/>
      <c r="M425" s="368"/>
      <c r="N425" s="368"/>
      <c r="O425" s="368"/>
      <c r="P425" s="368"/>
      <c r="Q425" s="368"/>
      <c r="R425" s="368"/>
      <c r="S425" s="368"/>
      <c r="T425" s="368"/>
      <c r="U425" s="368"/>
      <c r="V425" s="368"/>
      <c r="W425" s="26"/>
      <c r="X425" s="26"/>
      <c r="Y425" s="26"/>
      <c r="Z425" s="26"/>
    </row>
    <row r="426">
      <c r="A426" s="368"/>
      <c r="B426" s="368"/>
      <c r="C426" s="368"/>
      <c r="D426" s="368"/>
      <c r="E426" s="368"/>
      <c r="F426" s="368"/>
      <c r="G426" s="368"/>
      <c r="H426" s="368"/>
      <c r="I426" s="368"/>
      <c r="J426" s="368"/>
      <c r="K426" s="368"/>
      <c r="L426" s="368"/>
      <c r="M426" s="368"/>
      <c r="N426" s="368"/>
      <c r="O426" s="368"/>
      <c r="P426" s="368"/>
      <c r="Q426" s="368"/>
      <c r="R426" s="368"/>
      <c r="S426" s="368"/>
      <c r="T426" s="368"/>
      <c r="U426" s="368"/>
      <c r="V426" s="368"/>
      <c r="W426" s="26"/>
      <c r="X426" s="26"/>
      <c r="Y426" s="26"/>
      <c r="Z426" s="26"/>
    </row>
    <row r="427">
      <c r="A427" s="368"/>
      <c r="B427" s="368"/>
      <c r="C427" s="368"/>
      <c r="D427" s="368"/>
      <c r="E427" s="368"/>
      <c r="F427" s="368"/>
      <c r="G427" s="368"/>
      <c r="H427" s="368"/>
      <c r="I427" s="368"/>
      <c r="J427" s="368"/>
      <c r="K427" s="368"/>
      <c r="L427" s="368"/>
      <c r="M427" s="368"/>
      <c r="N427" s="368"/>
      <c r="O427" s="368"/>
      <c r="P427" s="368"/>
      <c r="Q427" s="368"/>
      <c r="R427" s="368"/>
      <c r="S427" s="368"/>
      <c r="T427" s="368"/>
      <c r="U427" s="368"/>
      <c r="V427" s="368"/>
      <c r="W427" s="26"/>
      <c r="X427" s="26"/>
      <c r="Y427" s="26"/>
      <c r="Z427" s="26"/>
    </row>
    <row r="428">
      <c r="A428" s="368"/>
      <c r="B428" s="368"/>
      <c r="C428" s="368"/>
      <c r="D428" s="368"/>
      <c r="E428" s="368"/>
      <c r="F428" s="368"/>
      <c r="G428" s="368"/>
      <c r="H428" s="368"/>
      <c r="I428" s="368"/>
      <c r="J428" s="368"/>
      <c r="K428" s="368"/>
      <c r="L428" s="368"/>
      <c r="M428" s="368"/>
      <c r="N428" s="368"/>
      <c r="O428" s="368"/>
      <c r="P428" s="368"/>
      <c r="Q428" s="368"/>
      <c r="R428" s="368"/>
      <c r="S428" s="368"/>
      <c r="T428" s="368"/>
      <c r="U428" s="368"/>
      <c r="V428" s="368"/>
      <c r="W428" s="26"/>
      <c r="X428" s="26"/>
      <c r="Y428" s="26"/>
      <c r="Z428" s="26"/>
    </row>
    <row r="429">
      <c r="A429" s="368"/>
      <c r="B429" s="368"/>
      <c r="C429" s="368"/>
      <c r="D429" s="368"/>
      <c r="E429" s="368"/>
      <c r="F429" s="368"/>
      <c r="G429" s="368"/>
      <c r="H429" s="368"/>
      <c r="I429" s="368"/>
      <c r="J429" s="368"/>
      <c r="K429" s="368"/>
      <c r="L429" s="368"/>
      <c r="M429" s="368"/>
      <c r="N429" s="368"/>
      <c r="O429" s="368"/>
      <c r="P429" s="368"/>
      <c r="Q429" s="368"/>
      <c r="R429" s="368"/>
      <c r="S429" s="368"/>
      <c r="T429" s="368"/>
      <c r="U429" s="368"/>
      <c r="V429" s="368"/>
      <c r="W429" s="26"/>
      <c r="X429" s="26"/>
      <c r="Y429" s="26"/>
      <c r="Z429" s="26"/>
    </row>
    <row r="430">
      <c r="A430" s="368"/>
      <c r="B430" s="368"/>
      <c r="C430" s="368"/>
      <c r="D430" s="368"/>
      <c r="E430" s="368"/>
      <c r="F430" s="368"/>
      <c r="G430" s="368"/>
      <c r="H430" s="368"/>
      <c r="I430" s="368"/>
      <c r="J430" s="368"/>
      <c r="K430" s="368"/>
      <c r="L430" s="368"/>
      <c r="M430" s="368"/>
      <c r="N430" s="368"/>
      <c r="O430" s="368"/>
      <c r="P430" s="368"/>
      <c r="Q430" s="368"/>
      <c r="R430" s="368"/>
      <c r="S430" s="368"/>
      <c r="T430" s="368"/>
      <c r="U430" s="368"/>
      <c r="V430" s="368"/>
      <c r="W430" s="26"/>
      <c r="X430" s="26"/>
      <c r="Y430" s="26"/>
      <c r="Z430" s="26"/>
    </row>
    <row r="431">
      <c r="A431" s="368"/>
      <c r="B431" s="368"/>
      <c r="C431" s="368"/>
      <c r="D431" s="368"/>
      <c r="E431" s="368"/>
      <c r="F431" s="368"/>
      <c r="G431" s="368"/>
      <c r="H431" s="368"/>
      <c r="I431" s="368"/>
      <c r="J431" s="368"/>
      <c r="K431" s="368"/>
      <c r="L431" s="368"/>
      <c r="M431" s="368"/>
      <c r="N431" s="368"/>
      <c r="O431" s="368"/>
      <c r="P431" s="368"/>
      <c r="Q431" s="368"/>
      <c r="R431" s="368"/>
      <c r="S431" s="368"/>
      <c r="T431" s="368"/>
      <c r="U431" s="368"/>
      <c r="V431" s="368"/>
      <c r="W431" s="26"/>
      <c r="X431" s="26"/>
      <c r="Y431" s="26"/>
      <c r="Z431" s="26"/>
    </row>
    <row r="432">
      <c r="A432" s="368"/>
      <c r="B432" s="368"/>
      <c r="C432" s="368"/>
      <c r="D432" s="368"/>
      <c r="E432" s="368"/>
      <c r="F432" s="368"/>
      <c r="G432" s="368"/>
      <c r="H432" s="368"/>
      <c r="I432" s="368"/>
      <c r="J432" s="368"/>
      <c r="K432" s="368"/>
      <c r="L432" s="368"/>
      <c r="M432" s="368"/>
      <c r="N432" s="368"/>
      <c r="O432" s="368"/>
      <c r="P432" s="368"/>
      <c r="Q432" s="368"/>
      <c r="R432" s="368"/>
      <c r="S432" s="368"/>
      <c r="T432" s="368"/>
      <c r="U432" s="368"/>
      <c r="V432" s="368"/>
      <c r="W432" s="26"/>
      <c r="X432" s="26"/>
      <c r="Y432" s="26"/>
      <c r="Z432" s="26"/>
    </row>
    <row r="433">
      <c r="A433" s="368"/>
      <c r="B433" s="368"/>
      <c r="C433" s="368"/>
      <c r="D433" s="368"/>
      <c r="E433" s="368"/>
      <c r="F433" s="368"/>
      <c r="G433" s="368"/>
      <c r="H433" s="368"/>
      <c r="I433" s="368"/>
      <c r="J433" s="368"/>
      <c r="K433" s="368"/>
      <c r="L433" s="368"/>
      <c r="M433" s="368"/>
      <c r="N433" s="368"/>
      <c r="O433" s="368"/>
      <c r="P433" s="368"/>
      <c r="Q433" s="368"/>
      <c r="R433" s="368"/>
      <c r="S433" s="368"/>
      <c r="T433" s="368"/>
      <c r="U433" s="368"/>
      <c r="V433" s="368"/>
      <c r="W433" s="26"/>
      <c r="X433" s="26"/>
      <c r="Y433" s="26"/>
      <c r="Z433" s="26"/>
    </row>
    <row r="434">
      <c r="A434" s="368"/>
      <c r="B434" s="368"/>
      <c r="C434" s="368"/>
      <c r="D434" s="368"/>
      <c r="E434" s="368"/>
      <c r="F434" s="368"/>
      <c r="G434" s="368"/>
      <c r="H434" s="368"/>
      <c r="I434" s="368"/>
      <c r="J434" s="368"/>
      <c r="K434" s="368"/>
      <c r="L434" s="368"/>
      <c r="M434" s="368"/>
      <c r="N434" s="368"/>
      <c r="O434" s="368"/>
      <c r="P434" s="368"/>
      <c r="Q434" s="368"/>
      <c r="R434" s="368"/>
      <c r="S434" s="368"/>
      <c r="T434" s="368"/>
      <c r="U434" s="368"/>
      <c r="V434" s="368"/>
      <c r="W434" s="26"/>
      <c r="X434" s="26"/>
      <c r="Y434" s="26"/>
      <c r="Z434" s="26"/>
    </row>
    <row r="435">
      <c r="A435" s="368"/>
      <c r="B435" s="368"/>
      <c r="C435" s="368"/>
      <c r="D435" s="368"/>
      <c r="E435" s="368"/>
      <c r="F435" s="368"/>
      <c r="G435" s="368"/>
      <c r="H435" s="368"/>
      <c r="I435" s="368"/>
      <c r="J435" s="368"/>
      <c r="K435" s="368"/>
      <c r="L435" s="368"/>
      <c r="M435" s="368"/>
      <c r="N435" s="368"/>
      <c r="O435" s="368"/>
      <c r="P435" s="368"/>
      <c r="Q435" s="368"/>
      <c r="R435" s="368"/>
      <c r="S435" s="368"/>
      <c r="T435" s="368"/>
      <c r="U435" s="368"/>
      <c r="V435" s="368"/>
      <c r="W435" s="26"/>
      <c r="X435" s="26"/>
      <c r="Y435" s="26"/>
      <c r="Z435" s="26"/>
    </row>
    <row r="436">
      <c r="A436" s="368"/>
      <c r="B436" s="368"/>
      <c r="C436" s="368"/>
      <c r="D436" s="368"/>
      <c r="E436" s="368"/>
      <c r="F436" s="368"/>
      <c r="G436" s="368"/>
      <c r="H436" s="368"/>
      <c r="I436" s="368"/>
      <c r="J436" s="368"/>
      <c r="K436" s="368"/>
      <c r="L436" s="368"/>
      <c r="M436" s="368"/>
      <c r="N436" s="368"/>
      <c r="O436" s="368"/>
      <c r="P436" s="368"/>
      <c r="Q436" s="368"/>
      <c r="R436" s="368"/>
      <c r="S436" s="368"/>
      <c r="T436" s="368"/>
      <c r="U436" s="368"/>
      <c r="V436" s="368"/>
      <c r="W436" s="26"/>
      <c r="X436" s="26"/>
      <c r="Y436" s="26"/>
      <c r="Z436" s="26"/>
    </row>
    <row r="437">
      <c r="A437" s="368"/>
      <c r="B437" s="368"/>
      <c r="C437" s="368"/>
      <c r="D437" s="368"/>
      <c r="E437" s="368"/>
      <c r="F437" s="368"/>
      <c r="G437" s="368"/>
      <c r="H437" s="368"/>
      <c r="I437" s="368"/>
      <c r="J437" s="368"/>
      <c r="K437" s="368"/>
      <c r="L437" s="368"/>
      <c r="M437" s="368"/>
      <c r="N437" s="368"/>
      <c r="O437" s="368"/>
      <c r="P437" s="368"/>
      <c r="Q437" s="368"/>
      <c r="R437" s="368"/>
      <c r="S437" s="368"/>
      <c r="T437" s="368"/>
      <c r="U437" s="368"/>
      <c r="V437" s="368"/>
      <c r="W437" s="26"/>
      <c r="X437" s="26"/>
      <c r="Y437" s="26"/>
      <c r="Z437" s="26"/>
    </row>
    <row r="438">
      <c r="A438" s="368"/>
      <c r="B438" s="368"/>
      <c r="C438" s="368"/>
      <c r="D438" s="368"/>
      <c r="E438" s="368"/>
      <c r="F438" s="368"/>
      <c r="G438" s="368"/>
      <c r="H438" s="368"/>
      <c r="I438" s="368"/>
      <c r="J438" s="368"/>
      <c r="K438" s="368"/>
      <c r="L438" s="368"/>
      <c r="M438" s="368"/>
      <c r="N438" s="368"/>
      <c r="O438" s="368"/>
      <c r="P438" s="368"/>
      <c r="Q438" s="368"/>
      <c r="R438" s="368"/>
      <c r="S438" s="368"/>
      <c r="T438" s="368"/>
      <c r="U438" s="368"/>
      <c r="V438" s="368"/>
      <c r="W438" s="26"/>
      <c r="X438" s="26"/>
      <c r="Y438" s="26"/>
      <c r="Z438" s="26"/>
    </row>
    <row r="439">
      <c r="A439" s="368"/>
      <c r="B439" s="368"/>
      <c r="C439" s="368"/>
      <c r="D439" s="368"/>
      <c r="E439" s="368"/>
      <c r="F439" s="368"/>
      <c r="G439" s="368"/>
      <c r="H439" s="368"/>
      <c r="I439" s="368"/>
      <c r="J439" s="368"/>
      <c r="K439" s="368"/>
      <c r="L439" s="368"/>
      <c r="M439" s="368"/>
      <c r="N439" s="368"/>
      <c r="O439" s="368"/>
      <c r="P439" s="368"/>
      <c r="Q439" s="368"/>
      <c r="R439" s="368"/>
      <c r="S439" s="368"/>
      <c r="T439" s="368"/>
      <c r="U439" s="368"/>
      <c r="V439" s="368"/>
      <c r="W439" s="26"/>
      <c r="X439" s="26"/>
      <c r="Y439" s="26"/>
      <c r="Z439" s="26"/>
    </row>
    <row r="440">
      <c r="A440" s="368"/>
      <c r="B440" s="368"/>
      <c r="C440" s="368"/>
      <c r="D440" s="368"/>
      <c r="E440" s="368"/>
      <c r="F440" s="368"/>
      <c r="G440" s="368"/>
      <c r="H440" s="368"/>
      <c r="I440" s="368"/>
      <c r="J440" s="368"/>
      <c r="K440" s="368"/>
      <c r="L440" s="368"/>
      <c r="M440" s="368"/>
      <c r="N440" s="368"/>
      <c r="O440" s="368"/>
      <c r="P440" s="368"/>
      <c r="Q440" s="368"/>
      <c r="R440" s="368"/>
      <c r="S440" s="368"/>
      <c r="T440" s="368"/>
      <c r="U440" s="368"/>
      <c r="V440" s="368"/>
      <c r="W440" s="26"/>
      <c r="X440" s="26"/>
      <c r="Y440" s="26"/>
      <c r="Z440" s="26"/>
    </row>
    <row r="441">
      <c r="A441" s="368"/>
      <c r="B441" s="368"/>
      <c r="C441" s="368"/>
      <c r="D441" s="368"/>
      <c r="E441" s="368"/>
      <c r="F441" s="368"/>
      <c r="G441" s="368"/>
      <c r="H441" s="368"/>
      <c r="I441" s="368"/>
      <c r="J441" s="368"/>
      <c r="K441" s="368"/>
      <c r="L441" s="368"/>
      <c r="M441" s="368"/>
      <c r="N441" s="368"/>
      <c r="O441" s="368"/>
      <c r="P441" s="368"/>
      <c r="Q441" s="368"/>
      <c r="R441" s="368"/>
      <c r="S441" s="368"/>
      <c r="T441" s="368"/>
      <c r="U441" s="368"/>
      <c r="V441" s="368"/>
      <c r="W441" s="26"/>
      <c r="X441" s="26"/>
      <c r="Y441" s="26"/>
      <c r="Z441" s="26"/>
    </row>
    <row r="442">
      <c r="A442" s="368"/>
      <c r="B442" s="368"/>
      <c r="C442" s="368"/>
      <c r="D442" s="368"/>
      <c r="E442" s="368"/>
      <c r="F442" s="368"/>
      <c r="G442" s="368"/>
      <c r="H442" s="368"/>
      <c r="I442" s="368"/>
      <c r="J442" s="368"/>
      <c r="K442" s="368"/>
      <c r="L442" s="368"/>
      <c r="M442" s="368"/>
      <c r="N442" s="368"/>
      <c r="O442" s="368"/>
      <c r="P442" s="368"/>
      <c r="Q442" s="368"/>
      <c r="R442" s="368"/>
      <c r="S442" s="368"/>
      <c r="T442" s="368"/>
      <c r="U442" s="368"/>
      <c r="V442" s="368"/>
      <c r="W442" s="26"/>
      <c r="X442" s="26"/>
      <c r="Y442" s="26"/>
      <c r="Z442" s="26"/>
    </row>
    <row r="443">
      <c r="A443" s="368"/>
      <c r="B443" s="368"/>
      <c r="C443" s="368"/>
      <c r="D443" s="368"/>
      <c r="E443" s="368"/>
      <c r="F443" s="368"/>
      <c r="G443" s="368"/>
      <c r="H443" s="368"/>
      <c r="I443" s="368"/>
      <c r="J443" s="368"/>
      <c r="K443" s="368"/>
      <c r="L443" s="368"/>
      <c r="M443" s="368"/>
      <c r="N443" s="368"/>
      <c r="O443" s="368"/>
      <c r="P443" s="368"/>
      <c r="Q443" s="368"/>
      <c r="R443" s="368"/>
      <c r="S443" s="368"/>
      <c r="T443" s="368"/>
      <c r="U443" s="368"/>
      <c r="V443" s="368"/>
      <c r="W443" s="26"/>
      <c r="X443" s="26"/>
      <c r="Y443" s="26"/>
      <c r="Z443" s="26"/>
    </row>
    <row r="444">
      <c r="A444" s="368"/>
      <c r="B444" s="368"/>
      <c r="C444" s="368"/>
      <c r="D444" s="368"/>
      <c r="E444" s="368"/>
      <c r="F444" s="368"/>
      <c r="G444" s="368"/>
      <c r="H444" s="368"/>
      <c r="I444" s="368"/>
      <c r="J444" s="368"/>
      <c r="K444" s="368"/>
      <c r="L444" s="368"/>
      <c r="M444" s="368"/>
      <c r="N444" s="368"/>
      <c r="O444" s="368"/>
      <c r="P444" s="368"/>
      <c r="Q444" s="368"/>
      <c r="R444" s="368"/>
      <c r="S444" s="368"/>
      <c r="T444" s="368"/>
      <c r="U444" s="368"/>
      <c r="V444" s="368"/>
      <c r="W444" s="26"/>
      <c r="X444" s="26"/>
      <c r="Y444" s="26"/>
      <c r="Z444" s="26"/>
    </row>
    <row r="445">
      <c r="A445" s="368"/>
      <c r="B445" s="368"/>
      <c r="C445" s="368"/>
      <c r="D445" s="368"/>
      <c r="E445" s="368"/>
      <c r="F445" s="368"/>
      <c r="G445" s="368"/>
      <c r="H445" s="368"/>
      <c r="I445" s="368"/>
      <c r="J445" s="368"/>
      <c r="K445" s="368"/>
      <c r="L445" s="368"/>
      <c r="M445" s="368"/>
      <c r="N445" s="368"/>
      <c r="O445" s="368"/>
      <c r="P445" s="368"/>
      <c r="Q445" s="368"/>
      <c r="R445" s="368"/>
      <c r="S445" s="368"/>
      <c r="T445" s="368"/>
      <c r="U445" s="368"/>
      <c r="V445" s="368"/>
      <c r="W445" s="26"/>
      <c r="X445" s="26"/>
      <c r="Y445" s="26"/>
      <c r="Z445" s="26"/>
    </row>
    <row r="446">
      <c r="A446" s="368"/>
      <c r="B446" s="368"/>
      <c r="C446" s="368"/>
      <c r="D446" s="368"/>
      <c r="E446" s="368"/>
      <c r="F446" s="368"/>
      <c r="G446" s="368"/>
      <c r="H446" s="368"/>
      <c r="I446" s="368"/>
      <c r="J446" s="368"/>
      <c r="K446" s="368"/>
      <c r="L446" s="368"/>
      <c r="M446" s="368"/>
      <c r="N446" s="368"/>
      <c r="O446" s="368"/>
      <c r="P446" s="368"/>
      <c r="Q446" s="368"/>
      <c r="R446" s="368"/>
      <c r="S446" s="368"/>
      <c r="T446" s="368"/>
      <c r="U446" s="368"/>
      <c r="V446" s="368"/>
      <c r="W446" s="26"/>
      <c r="X446" s="26"/>
      <c r="Y446" s="26"/>
      <c r="Z446" s="26"/>
    </row>
    <row r="447">
      <c r="A447" s="368"/>
      <c r="B447" s="368"/>
      <c r="C447" s="368"/>
      <c r="D447" s="368"/>
      <c r="E447" s="368"/>
      <c r="F447" s="368"/>
      <c r="G447" s="368"/>
      <c r="H447" s="368"/>
      <c r="I447" s="368"/>
      <c r="J447" s="368"/>
      <c r="K447" s="368"/>
      <c r="L447" s="368"/>
      <c r="M447" s="368"/>
      <c r="N447" s="368"/>
      <c r="O447" s="368"/>
      <c r="P447" s="368"/>
      <c r="Q447" s="368"/>
      <c r="R447" s="368"/>
      <c r="S447" s="368"/>
      <c r="T447" s="368"/>
      <c r="U447" s="368"/>
      <c r="V447" s="368"/>
      <c r="W447" s="26"/>
      <c r="X447" s="26"/>
      <c r="Y447" s="26"/>
      <c r="Z447" s="26"/>
    </row>
    <row r="448">
      <c r="A448" s="368"/>
      <c r="B448" s="368"/>
      <c r="C448" s="368"/>
      <c r="D448" s="368"/>
      <c r="E448" s="368"/>
      <c r="F448" s="368"/>
      <c r="G448" s="368"/>
      <c r="H448" s="368"/>
      <c r="I448" s="368"/>
      <c r="J448" s="368"/>
      <c r="K448" s="368"/>
      <c r="L448" s="368"/>
      <c r="M448" s="368"/>
      <c r="N448" s="368"/>
      <c r="O448" s="368"/>
      <c r="P448" s="368"/>
      <c r="Q448" s="368"/>
      <c r="R448" s="368"/>
      <c r="S448" s="368"/>
      <c r="T448" s="368"/>
      <c r="U448" s="368"/>
      <c r="V448" s="368"/>
      <c r="W448" s="26"/>
      <c r="X448" s="26"/>
      <c r="Y448" s="26"/>
      <c r="Z448" s="26"/>
    </row>
    <row r="449">
      <c r="A449" s="368"/>
      <c r="B449" s="368"/>
      <c r="C449" s="368"/>
      <c r="D449" s="368"/>
      <c r="E449" s="368"/>
      <c r="F449" s="368"/>
      <c r="G449" s="368"/>
      <c r="H449" s="368"/>
      <c r="I449" s="368"/>
      <c r="J449" s="368"/>
      <c r="K449" s="368"/>
      <c r="L449" s="368"/>
      <c r="M449" s="368"/>
      <c r="N449" s="368"/>
      <c r="O449" s="368"/>
      <c r="P449" s="368"/>
      <c r="Q449" s="368"/>
      <c r="R449" s="368"/>
      <c r="S449" s="368"/>
      <c r="T449" s="368"/>
      <c r="U449" s="368"/>
      <c r="V449" s="368"/>
      <c r="W449" s="26"/>
      <c r="X449" s="26"/>
      <c r="Y449" s="26"/>
      <c r="Z449" s="26"/>
    </row>
    <row r="450">
      <c r="A450" s="368"/>
      <c r="B450" s="368"/>
      <c r="C450" s="368"/>
      <c r="D450" s="368"/>
      <c r="E450" s="368"/>
      <c r="F450" s="368"/>
      <c r="G450" s="368"/>
      <c r="H450" s="368"/>
      <c r="I450" s="368"/>
      <c r="J450" s="368"/>
      <c r="K450" s="368"/>
      <c r="L450" s="368"/>
      <c r="M450" s="368"/>
      <c r="N450" s="368"/>
      <c r="O450" s="368"/>
      <c r="P450" s="368"/>
      <c r="Q450" s="368"/>
      <c r="R450" s="368"/>
      <c r="S450" s="368"/>
      <c r="T450" s="368"/>
      <c r="U450" s="368"/>
      <c r="V450" s="368"/>
      <c r="W450" s="26"/>
      <c r="X450" s="26"/>
      <c r="Y450" s="26"/>
      <c r="Z450" s="26"/>
    </row>
    <row r="451">
      <c r="A451" s="368"/>
      <c r="B451" s="368"/>
      <c r="C451" s="368"/>
      <c r="D451" s="368"/>
      <c r="E451" s="368"/>
      <c r="F451" s="368"/>
      <c r="G451" s="368"/>
      <c r="H451" s="368"/>
      <c r="I451" s="368"/>
      <c r="J451" s="368"/>
      <c r="K451" s="368"/>
      <c r="L451" s="368"/>
      <c r="M451" s="368"/>
      <c r="N451" s="368"/>
      <c r="O451" s="368"/>
      <c r="P451" s="368"/>
      <c r="Q451" s="368"/>
      <c r="R451" s="368"/>
      <c r="S451" s="368"/>
      <c r="T451" s="368"/>
      <c r="U451" s="368"/>
      <c r="V451" s="368"/>
      <c r="W451" s="26"/>
      <c r="X451" s="26"/>
      <c r="Y451" s="26"/>
      <c r="Z451" s="26"/>
    </row>
    <row r="452">
      <c r="A452" s="368"/>
      <c r="B452" s="368"/>
      <c r="C452" s="368"/>
      <c r="D452" s="368"/>
      <c r="E452" s="368"/>
      <c r="F452" s="368"/>
      <c r="G452" s="368"/>
      <c r="H452" s="368"/>
      <c r="I452" s="368"/>
      <c r="J452" s="368"/>
      <c r="K452" s="368"/>
      <c r="L452" s="368"/>
      <c r="M452" s="368"/>
      <c r="N452" s="368"/>
      <c r="O452" s="368"/>
      <c r="P452" s="368"/>
      <c r="Q452" s="368"/>
      <c r="R452" s="368"/>
      <c r="S452" s="368"/>
      <c r="T452" s="368"/>
      <c r="U452" s="368"/>
      <c r="V452" s="368"/>
      <c r="W452" s="26"/>
      <c r="X452" s="26"/>
      <c r="Y452" s="26"/>
      <c r="Z452" s="26"/>
    </row>
    <row r="453">
      <c r="A453" s="368"/>
      <c r="B453" s="368"/>
      <c r="C453" s="368"/>
      <c r="D453" s="368"/>
      <c r="E453" s="368"/>
      <c r="F453" s="368"/>
      <c r="G453" s="368"/>
      <c r="H453" s="368"/>
      <c r="I453" s="368"/>
      <c r="J453" s="368"/>
      <c r="K453" s="368"/>
      <c r="L453" s="368"/>
      <c r="M453" s="368"/>
      <c r="N453" s="368"/>
      <c r="O453" s="368"/>
      <c r="P453" s="368"/>
      <c r="Q453" s="368"/>
      <c r="R453" s="368"/>
      <c r="S453" s="368"/>
      <c r="T453" s="368"/>
      <c r="U453" s="368"/>
      <c r="V453" s="368"/>
      <c r="W453" s="26"/>
      <c r="X453" s="26"/>
      <c r="Y453" s="26"/>
      <c r="Z453" s="26"/>
    </row>
    <row r="454">
      <c r="A454" s="368"/>
      <c r="B454" s="368"/>
      <c r="C454" s="368"/>
      <c r="D454" s="368"/>
      <c r="E454" s="368"/>
      <c r="F454" s="368"/>
      <c r="G454" s="368"/>
      <c r="H454" s="368"/>
      <c r="I454" s="368"/>
      <c r="J454" s="368"/>
      <c r="K454" s="368"/>
      <c r="L454" s="368"/>
      <c r="M454" s="368"/>
      <c r="N454" s="368"/>
      <c r="O454" s="368"/>
      <c r="P454" s="368"/>
      <c r="Q454" s="368"/>
      <c r="R454" s="368"/>
      <c r="S454" s="368"/>
      <c r="T454" s="368"/>
      <c r="U454" s="368"/>
      <c r="V454" s="368"/>
      <c r="W454" s="26"/>
      <c r="X454" s="26"/>
      <c r="Y454" s="26"/>
      <c r="Z454" s="26"/>
    </row>
    <row r="455">
      <c r="A455" s="368"/>
      <c r="B455" s="368"/>
      <c r="C455" s="368"/>
      <c r="D455" s="368"/>
      <c r="E455" s="368"/>
      <c r="F455" s="368"/>
      <c r="G455" s="368"/>
      <c r="H455" s="368"/>
      <c r="I455" s="368"/>
      <c r="J455" s="368"/>
      <c r="K455" s="368"/>
      <c r="L455" s="368"/>
      <c r="M455" s="368"/>
      <c r="N455" s="368"/>
      <c r="O455" s="368"/>
      <c r="P455" s="368"/>
      <c r="Q455" s="368"/>
      <c r="R455" s="368"/>
      <c r="S455" s="368"/>
      <c r="T455" s="368"/>
      <c r="U455" s="368"/>
      <c r="V455" s="368"/>
      <c r="W455" s="26"/>
      <c r="X455" s="26"/>
      <c r="Y455" s="26"/>
      <c r="Z455" s="26"/>
    </row>
    <row r="456">
      <c r="A456" s="368"/>
      <c r="B456" s="368"/>
      <c r="C456" s="368"/>
      <c r="D456" s="368"/>
      <c r="E456" s="368"/>
      <c r="F456" s="368"/>
      <c r="G456" s="368"/>
      <c r="H456" s="368"/>
      <c r="I456" s="368"/>
      <c r="J456" s="368"/>
      <c r="K456" s="368"/>
      <c r="L456" s="368"/>
      <c r="M456" s="368"/>
      <c r="N456" s="368"/>
      <c r="O456" s="368"/>
      <c r="P456" s="368"/>
      <c r="Q456" s="368"/>
      <c r="R456" s="368"/>
      <c r="S456" s="368"/>
      <c r="T456" s="368"/>
      <c r="U456" s="368"/>
      <c r="V456" s="368"/>
      <c r="W456" s="26"/>
      <c r="X456" s="26"/>
      <c r="Y456" s="26"/>
      <c r="Z456" s="26"/>
    </row>
    <row r="457">
      <c r="A457" s="368"/>
      <c r="B457" s="368"/>
      <c r="C457" s="368"/>
      <c r="D457" s="368"/>
      <c r="E457" s="368"/>
      <c r="F457" s="368"/>
      <c r="G457" s="368"/>
      <c r="H457" s="368"/>
      <c r="I457" s="368"/>
      <c r="J457" s="368"/>
      <c r="K457" s="368"/>
      <c r="L457" s="368"/>
      <c r="M457" s="368"/>
      <c r="N457" s="368"/>
      <c r="O457" s="368"/>
      <c r="P457" s="368"/>
      <c r="Q457" s="368"/>
      <c r="R457" s="368"/>
      <c r="S457" s="368"/>
      <c r="T457" s="368"/>
      <c r="U457" s="368"/>
      <c r="V457" s="368"/>
      <c r="W457" s="26"/>
      <c r="X457" s="26"/>
      <c r="Y457" s="26"/>
      <c r="Z457" s="26"/>
    </row>
    <row r="458">
      <c r="A458" s="368"/>
      <c r="B458" s="368"/>
      <c r="C458" s="368"/>
      <c r="D458" s="368"/>
      <c r="E458" s="368"/>
      <c r="F458" s="368"/>
      <c r="G458" s="368"/>
      <c r="H458" s="368"/>
      <c r="I458" s="368"/>
      <c r="J458" s="368"/>
      <c r="K458" s="368"/>
      <c r="L458" s="368"/>
      <c r="M458" s="368"/>
      <c r="N458" s="368"/>
      <c r="O458" s="368"/>
      <c r="P458" s="368"/>
      <c r="Q458" s="368"/>
      <c r="R458" s="368"/>
      <c r="S458" s="368"/>
      <c r="T458" s="368"/>
      <c r="U458" s="368"/>
      <c r="V458" s="368"/>
      <c r="W458" s="26"/>
      <c r="X458" s="26"/>
      <c r="Y458" s="26"/>
      <c r="Z458" s="26"/>
    </row>
    <row r="459">
      <c r="A459" s="368"/>
      <c r="B459" s="368"/>
      <c r="C459" s="368"/>
      <c r="D459" s="368"/>
      <c r="E459" s="368"/>
      <c r="F459" s="368"/>
      <c r="G459" s="368"/>
      <c r="H459" s="368"/>
      <c r="I459" s="368"/>
      <c r="J459" s="368"/>
      <c r="K459" s="368"/>
      <c r="L459" s="368"/>
      <c r="M459" s="368"/>
      <c r="N459" s="368"/>
      <c r="O459" s="368"/>
      <c r="P459" s="368"/>
      <c r="Q459" s="368"/>
      <c r="R459" s="368"/>
      <c r="S459" s="368"/>
      <c r="T459" s="368"/>
      <c r="U459" s="368"/>
      <c r="V459" s="368"/>
      <c r="W459" s="26"/>
      <c r="X459" s="26"/>
      <c r="Y459" s="26"/>
      <c r="Z459" s="26"/>
    </row>
    <row r="460">
      <c r="A460" s="368"/>
      <c r="B460" s="368"/>
      <c r="C460" s="368"/>
      <c r="D460" s="368"/>
      <c r="E460" s="368"/>
      <c r="F460" s="368"/>
      <c r="G460" s="368"/>
      <c r="H460" s="368"/>
      <c r="I460" s="368"/>
      <c r="J460" s="368"/>
      <c r="K460" s="368"/>
      <c r="L460" s="368"/>
      <c r="M460" s="368"/>
      <c r="N460" s="368"/>
      <c r="O460" s="368"/>
      <c r="P460" s="368"/>
      <c r="Q460" s="368"/>
      <c r="R460" s="368"/>
      <c r="S460" s="368"/>
      <c r="T460" s="368"/>
      <c r="U460" s="368"/>
      <c r="V460" s="368"/>
      <c r="W460" s="26"/>
      <c r="X460" s="26"/>
      <c r="Y460" s="26"/>
      <c r="Z460" s="26"/>
    </row>
    <row r="461">
      <c r="A461" s="368"/>
      <c r="B461" s="368"/>
      <c r="C461" s="368"/>
      <c r="D461" s="368"/>
      <c r="E461" s="368"/>
      <c r="F461" s="368"/>
      <c r="G461" s="368"/>
      <c r="H461" s="368"/>
      <c r="I461" s="368"/>
      <c r="J461" s="368"/>
      <c r="K461" s="368"/>
      <c r="L461" s="368"/>
      <c r="M461" s="368"/>
      <c r="N461" s="368"/>
      <c r="O461" s="368"/>
      <c r="P461" s="368"/>
      <c r="Q461" s="368"/>
      <c r="R461" s="368"/>
      <c r="S461" s="368"/>
      <c r="T461" s="368"/>
      <c r="U461" s="368"/>
      <c r="V461" s="368"/>
      <c r="W461" s="26"/>
      <c r="X461" s="26"/>
      <c r="Y461" s="26"/>
      <c r="Z461" s="26"/>
    </row>
    <row r="462">
      <c r="A462" s="368"/>
      <c r="B462" s="368"/>
      <c r="C462" s="368"/>
      <c r="D462" s="368"/>
      <c r="E462" s="368"/>
      <c r="F462" s="368"/>
      <c r="G462" s="368"/>
      <c r="H462" s="368"/>
      <c r="I462" s="368"/>
      <c r="J462" s="368"/>
      <c r="K462" s="368"/>
      <c r="L462" s="368"/>
      <c r="M462" s="368"/>
      <c r="N462" s="368"/>
      <c r="O462" s="368"/>
      <c r="P462" s="368"/>
      <c r="Q462" s="368"/>
      <c r="R462" s="368"/>
      <c r="S462" s="368"/>
      <c r="T462" s="368"/>
      <c r="U462" s="368"/>
      <c r="V462" s="368"/>
      <c r="W462" s="26"/>
      <c r="X462" s="26"/>
      <c r="Y462" s="26"/>
      <c r="Z462" s="26"/>
    </row>
    <row r="463">
      <c r="A463" s="368"/>
      <c r="B463" s="368"/>
      <c r="C463" s="368"/>
      <c r="D463" s="368"/>
      <c r="E463" s="368"/>
      <c r="F463" s="368"/>
      <c r="G463" s="368"/>
      <c r="H463" s="368"/>
      <c r="I463" s="368"/>
      <c r="J463" s="368"/>
      <c r="K463" s="368"/>
      <c r="L463" s="368"/>
      <c r="M463" s="368"/>
      <c r="N463" s="368"/>
      <c r="O463" s="368"/>
      <c r="P463" s="368"/>
      <c r="Q463" s="368"/>
      <c r="R463" s="368"/>
      <c r="S463" s="368"/>
      <c r="T463" s="368"/>
      <c r="U463" s="368"/>
      <c r="V463" s="368"/>
      <c r="W463" s="26"/>
      <c r="X463" s="26"/>
      <c r="Y463" s="26"/>
      <c r="Z463" s="26"/>
    </row>
    <row r="464">
      <c r="A464" s="368"/>
      <c r="B464" s="368"/>
      <c r="C464" s="368"/>
      <c r="D464" s="368"/>
      <c r="E464" s="368"/>
      <c r="F464" s="368"/>
      <c r="G464" s="368"/>
      <c r="H464" s="368"/>
      <c r="I464" s="368"/>
      <c r="J464" s="368"/>
      <c r="K464" s="368"/>
      <c r="L464" s="368"/>
      <c r="M464" s="368"/>
      <c r="N464" s="368"/>
      <c r="O464" s="368"/>
      <c r="P464" s="368"/>
      <c r="Q464" s="368"/>
      <c r="R464" s="368"/>
      <c r="S464" s="368"/>
      <c r="T464" s="368"/>
      <c r="U464" s="368"/>
      <c r="V464" s="368"/>
      <c r="W464" s="26"/>
      <c r="X464" s="26"/>
      <c r="Y464" s="26"/>
      <c r="Z464" s="26"/>
    </row>
    <row r="465">
      <c r="A465" s="368"/>
      <c r="B465" s="368"/>
      <c r="C465" s="368"/>
      <c r="D465" s="368"/>
      <c r="E465" s="368"/>
      <c r="F465" s="368"/>
      <c r="G465" s="368"/>
      <c r="H465" s="368"/>
      <c r="I465" s="368"/>
      <c r="J465" s="368"/>
      <c r="K465" s="368"/>
      <c r="L465" s="368"/>
      <c r="M465" s="368"/>
      <c r="N465" s="368"/>
      <c r="O465" s="368"/>
      <c r="P465" s="368"/>
      <c r="Q465" s="368"/>
      <c r="R465" s="368"/>
      <c r="S465" s="368"/>
      <c r="T465" s="368"/>
      <c r="U465" s="368"/>
      <c r="V465" s="368"/>
      <c r="W465" s="26"/>
      <c r="X465" s="26"/>
      <c r="Y465" s="26"/>
      <c r="Z465" s="26"/>
    </row>
    <row r="466">
      <c r="A466" s="368"/>
      <c r="B466" s="368"/>
      <c r="C466" s="368"/>
      <c r="D466" s="368"/>
      <c r="E466" s="368"/>
      <c r="F466" s="368"/>
      <c r="G466" s="368"/>
      <c r="H466" s="368"/>
      <c r="I466" s="368"/>
      <c r="J466" s="368"/>
      <c r="K466" s="368"/>
      <c r="L466" s="368"/>
      <c r="M466" s="368"/>
      <c r="N466" s="368"/>
      <c r="O466" s="368"/>
      <c r="P466" s="368"/>
      <c r="Q466" s="368"/>
      <c r="R466" s="368"/>
      <c r="S466" s="368"/>
      <c r="T466" s="368"/>
      <c r="U466" s="368"/>
      <c r="V466" s="368"/>
      <c r="W466" s="26"/>
      <c r="X466" s="26"/>
      <c r="Y466" s="26"/>
      <c r="Z466" s="26"/>
    </row>
    <row r="467">
      <c r="A467" s="368"/>
      <c r="B467" s="368"/>
      <c r="C467" s="368"/>
      <c r="D467" s="368"/>
      <c r="E467" s="368"/>
      <c r="F467" s="368"/>
      <c r="G467" s="368"/>
      <c r="H467" s="368"/>
      <c r="I467" s="368"/>
      <c r="J467" s="368"/>
      <c r="K467" s="368"/>
      <c r="L467" s="368"/>
      <c r="M467" s="368"/>
      <c r="N467" s="368"/>
      <c r="O467" s="368"/>
      <c r="P467" s="368"/>
      <c r="Q467" s="368"/>
      <c r="R467" s="368"/>
      <c r="S467" s="368"/>
      <c r="T467" s="368"/>
      <c r="U467" s="368"/>
      <c r="V467" s="368"/>
      <c r="W467" s="26"/>
      <c r="X467" s="26"/>
      <c r="Y467" s="26"/>
      <c r="Z467" s="26"/>
    </row>
    <row r="468">
      <c r="A468" s="368"/>
      <c r="B468" s="368"/>
      <c r="C468" s="368"/>
      <c r="D468" s="368"/>
      <c r="E468" s="368"/>
      <c r="F468" s="368"/>
      <c r="G468" s="368"/>
      <c r="H468" s="368"/>
      <c r="I468" s="368"/>
      <c r="J468" s="368"/>
      <c r="K468" s="368"/>
      <c r="L468" s="368"/>
      <c r="M468" s="368"/>
      <c r="N468" s="368"/>
      <c r="O468" s="368"/>
      <c r="P468" s="368"/>
      <c r="Q468" s="368"/>
      <c r="R468" s="368"/>
      <c r="S468" s="368"/>
      <c r="T468" s="368"/>
      <c r="U468" s="368"/>
      <c r="V468" s="368"/>
      <c r="W468" s="26"/>
      <c r="X468" s="26"/>
      <c r="Y468" s="26"/>
      <c r="Z468" s="26"/>
    </row>
    <row r="469">
      <c r="A469" s="368"/>
      <c r="B469" s="368"/>
      <c r="C469" s="368"/>
      <c r="D469" s="368"/>
      <c r="E469" s="368"/>
      <c r="F469" s="368"/>
      <c r="G469" s="368"/>
      <c r="H469" s="368"/>
      <c r="I469" s="368"/>
      <c r="J469" s="368"/>
      <c r="K469" s="368"/>
      <c r="L469" s="368"/>
      <c r="M469" s="368"/>
      <c r="N469" s="368"/>
      <c r="O469" s="368"/>
      <c r="P469" s="368"/>
      <c r="Q469" s="368"/>
      <c r="R469" s="368"/>
      <c r="S469" s="368"/>
      <c r="T469" s="368"/>
      <c r="U469" s="368"/>
      <c r="V469" s="368"/>
      <c r="W469" s="26"/>
      <c r="X469" s="26"/>
      <c r="Y469" s="26"/>
      <c r="Z469" s="26"/>
    </row>
    <row r="470">
      <c r="A470" s="368"/>
      <c r="B470" s="368"/>
      <c r="C470" s="368"/>
      <c r="D470" s="368"/>
      <c r="E470" s="368"/>
      <c r="F470" s="368"/>
      <c r="G470" s="368"/>
      <c r="H470" s="368"/>
      <c r="I470" s="368"/>
      <c r="J470" s="368"/>
      <c r="K470" s="368"/>
      <c r="L470" s="368"/>
      <c r="M470" s="368"/>
      <c r="N470" s="368"/>
      <c r="O470" s="368"/>
      <c r="P470" s="368"/>
      <c r="Q470" s="368"/>
      <c r="R470" s="368"/>
      <c r="S470" s="368"/>
      <c r="T470" s="368"/>
      <c r="U470" s="368"/>
      <c r="V470" s="368"/>
      <c r="W470" s="26"/>
      <c r="X470" s="26"/>
      <c r="Y470" s="26"/>
      <c r="Z470" s="26"/>
    </row>
    <row r="471">
      <c r="A471" s="368"/>
      <c r="B471" s="368"/>
      <c r="C471" s="368"/>
      <c r="D471" s="368"/>
      <c r="E471" s="368"/>
      <c r="F471" s="368"/>
      <c r="G471" s="368"/>
      <c r="H471" s="368"/>
      <c r="I471" s="368"/>
      <c r="J471" s="368"/>
      <c r="K471" s="368"/>
      <c r="L471" s="368"/>
      <c r="M471" s="368"/>
      <c r="N471" s="368"/>
      <c r="O471" s="368"/>
      <c r="P471" s="368"/>
      <c r="Q471" s="368"/>
      <c r="R471" s="368"/>
      <c r="S471" s="368"/>
      <c r="T471" s="368"/>
      <c r="U471" s="368"/>
      <c r="V471" s="368"/>
      <c r="W471" s="26"/>
      <c r="X471" s="26"/>
      <c r="Y471" s="26"/>
      <c r="Z471" s="26"/>
    </row>
    <row r="472">
      <c r="A472" s="368"/>
      <c r="B472" s="368"/>
      <c r="C472" s="368"/>
      <c r="D472" s="368"/>
      <c r="E472" s="368"/>
      <c r="F472" s="368"/>
      <c r="G472" s="368"/>
      <c r="H472" s="368"/>
      <c r="I472" s="368"/>
      <c r="J472" s="368"/>
      <c r="K472" s="368"/>
      <c r="L472" s="368"/>
      <c r="M472" s="368"/>
      <c r="N472" s="368"/>
      <c r="O472" s="368"/>
      <c r="P472" s="368"/>
      <c r="Q472" s="368"/>
      <c r="R472" s="368"/>
      <c r="S472" s="368"/>
      <c r="T472" s="368"/>
      <c r="U472" s="368"/>
      <c r="V472" s="368"/>
      <c r="W472" s="26"/>
      <c r="X472" s="26"/>
      <c r="Y472" s="26"/>
      <c r="Z472" s="26"/>
    </row>
    <row r="473">
      <c r="A473" s="368"/>
      <c r="B473" s="368"/>
      <c r="C473" s="368"/>
      <c r="D473" s="368"/>
      <c r="E473" s="368"/>
      <c r="F473" s="368"/>
      <c r="G473" s="368"/>
      <c r="H473" s="368"/>
      <c r="I473" s="368"/>
      <c r="J473" s="368"/>
      <c r="K473" s="368"/>
      <c r="L473" s="368"/>
      <c r="M473" s="368"/>
      <c r="N473" s="368"/>
      <c r="O473" s="368"/>
      <c r="P473" s="368"/>
      <c r="Q473" s="368"/>
      <c r="R473" s="368"/>
      <c r="S473" s="368"/>
      <c r="T473" s="368"/>
      <c r="U473" s="368"/>
      <c r="V473" s="368"/>
      <c r="W473" s="26"/>
      <c r="X473" s="26"/>
      <c r="Y473" s="26"/>
      <c r="Z473" s="26"/>
    </row>
    <row r="474">
      <c r="A474" s="368"/>
      <c r="B474" s="368"/>
      <c r="C474" s="368"/>
      <c r="D474" s="368"/>
      <c r="E474" s="368"/>
      <c r="F474" s="368"/>
      <c r="G474" s="368"/>
      <c r="H474" s="368"/>
      <c r="I474" s="368"/>
      <c r="J474" s="368"/>
      <c r="K474" s="368"/>
      <c r="L474" s="368"/>
      <c r="M474" s="368"/>
      <c r="N474" s="368"/>
      <c r="O474" s="368"/>
      <c r="P474" s="368"/>
      <c r="Q474" s="368"/>
      <c r="R474" s="368"/>
      <c r="S474" s="368"/>
      <c r="T474" s="368"/>
      <c r="U474" s="368"/>
      <c r="V474" s="368"/>
      <c r="W474" s="26"/>
      <c r="X474" s="26"/>
      <c r="Y474" s="26"/>
      <c r="Z474" s="26"/>
    </row>
    <row r="475">
      <c r="A475" s="368"/>
      <c r="B475" s="368"/>
      <c r="C475" s="368"/>
      <c r="D475" s="368"/>
      <c r="E475" s="368"/>
      <c r="F475" s="368"/>
      <c r="G475" s="368"/>
      <c r="H475" s="368"/>
      <c r="I475" s="368"/>
      <c r="J475" s="368"/>
      <c r="K475" s="368"/>
      <c r="L475" s="368"/>
      <c r="M475" s="368"/>
      <c r="N475" s="368"/>
      <c r="O475" s="368"/>
      <c r="P475" s="368"/>
      <c r="Q475" s="368"/>
      <c r="R475" s="368"/>
      <c r="S475" s="368"/>
      <c r="T475" s="368"/>
      <c r="U475" s="368"/>
      <c r="V475" s="368"/>
      <c r="W475" s="26"/>
      <c r="X475" s="26"/>
      <c r="Y475" s="26"/>
      <c r="Z475" s="26"/>
    </row>
    <row r="476">
      <c r="A476" s="368"/>
      <c r="B476" s="368"/>
      <c r="C476" s="368"/>
      <c r="D476" s="368"/>
      <c r="E476" s="368"/>
      <c r="F476" s="368"/>
      <c r="G476" s="368"/>
      <c r="H476" s="368"/>
      <c r="I476" s="368"/>
      <c r="J476" s="368"/>
      <c r="K476" s="368"/>
      <c r="L476" s="368"/>
      <c r="M476" s="368"/>
      <c r="N476" s="368"/>
      <c r="O476" s="368"/>
      <c r="P476" s="368"/>
      <c r="Q476" s="368"/>
      <c r="R476" s="368"/>
      <c r="S476" s="368"/>
      <c r="T476" s="368"/>
      <c r="U476" s="368"/>
      <c r="V476" s="368"/>
      <c r="W476" s="26"/>
      <c r="X476" s="26"/>
      <c r="Y476" s="26"/>
      <c r="Z476" s="26"/>
    </row>
    <row r="477">
      <c r="A477" s="368"/>
      <c r="B477" s="368"/>
      <c r="C477" s="368"/>
      <c r="D477" s="368"/>
      <c r="E477" s="368"/>
      <c r="F477" s="368"/>
      <c r="G477" s="368"/>
      <c r="H477" s="368"/>
      <c r="I477" s="368"/>
      <c r="J477" s="368"/>
      <c r="K477" s="368"/>
      <c r="L477" s="368"/>
      <c r="M477" s="368"/>
      <c r="N477" s="368"/>
      <c r="O477" s="368"/>
      <c r="P477" s="368"/>
      <c r="Q477" s="368"/>
      <c r="R477" s="368"/>
      <c r="S477" s="368"/>
      <c r="T477" s="368"/>
      <c r="U477" s="368"/>
      <c r="V477" s="368"/>
      <c r="W477" s="26"/>
      <c r="X477" s="26"/>
      <c r="Y477" s="26"/>
      <c r="Z477" s="26"/>
    </row>
    <row r="478">
      <c r="A478" s="368"/>
      <c r="B478" s="368"/>
      <c r="C478" s="368"/>
      <c r="D478" s="368"/>
      <c r="E478" s="368"/>
      <c r="F478" s="368"/>
      <c r="G478" s="368"/>
      <c r="H478" s="368"/>
      <c r="I478" s="368"/>
      <c r="J478" s="368"/>
      <c r="K478" s="368"/>
      <c r="L478" s="368"/>
      <c r="M478" s="368"/>
      <c r="N478" s="368"/>
      <c r="O478" s="368"/>
      <c r="P478" s="368"/>
      <c r="Q478" s="368"/>
      <c r="R478" s="368"/>
      <c r="S478" s="368"/>
      <c r="T478" s="368"/>
      <c r="U478" s="368"/>
      <c r="V478" s="368"/>
      <c r="W478" s="26"/>
      <c r="X478" s="26"/>
      <c r="Y478" s="26"/>
      <c r="Z478" s="26"/>
    </row>
    <row r="479">
      <c r="A479" s="368"/>
      <c r="B479" s="368"/>
      <c r="C479" s="368"/>
      <c r="D479" s="368"/>
      <c r="E479" s="368"/>
      <c r="F479" s="368"/>
      <c r="G479" s="368"/>
      <c r="H479" s="368"/>
      <c r="I479" s="368"/>
      <c r="J479" s="368"/>
      <c r="K479" s="368"/>
      <c r="L479" s="368"/>
      <c r="M479" s="368"/>
      <c r="N479" s="368"/>
      <c r="O479" s="368"/>
      <c r="P479" s="368"/>
      <c r="Q479" s="368"/>
      <c r="R479" s="368"/>
      <c r="S479" s="368"/>
      <c r="T479" s="368"/>
      <c r="U479" s="368"/>
      <c r="V479" s="368"/>
      <c r="W479" s="26"/>
      <c r="X479" s="26"/>
      <c r="Y479" s="26"/>
      <c r="Z479" s="26"/>
    </row>
    <row r="480">
      <c r="A480" s="368"/>
      <c r="B480" s="368"/>
      <c r="C480" s="368"/>
      <c r="D480" s="368"/>
      <c r="E480" s="368"/>
      <c r="F480" s="368"/>
      <c r="G480" s="368"/>
      <c r="H480" s="368"/>
      <c r="I480" s="368"/>
      <c r="J480" s="368"/>
      <c r="K480" s="368"/>
      <c r="L480" s="368"/>
      <c r="M480" s="368"/>
      <c r="N480" s="368"/>
      <c r="O480" s="368"/>
      <c r="P480" s="368"/>
      <c r="Q480" s="368"/>
      <c r="R480" s="368"/>
      <c r="S480" s="368"/>
      <c r="T480" s="368"/>
      <c r="U480" s="368"/>
      <c r="V480" s="368"/>
      <c r="W480" s="26"/>
      <c r="X480" s="26"/>
      <c r="Y480" s="26"/>
      <c r="Z480" s="26"/>
    </row>
    <row r="481">
      <c r="A481" s="368"/>
      <c r="B481" s="368"/>
      <c r="C481" s="368"/>
      <c r="D481" s="368"/>
      <c r="E481" s="368"/>
      <c r="F481" s="368"/>
      <c r="G481" s="368"/>
      <c r="H481" s="368"/>
      <c r="I481" s="368"/>
      <c r="J481" s="368"/>
      <c r="K481" s="368"/>
      <c r="L481" s="368"/>
      <c r="M481" s="368"/>
      <c r="N481" s="368"/>
      <c r="O481" s="368"/>
      <c r="P481" s="368"/>
      <c r="Q481" s="368"/>
      <c r="R481" s="368"/>
      <c r="S481" s="368"/>
      <c r="T481" s="368"/>
      <c r="U481" s="368"/>
      <c r="V481" s="368"/>
      <c r="W481" s="26"/>
      <c r="X481" s="26"/>
      <c r="Y481" s="26"/>
      <c r="Z481" s="26"/>
    </row>
    <row r="482">
      <c r="A482" s="368"/>
      <c r="B482" s="368"/>
      <c r="C482" s="368"/>
      <c r="D482" s="368"/>
      <c r="E482" s="368"/>
      <c r="F482" s="368"/>
      <c r="G482" s="368"/>
      <c r="H482" s="368"/>
      <c r="I482" s="368"/>
      <c r="J482" s="368"/>
      <c r="K482" s="368"/>
      <c r="L482" s="368"/>
      <c r="M482" s="368"/>
      <c r="N482" s="368"/>
      <c r="O482" s="368"/>
      <c r="P482" s="368"/>
      <c r="Q482" s="368"/>
      <c r="R482" s="368"/>
      <c r="S482" s="368"/>
      <c r="T482" s="368"/>
      <c r="U482" s="368"/>
      <c r="V482" s="368"/>
      <c r="W482" s="26"/>
      <c r="X482" s="26"/>
      <c r="Y482" s="26"/>
      <c r="Z482" s="26"/>
    </row>
    <row r="483">
      <c r="A483" s="368"/>
      <c r="B483" s="368"/>
      <c r="C483" s="368"/>
      <c r="D483" s="368"/>
      <c r="E483" s="368"/>
      <c r="F483" s="368"/>
      <c r="G483" s="368"/>
      <c r="H483" s="368"/>
      <c r="I483" s="368"/>
      <c r="J483" s="368"/>
      <c r="K483" s="368"/>
      <c r="L483" s="368"/>
      <c r="M483" s="368"/>
      <c r="N483" s="368"/>
      <c r="O483" s="368"/>
      <c r="P483" s="368"/>
      <c r="Q483" s="368"/>
      <c r="R483" s="368"/>
      <c r="S483" s="368"/>
      <c r="T483" s="368"/>
      <c r="U483" s="368"/>
      <c r="V483" s="368"/>
      <c r="W483" s="26"/>
      <c r="X483" s="26"/>
      <c r="Y483" s="26"/>
      <c r="Z483" s="26"/>
    </row>
    <row r="484">
      <c r="A484" s="368"/>
      <c r="B484" s="368"/>
      <c r="C484" s="368"/>
      <c r="D484" s="368"/>
      <c r="E484" s="368"/>
      <c r="F484" s="368"/>
      <c r="G484" s="368"/>
      <c r="H484" s="368"/>
      <c r="I484" s="368"/>
      <c r="J484" s="368"/>
      <c r="K484" s="368"/>
      <c r="L484" s="368"/>
      <c r="M484" s="368"/>
      <c r="N484" s="368"/>
      <c r="O484" s="368"/>
      <c r="P484" s="368"/>
      <c r="Q484" s="368"/>
      <c r="R484" s="368"/>
      <c r="S484" s="368"/>
      <c r="T484" s="368"/>
      <c r="U484" s="368"/>
      <c r="V484" s="368"/>
      <c r="W484" s="26"/>
      <c r="X484" s="26"/>
      <c r="Y484" s="26"/>
      <c r="Z484" s="26"/>
    </row>
    <row r="485">
      <c r="A485" s="368"/>
      <c r="B485" s="368"/>
      <c r="C485" s="368"/>
      <c r="D485" s="368"/>
      <c r="E485" s="368"/>
      <c r="F485" s="368"/>
      <c r="G485" s="368"/>
      <c r="H485" s="368"/>
      <c r="I485" s="368"/>
      <c r="J485" s="368"/>
      <c r="K485" s="368"/>
      <c r="L485" s="368"/>
      <c r="M485" s="368"/>
      <c r="N485" s="368"/>
      <c r="O485" s="368"/>
      <c r="P485" s="368"/>
      <c r="Q485" s="368"/>
      <c r="R485" s="368"/>
      <c r="S485" s="368"/>
      <c r="T485" s="368"/>
      <c r="U485" s="368"/>
      <c r="V485" s="368"/>
      <c r="W485" s="26"/>
      <c r="X485" s="26"/>
      <c r="Y485" s="26"/>
      <c r="Z485" s="26"/>
    </row>
    <row r="486">
      <c r="A486" s="368"/>
      <c r="B486" s="368"/>
      <c r="C486" s="368"/>
      <c r="D486" s="368"/>
      <c r="E486" s="368"/>
      <c r="F486" s="368"/>
      <c r="G486" s="368"/>
      <c r="H486" s="368"/>
      <c r="I486" s="368"/>
      <c r="J486" s="368"/>
      <c r="K486" s="368"/>
      <c r="L486" s="368"/>
      <c r="M486" s="368"/>
      <c r="N486" s="368"/>
      <c r="O486" s="368"/>
      <c r="P486" s="368"/>
      <c r="Q486" s="368"/>
      <c r="R486" s="368"/>
      <c r="S486" s="368"/>
      <c r="T486" s="368"/>
      <c r="U486" s="368"/>
      <c r="V486" s="368"/>
      <c r="W486" s="26"/>
      <c r="X486" s="26"/>
      <c r="Y486" s="26"/>
      <c r="Z486" s="26"/>
    </row>
    <row r="487">
      <c r="A487" s="368"/>
      <c r="B487" s="368"/>
      <c r="C487" s="368"/>
      <c r="D487" s="368"/>
      <c r="E487" s="368"/>
      <c r="F487" s="368"/>
      <c r="G487" s="368"/>
      <c r="H487" s="368"/>
      <c r="I487" s="368"/>
      <c r="J487" s="368"/>
      <c r="K487" s="368"/>
      <c r="L487" s="368"/>
      <c r="M487" s="368"/>
      <c r="N487" s="368"/>
      <c r="O487" s="368"/>
      <c r="P487" s="368"/>
      <c r="Q487" s="368"/>
      <c r="R487" s="368"/>
      <c r="S487" s="368"/>
      <c r="T487" s="368"/>
      <c r="U487" s="368"/>
      <c r="V487" s="368"/>
      <c r="W487" s="26"/>
      <c r="X487" s="26"/>
      <c r="Y487" s="26"/>
      <c r="Z487" s="26"/>
    </row>
    <row r="488">
      <c r="A488" s="368"/>
      <c r="B488" s="368"/>
      <c r="C488" s="368"/>
      <c r="D488" s="368"/>
      <c r="E488" s="368"/>
      <c r="F488" s="368"/>
      <c r="G488" s="368"/>
      <c r="H488" s="368"/>
      <c r="I488" s="368"/>
      <c r="J488" s="368"/>
      <c r="K488" s="368"/>
      <c r="L488" s="368"/>
      <c r="M488" s="368"/>
      <c r="N488" s="368"/>
      <c r="O488" s="368"/>
      <c r="P488" s="368"/>
      <c r="Q488" s="368"/>
      <c r="R488" s="368"/>
      <c r="S488" s="368"/>
      <c r="T488" s="368"/>
      <c r="U488" s="368"/>
      <c r="V488" s="368"/>
      <c r="W488" s="26"/>
      <c r="X488" s="26"/>
      <c r="Y488" s="26"/>
      <c r="Z488" s="26"/>
    </row>
    <row r="489">
      <c r="A489" s="368"/>
      <c r="B489" s="368"/>
      <c r="C489" s="368"/>
      <c r="D489" s="368"/>
      <c r="E489" s="368"/>
      <c r="F489" s="368"/>
      <c r="G489" s="368"/>
      <c r="H489" s="368"/>
      <c r="I489" s="368"/>
      <c r="J489" s="368"/>
      <c r="K489" s="368"/>
      <c r="L489" s="368"/>
      <c r="M489" s="368"/>
      <c r="N489" s="368"/>
      <c r="O489" s="368"/>
      <c r="P489" s="368"/>
      <c r="Q489" s="368"/>
      <c r="R489" s="368"/>
      <c r="S489" s="368"/>
      <c r="T489" s="368"/>
      <c r="U489" s="368"/>
      <c r="V489" s="368"/>
      <c r="W489" s="26"/>
      <c r="X489" s="26"/>
      <c r="Y489" s="26"/>
      <c r="Z489" s="26"/>
    </row>
    <row r="490">
      <c r="A490" s="368"/>
      <c r="B490" s="368"/>
      <c r="C490" s="368"/>
      <c r="D490" s="368"/>
      <c r="E490" s="368"/>
      <c r="F490" s="368"/>
      <c r="G490" s="368"/>
      <c r="H490" s="368"/>
      <c r="I490" s="368"/>
      <c r="J490" s="368"/>
      <c r="K490" s="368"/>
      <c r="L490" s="368"/>
      <c r="M490" s="368"/>
      <c r="N490" s="368"/>
      <c r="O490" s="368"/>
      <c r="P490" s="368"/>
      <c r="Q490" s="368"/>
      <c r="R490" s="368"/>
      <c r="S490" s="368"/>
      <c r="T490" s="368"/>
      <c r="U490" s="368"/>
      <c r="V490" s="368"/>
      <c r="W490" s="26"/>
      <c r="X490" s="26"/>
      <c r="Y490" s="26"/>
      <c r="Z490" s="26"/>
    </row>
    <row r="491">
      <c r="A491" s="368"/>
      <c r="B491" s="368"/>
      <c r="C491" s="368"/>
      <c r="D491" s="368"/>
      <c r="E491" s="368"/>
      <c r="F491" s="368"/>
      <c r="G491" s="368"/>
      <c r="H491" s="368"/>
      <c r="I491" s="368"/>
      <c r="J491" s="368"/>
      <c r="K491" s="368"/>
      <c r="L491" s="368"/>
      <c r="M491" s="368"/>
      <c r="N491" s="368"/>
      <c r="O491" s="368"/>
      <c r="P491" s="368"/>
      <c r="Q491" s="368"/>
      <c r="R491" s="368"/>
      <c r="S491" s="368"/>
      <c r="T491" s="368"/>
      <c r="U491" s="368"/>
      <c r="V491" s="368"/>
      <c r="W491" s="26"/>
      <c r="X491" s="26"/>
      <c r="Y491" s="26"/>
      <c r="Z491" s="26"/>
    </row>
    <row r="492">
      <c r="A492" s="368"/>
      <c r="B492" s="368"/>
      <c r="C492" s="368"/>
      <c r="D492" s="368"/>
      <c r="E492" s="368"/>
      <c r="F492" s="368"/>
      <c r="G492" s="368"/>
      <c r="H492" s="368"/>
      <c r="I492" s="368"/>
      <c r="J492" s="368"/>
      <c r="K492" s="368"/>
      <c r="L492" s="368"/>
      <c r="M492" s="368"/>
      <c r="N492" s="368"/>
      <c r="O492" s="368"/>
      <c r="P492" s="368"/>
      <c r="Q492" s="368"/>
      <c r="R492" s="368"/>
      <c r="S492" s="368"/>
      <c r="T492" s="368"/>
      <c r="U492" s="368"/>
      <c r="V492" s="368"/>
      <c r="W492" s="26"/>
      <c r="X492" s="26"/>
      <c r="Y492" s="26"/>
      <c r="Z492" s="26"/>
    </row>
    <row r="493">
      <c r="A493" s="368"/>
      <c r="B493" s="368"/>
      <c r="C493" s="368"/>
      <c r="D493" s="368"/>
      <c r="E493" s="368"/>
      <c r="F493" s="368"/>
      <c r="G493" s="368"/>
      <c r="H493" s="368"/>
      <c r="I493" s="368"/>
      <c r="J493" s="368"/>
      <c r="K493" s="368"/>
      <c r="L493" s="368"/>
      <c r="M493" s="368"/>
      <c r="N493" s="368"/>
      <c r="O493" s="368"/>
      <c r="P493" s="368"/>
      <c r="Q493" s="368"/>
      <c r="R493" s="368"/>
      <c r="S493" s="368"/>
      <c r="T493" s="368"/>
      <c r="U493" s="368"/>
      <c r="V493" s="368"/>
      <c r="W493" s="26"/>
      <c r="X493" s="26"/>
      <c r="Y493" s="26"/>
      <c r="Z493" s="26"/>
    </row>
    <row r="494">
      <c r="A494" s="368"/>
      <c r="B494" s="368"/>
      <c r="C494" s="368"/>
      <c r="D494" s="368"/>
      <c r="E494" s="368"/>
      <c r="F494" s="368"/>
      <c r="G494" s="368"/>
      <c r="H494" s="368"/>
      <c r="I494" s="368"/>
      <c r="J494" s="368"/>
      <c r="K494" s="368"/>
      <c r="L494" s="368"/>
      <c r="M494" s="368"/>
      <c r="N494" s="368"/>
      <c r="O494" s="368"/>
      <c r="P494" s="368"/>
      <c r="Q494" s="368"/>
      <c r="R494" s="368"/>
      <c r="S494" s="368"/>
      <c r="T494" s="368"/>
      <c r="U494" s="368"/>
      <c r="V494" s="368"/>
      <c r="W494" s="26"/>
      <c r="X494" s="26"/>
      <c r="Y494" s="26"/>
      <c r="Z494" s="26"/>
    </row>
    <row r="495">
      <c r="A495" s="368"/>
      <c r="B495" s="368"/>
      <c r="C495" s="368"/>
      <c r="D495" s="368"/>
      <c r="E495" s="368"/>
      <c r="F495" s="368"/>
      <c r="G495" s="368"/>
      <c r="H495" s="368"/>
      <c r="I495" s="368"/>
      <c r="J495" s="368"/>
      <c r="K495" s="368"/>
      <c r="L495" s="368"/>
      <c r="M495" s="368"/>
      <c r="N495" s="368"/>
      <c r="O495" s="368"/>
      <c r="P495" s="368"/>
      <c r="Q495" s="368"/>
      <c r="R495" s="368"/>
      <c r="S495" s="368"/>
      <c r="T495" s="368"/>
      <c r="U495" s="368"/>
      <c r="V495" s="368"/>
      <c r="W495" s="26"/>
      <c r="X495" s="26"/>
      <c r="Y495" s="26"/>
      <c r="Z495" s="26"/>
    </row>
    <row r="496">
      <c r="A496" s="368"/>
      <c r="B496" s="368"/>
      <c r="C496" s="368"/>
      <c r="D496" s="368"/>
      <c r="E496" s="368"/>
      <c r="F496" s="368"/>
      <c r="G496" s="368"/>
      <c r="H496" s="368"/>
      <c r="I496" s="368"/>
      <c r="J496" s="368"/>
      <c r="K496" s="368"/>
      <c r="L496" s="368"/>
      <c r="M496" s="368"/>
      <c r="N496" s="368"/>
      <c r="O496" s="368"/>
      <c r="P496" s="368"/>
      <c r="Q496" s="368"/>
      <c r="R496" s="368"/>
      <c r="S496" s="368"/>
      <c r="T496" s="368"/>
      <c r="U496" s="368"/>
      <c r="V496" s="368"/>
      <c r="W496" s="26"/>
      <c r="X496" s="26"/>
      <c r="Y496" s="26"/>
      <c r="Z496" s="26"/>
    </row>
    <row r="497">
      <c r="A497" s="368"/>
      <c r="B497" s="368"/>
      <c r="C497" s="368"/>
      <c r="D497" s="368"/>
      <c r="E497" s="368"/>
      <c r="F497" s="368"/>
      <c r="G497" s="368"/>
      <c r="H497" s="368"/>
      <c r="I497" s="368"/>
      <c r="J497" s="368"/>
      <c r="K497" s="368"/>
      <c r="L497" s="368"/>
      <c r="M497" s="368"/>
      <c r="N497" s="368"/>
      <c r="O497" s="368"/>
      <c r="P497" s="368"/>
      <c r="Q497" s="368"/>
      <c r="R497" s="368"/>
      <c r="S497" s="368"/>
      <c r="T497" s="368"/>
      <c r="U497" s="368"/>
      <c r="V497" s="368"/>
      <c r="W497" s="26"/>
      <c r="X497" s="26"/>
      <c r="Y497" s="26"/>
      <c r="Z497" s="26"/>
    </row>
    <row r="498">
      <c r="A498" s="368"/>
      <c r="B498" s="368"/>
      <c r="C498" s="368"/>
      <c r="D498" s="368"/>
      <c r="E498" s="368"/>
      <c r="F498" s="368"/>
      <c r="G498" s="368"/>
      <c r="H498" s="368"/>
      <c r="I498" s="368"/>
      <c r="J498" s="368"/>
      <c r="K498" s="368"/>
      <c r="L498" s="368"/>
      <c r="M498" s="368"/>
      <c r="N498" s="368"/>
      <c r="O498" s="368"/>
      <c r="P498" s="368"/>
      <c r="Q498" s="368"/>
      <c r="R498" s="368"/>
      <c r="S498" s="368"/>
      <c r="T498" s="368"/>
      <c r="U498" s="368"/>
      <c r="V498" s="368"/>
      <c r="W498" s="26"/>
      <c r="X498" s="26"/>
      <c r="Y498" s="26"/>
      <c r="Z498" s="26"/>
    </row>
    <row r="499">
      <c r="A499" s="368"/>
      <c r="B499" s="368"/>
      <c r="C499" s="368"/>
      <c r="D499" s="368"/>
      <c r="E499" s="368"/>
      <c r="F499" s="368"/>
      <c r="G499" s="368"/>
      <c r="H499" s="368"/>
      <c r="I499" s="368"/>
      <c r="J499" s="368"/>
      <c r="K499" s="368"/>
      <c r="L499" s="368"/>
      <c r="M499" s="368"/>
      <c r="N499" s="368"/>
      <c r="O499" s="368"/>
      <c r="P499" s="368"/>
      <c r="Q499" s="368"/>
      <c r="R499" s="368"/>
      <c r="S499" s="368"/>
      <c r="T499" s="368"/>
      <c r="U499" s="368"/>
      <c r="V499" s="368"/>
      <c r="W499" s="26"/>
      <c r="X499" s="26"/>
      <c r="Y499" s="26"/>
      <c r="Z499" s="26"/>
    </row>
    <row r="500">
      <c r="A500" s="368"/>
      <c r="B500" s="368"/>
      <c r="C500" s="368"/>
      <c r="D500" s="368"/>
      <c r="E500" s="368"/>
      <c r="F500" s="368"/>
      <c r="G500" s="368"/>
      <c r="H500" s="368"/>
      <c r="I500" s="368"/>
      <c r="J500" s="368"/>
      <c r="K500" s="368"/>
      <c r="L500" s="368"/>
      <c r="M500" s="368"/>
      <c r="N500" s="368"/>
      <c r="O500" s="368"/>
      <c r="P500" s="368"/>
      <c r="Q500" s="368"/>
      <c r="R500" s="368"/>
      <c r="S500" s="368"/>
      <c r="T500" s="368"/>
      <c r="U500" s="368"/>
      <c r="V500" s="368"/>
      <c r="W500" s="26"/>
      <c r="X500" s="26"/>
      <c r="Y500" s="26"/>
      <c r="Z500" s="26"/>
    </row>
    <row r="501">
      <c r="A501" s="368"/>
      <c r="B501" s="368"/>
      <c r="C501" s="368"/>
      <c r="D501" s="368"/>
      <c r="E501" s="368"/>
      <c r="F501" s="368"/>
      <c r="G501" s="368"/>
      <c r="H501" s="368"/>
      <c r="I501" s="368"/>
      <c r="J501" s="368"/>
      <c r="K501" s="368"/>
      <c r="L501" s="368"/>
      <c r="M501" s="368"/>
      <c r="N501" s="368"/>
      <c r="O501" s="368"/>
      <c r="P501" s="368"/>
      <c r="Q501" s="368"/>
      <c r="R501" s="368"/>
      <c r="S501" s="368"/>
      <c r="T501" s="368"/>
      <c r="U501" s="368"/>
      <c r="V501" s="368"/>
      <c r="W501" s="26"/>
      <c r="X501" s="26"/>
      <c r="Y501" s="26"/>
      <c r="Z501" s="26"/>
    </row>
    <row r="502">
      <c r="A502" s="368"/>
      <c r="B502" s="368"/>
      <c r="C502" s="368"/>
      <c r="D502" s="368"/>
      <c r="E502" s="368"/>
      <c r="F502" s="368"/>
      <c r="G502" s="368"/>
      <c r="H502" s="368"/>
      <c r="I502" s="368"/>
      <c r="J502" s="368"/>
      <c r="K502" s="368"/>
      <c r="L502" s="368"/>
      <c r="M502" s="368"/>
      <c r="N502" s="368"/>
      <c r="O502" s="368"/>
      <c r="P502" s="368"/>
      <c r="Q502" s="368"/>
      <c r="R502" s="368"/>
      <c r="S502" s="368"/>
      <c r="T502" s="368"/>
      <c r="U502" s="368"/>
      <c r="V502" s="368"/>
      <c r="W502" s="26"/>
      <c r="X502" s="26"/>
      <c r="Y502" s="26"/>
      <c r="Z502" s="26"/>
    </row>
    <row r="503">
      <c r="A503" s="368"/>
      <c r="B503" s="368"/>
      <c r="C503" s="368"/>
      <c r="D503" s="368"/>
      <c r="E503" s="368"/>
      <c r="F503" s="368"/>
      <c r="G503" s="368"/>
      <c r="H503" s="368"/>
      <c r="I503" s="368"/>
      <c r="J503" s="368"/>
      <c r="K503" s="368"/>
      <c r="L503" s="368"/>
      <c r="M503" s="368"/>
      <c r="N503" s="368"/>
      <c r="O503" s="368"/>
      <c r="P503" s="368"/>
      <c r="Q503" s="368"/>
      <c r="R503" s="368"/>
      <c r="S503" s="368"/>
      <c r="T503" s="368"/>
      <c r="U503" s="368"/>
      <c r="V503" s="368"/>
      <c r="W503" s="26"/>
      <c r="X503" s="26"/>
      <c r="Y503" s="26"/>
      <c r="Z503" s="26"/>
    </row>
    <row r="504">
      <c r="A504" s="368"/>
      <c r="B504" s="368"/>
      <c r="C504" s="368"/>
      <c r="D504" s="368"/>
      <c r="E504" s="368"/>
      <c r="F504" s="368"/>
      <c r="G504" s="368"/>
      <c r="H504" s="368"/>
      <c r="I504" s="368"/>
      <c r="J504" s="368"/>
      <c r="K504" s="368"/>
      <c r="L504" s="368"/>
      <c r="M504" s="368"/>
      <c r="N504" s="368"/>
      <c r="O504" s="368"/>
      <c r="P504" s="368"/>
      <c r="Q504" s="368"/>
      <c r="R504" s="368"/>
      <c r="S504" s="368"/>
      <c r="T504" s="368"/>
      <c r="U504" s="368"/>
      <c r="V504" s="368"/>
      <c r="W504" s="26"/>
      <c r="X504" s="26"/>
      <c r="Y504" s="26"/>
      <c r="Z504" s="26"/>
    </row>
    <row r="505">
      <c r="A505" s="368"/>
      <c r="B505" s="368"/>
      <c r="C505" s="368"/>
      <c r="D505" s="368"/>
      <c r="E505" s="368"/>
      <c r="F505" s="368"/>
      <c r="G505" s="368"/>
      <c r="H505" s="368"/>
      <c r="I505" s="368"/>
      <c r="J505" s="368"/>
      <c r="K505" s="368"/>
      <c r="L505" s="368"/>
      <c r="M505" s="368"/>
      <c r="N505" s="368"/>
      <c r="O505" s="368"/>
      <c r="P505" s="368"/>
      <c r="Q505" s="368"/>
      <c r="R505" s="368"/>
      <c r="S505" s="368"/>
      <c r="T505" s="368"/>
      <c r="U505" s="368"/>
      <c r="V505" s="368"/>
      <c r="W505" s="26"/>
      <c r="X505" s="26"/>
      <c r="Y505" s="26"/>
      <c r="Z505" s="26"/>
    </row>
    <row r="506">
      <c r="A506" s="368"/>
      <c r="B506" s="368"/>
      <c r="C506" s="368"/>
      <c r="D506" s="368"/>
      <c r="E506" s="368"/>
      <c r="F506" s="368"/>
      <c r="G506" s="368"/>
      <c r="H506" s="368"/>
      <c r="I506" s="368"/>
      <c r="J506" s="368"/>
      <c r="K506" s="368"/>
      <c r="L506" s="368"/>
      <c r="M506" s="368"/>
      <c r="N506" s="368"/>
      <c r="O506" s="368"/>
      <c r="P506" s="368"/>
      <c r="Q506" s="368"/>
      <c r="R506" s="368"/>
      <c r="S506" s="368"/>
      <c r="T506" s="368"/>
      <c r="U506" s="368"/>
      <c r="V506" s="368"/>
      <c r="W506" s="26"/>
      <c r="X506" s="26"/>
      <c r="Y506" s="26"/>
      <c r="Z506" s="26"/>
    </row>
    <row r="507">
      <c r="A507" s="368"/>
      <c r="B507" s="368"/>
      <c r="C507" s="368"/>
      <c r="D507" s="368"/>
      <c r="E507" s="368"/>
      <c r="F507" s="368"/>
      <c r="G507" s="368"/>
      <c r="H507" s="368"/>
      <c r="I507" s="368"/>
      <c r="J507" s="368"/>
      <c r="K507" s="368"/>
      <c r="L507" s="368"/>
      <c r="M507" s="368"/>
      <c r="N507" s="368"/>
      <c r="O507" s="368"/>
      <c r="P507" s="368"/>
      <c r="Q507" s="368"/>
      <c r="R507" s="368"/>
      <c r="S507" s="368"/>
      <c r="T507" s="368"/>
      <c r="U507" s="368"/>
      <c r="V507" s="368"/>
      <c r="W507" s="26"/>
      <c r="X507" s="26"/>
      <c r="Y507" s="26"/>
      <c r="Z507" s="26"/>
    </row>
    <row r="508">
      <c r="A508" s="368"/>
      <c r="B508" s="368"/>
      <c r="C508" s="368"/>
      <c r="D508" s="368"/>
      <c r="E508" s="368"/>
      <c r="F508" s="368"/>
      <c r="G508" s="368"/>
      <c r="H508" s="368"/>
      <c r="I508" s="368"/>
      <c r="J508" s="368"/>
      <c r="K508" s="368"/>
      <c r="L508" s="368"/>
      <c r="M508" s="368"/>
      <c r="N508" s="368"/>
      <c r="O508" s="368"/>
      <c r="P508" s="368"/>
      <c r="Q508" s="368"/>
      <c r="R508" s="368"/>
      <c r="S508" s="368"/>
      <c r="T508" s="368"/>
      <c r="U508" s="368"/>
      <c r="V508" s="368"/>
      <c r="W508" s="26"/>
      <c r="X508" s="26"/>
      <c r="Y508" s="26"/>
      <c r="Z508" s="26"/>
    </row>
    <row r="509">
      <c r="A509" s="368"/>
      <c r="B509" s="368"/>
      <c r="C509" s="368"/>
      <c r="D509" s="368"/>
      <c r="E509" s="368"/>
      <c r="F509" s="368"/>
      <c r="G509" s="368"/>
      <c r="H509" s="368"/>
      <c r="I509" s="368"/>
      <c r="J509" s="368"/>
      <c r="K509" s="368"/>
      <c r="L509" s="368"/>
      <c r="M509" s="368"/>
      <c r="N509" s="368"/>
      <c r="O509" s="368"/>
      <c r="P509" s="368"/>
      <c r="Q509" s="368"/>
      <c r="R509" s="368"/>
      <c r="S509" s="368"/>
      <c r="T509" s="368"/>
      <c r="U509" s="368"/>
      <c r="V509" s="368"/>
      <c r="W509" s="26"/>
      <c r="X509" s="26"/>
      <c r="Y509" s="26"/>
      <c r="Z509" s="26"/>
    </row>
    <row r="510">
      <c r="A510" s="368"/>
      <c r="B510" s="368"/>
      <c r="C510" s="368"/>
      <c r="D510" s="368"/>
      <c r="E510" s="368"/>
      <c r="F510" s="368"/>
      <c r="G510" s="368"/>
      <c r="H510" s="368"/>
      <c r="I510" s="368"/>
      <c r="J510" s="368"/>
      <c r="K510" s="368"/>
      <c r="L510" s="368"/>
      <c r="M510" s="368"/>
      <c r="N510" s="368"/>
      <c r="O510" s="368"/>
      <c r="P510" s="368"/>
      <c r="Q510" s="368"/>
      <c r="R510" s="368"/>
      <c r="S510" s="368"/>
      <c r="T510" s="368"/>
      <c r="U510" s="368"/>
      <c r="V510" s="368"/>
      <c r="W510" s="26"/>
      <c r="X510" s="26"/>
      <c r="Y510" s="26"/>
      <c r="Z510" s="26"/>
    </row>
    <row r="511">
      <c r="A511" s="368"/>
      <c r="B511" s="368"/>
      <c r="C511" s="368"/>
      <c r="D511" s="368"/>
      <c r="E511" s="368"/>
      <c r="F511" s="368"/>
      <c r="G511" s="368"/>
      <c r="H511" s="368"/>
      <c r="I511" s="368"/>
      <c r="J511" s="368"/>
      <c r="K511" s="368"/>
      <c r="L511" s="368"/>
      <c r="M511" s="368"/>
      <c r="N511" s="368"/>
      <c r="O511" s="368"/>
      <c r="P511" s="368"/>
      <c r="Q511" s="368"/>
      <c r="R511" s="368"/>
      <c r="S511" s="368"/>
      <c r="T511" s="368"/>
      <c r="U511" s="368"/>
      <c r="V511" s="368"/>
      <c r="W511" s="26"/>
      <c r="X511" s="26"/>
      <c r="Y511" s="26"/>
      <c r="Z511" s="26"/>
    </row>
    <row r="512">
      <c r="A512" s="368"/>
      <c r="B512" s="368"/>
      <c r="C512" s="368"/>
      <c r="D512" s="368"/>
      <c r="E512" s="368"/>
      <c r="F512" s="368"/>
      <c r="G512" s="368"/>
      <c r="H512" s="368"/>
      <c r="I512" s="368"/>
      <c r="J512" s="368"/>
      <c r="K512" s="368"/>
      <c r="L512" s="368"/>
      <c r="M512" s="368"/>
      <c r="N512" s="368"/>
      <c r="O512" s="368"/>
      <c r="P512" s="368"/>
      <c r="Q512" s="368"/>
      <c r="R512" s="368"/>
      <c r="S512" s="368"/>
      <c r="T512" s="368"/>
      <c r="U512" s="368"/>
      <c r="V512" s="368"/>
      <c r="W512" s="26"/>
      <c r="X512" s="26"/>
      <c r="Y512" s="26"/>
      <c r="Z512" s="26"/>
    </row>
    <row r="513">
      <c r="A513" s="368"/>
      <c r="B513" s="368"/>
      <c r="C513" s="368"/>
      <c r="D513" s="368"/>
      <c r="E513" s="368"/>
      <c r="F513" s="368"/>
      <c r="G513" s="368"/>
      <c r="H513" s="368"/>
      <c r="I513" s="368"/>
      <c r="J513" s="368"/>
      <c r="K513" s="368"/>
      <c r="L513" s="368"/>
      <c r="M513" s="368"/>
      <c r="N513" s="368"/>
      <c r="O513" s="368"/>
      <c r="P513" s="368"/>
      <c r="Q513" s="368"/>
      <c r="R513" s="368"/>
      <c r="S513" s="368"/>
      <c r="T513" s="368"/>
      <c r="U513" s="368"/>
      <c r="V513" s="368"/>
      <c r="W513" s="26"/>
      <c r="X513" s="26"/>
      <c r="Y513" s="26"/>
      <c r="Z513" s="26"/>
    </row>
    <row r="514">
      <c r="A514" s="368"/>
      <c r="B514" s="368"/>
      <c r="C514" s="368"/>
      <c r="D514" s="368"/>
      <c r="E514" s="368"/>
      <c r="F514" s="368"/>
      <c r="G514" s="368"/>
      <c r="H514" s="368"/>
      <c r="I514" s="368"/>
      <c r="J514" s="368"/>
      <c r="K514" s="368"/>
      <c r="L514" s="368"/>
      <c r="M514" s="368"/>
      <c r="N514" s="368"/>
      <c r="O514" s="368"/>
      <c r="P514" s="368"/>
      <c r="Q514" s="368"/>
      <c r="R514" s="368"/>
      <c r="S514" s="368"/>
      <c r="T514" s="368"/>
      <c r="U514" s="368"/>
      <c r="V514" s="368"/>
      <c r="W514" s="26"/>
      <c r="X514" s="26"/>
      <c r="Y514" s="26"/>
      <c r="Z514" s="26"/>
    </row>
    <row r="515">
      <c r="A515" s="368"/>
      <c r="B515" s="368"/>
      <c r="C515" s="368"/>
      <c r="D515" s="368"/>
      <c r="E515" s="368"/>
      <c r="F515" s="368"/>
      <c r="G515" s="368"/>
      <c r="H515" s="368"/>
      <c r="I515" s="368"/>
      <c r="J515" s="368"/>
      <c r="K515" s="368"/>
      <c r="L515" s="368"/>
      <c r="M515" s="368"/>
      <c r="N515" s="368"/>
      <c r="O515" s="368"/>
      <c r="P515" s="368"/>
      <c r="Q515" s="368"/>
      <c r="R515" s="368"/>
      <c r="S515" s="368"/>
      <c r="T515" s="368"/>
      <c r="U515" s="368"/>
      <c r="V515" s="368"/>
      <c r="W515" s="26"/>
      <c r="X515" s="26"/>
      <c r="Y515" s="26"/>
      <c r="Z515" s="26"/>
    </row>
    <row r="516">
      <c r="A516" s="368"/>
      <c r="B516" s="368"/>
      <c r="C516" s="368"/>
      <c r="D516" s="368"/>
      <c r="E516" s="368"/>
      <c r="F516" s="368"/>
      <c r="G516" s="368"/>
      <c r="H516" s="368"/>
      <c r="I516" s="368"/>
      <c r="J516" s="368"/>
      <c r="K516" s="368"/>
      <c r="L516" s="368"/>
      <c r="M516" s="368"/>
      <c r="N516" s="368"/>
      <c r="O516" s="368"/>
      <c r="P516" s="368"/>
      <c r="Q516" s="368"/>
      <c r="R516" s="368"/>
      <c r="S516" s="368"/>
      <c r="T516" s="368"/>
      <c r="U516" s="368"/>
      <c r="V516" s="368"/>
      <c r="W516" s="26"/>
      <c r="X516" s="26"/>
      <c r="Y516" s="26"/>
      <c r="Z516" s="26"/>
    </row>
    <row r="517">
      <c r="A517" s="368"/>
      <c r="B517" s="368"/>
      <c r="C517" s="368"/>
      <c r="D517" s="368"/>
      <c r="E517" s="368"/>
      <c r="F517" s="368"/>
      <c r="G517" s="368"/>
      <c r="H517" s="368"/>
      <c r="I517" s="368"/>
      <c r="J517" s="368"/>
      <c r="K517" s="368"/>
      <c r="L517" s="368"/>
      <c r="M517" s="368"/>
      <c r="N517" s="368"/>
      <c r="O517" s="368"/>
      <c r="P517" s="368"/>
      <c r="Q517" s="368"/>
      <c r="R517" s="368"/>
      <c r="S517" s="368"/>
      <c r="T517" s="368"/>
      <c r="U517" s="368"/>
      <c r="V517" s="368"/>
      <c r="W517" s="26"/>
      <c r="X517" s="26"/>
      <c r="Y517" s="26"/>
      <c r="Z517" s="26"/>
    </row>
    <row r="518">
      <c r="A518" s="368"/>
      <c r="B518" s="368"/>
      <c r="C518" s="368"/>
      <c r="D518" s="368"/>
      <c r="E518" s="368"/>
      <c r="F518" s="368"/>
      <c r="G518" s="368"/>
      <c r="H518" s="368"/>
      <c r="I518" s="368"/>
      <c r="J518" s="368"/>
      <c r="K518" s="368"/>
      <c r="L518" s="368"/>
      <c r="M518" s="368"/>
      <c r="N518" s="368"/>
      <c r="O518" s="368"/>
      <c r="P518" s="368"/>
      <c r="Q518" s="368"/>
      <c r="R518" s="368"/>
      <c r="S518" s="368"/>
      <c r="T518" s="368"/>
      <c r="U518" s="368"/>
      <c r="V518" s="368"/>
      <c r="W518" s="26"/>
      <c r="X518" s="26"/>
      <c r="Y518" s="26"/>
      <c r="Z518" s="26"/>
    </row>
    <row r="519">
      <c r="A519" s="368"/>
      <c r="B519" s="368"/>
      <c r="C519" s="368"/>
      <c r="D519" s="368"/>
      <c r="E519" s="368"/>
      <c r="F519" s="368"/>
      <c r="G519" s="368"/>
      <c r="H519" s="368"/>
      <c r="I519" s="368"/>
      <c r="J519" s="368"/>
      <c r="K519" s="368"/>
      <c r="L519" s="368"/>
      <c r="M519" s="368"/>
      <c r="N519" s="368"/>
      <c r="O519" s="368"/>
      <c r="P519" s="368"/>
      <c r="Q519" s="368"/>
      <c r="R519" s="368"/>
      <c r="S519" s="368"/>
      <c r="T519" s="368"/>
      <c r="U519" s="368"/>
      <c r="V519" s="368"/>
      <c r="W519" s="26"/>
      <c r="X519" s="26"/>
      <c r="Y519" s="26"/>
      <c r="Z519" s="26"/>
    </row>
    <row r="520">
      <c r="A520" s="368"/>
      <c r="B520" s="368"/>
      <c r="C520" s="368"/>
      <c r="D520" s="368"/>
      <c r="E520" s="368"/>
      <c r="F520" s="368"/>
      <c r="G520" s="368"/>
      <c r="H520" s="368"/>
      <c r="I520" s="368"/>
      <c r="J520" s="368"/>
      <c r="K520" s="368"/>
      <c r="L520" s="368"/>
      <c r="M520" s="368"/>
      <c r="N520" s="368"/>
      <c r="O520" s="368"/>
      <c r="P520" s="368"/>
      <c r="Q520" s="368"/>
      <c r="R520" s="368"/>
      <c r="S520" s="368"/>
      <c r="T520" s="368"/>
      <c r="U520" s="368"/>
      <c r="V520" s="368"/>
      <c r="W520" s="26"/>
      <c r="X520" s="26"/>
      <c r="Y520" s="26"/>
      <c r="Z520" s="26"/>
    </row>
    <row r="521">
      <c r="A521" s="368"/>
      <c r="B521" s="368"/>
      <c r="C521" s="368"/>
      <c r="D521" s="368"/>
      <c r="E521" s="368"/>
      <c r="F521" s="368"/>
      <c r="G521" s="368"/>
      <c r="H521" s="368"/>
      <c r="I521" s="368"/>
      <c r="J521" s="368"/>
      <c r="K521" s="368"/>
      <c r="L521" s="368"/>
      <c r="M521" s="368"/>
      <c r="N521" s="368"/>
      <c r="O521" s="368"/>
      <c r="P521" s="368"/>
      <c r="Q521" s="368"/>
      <c r="R521" s="368"/>
      <c r="S521" s="368"/>
      <c r="T521" s="368"/>
      <c r="U521" s="368"/>
      <c r="V521" s="368"/>
      <c r="W521" s="26"/>
      <c r="X521" s="26"/>
      <c r="Y521" s="26"/>
      <c r="Z521" s="26"/>
    </row>
    <row r="522">
      <c r="A522" s="368"/>
      <c r="B522" s="368"/>
      <c r="C522" s="368"/>
      <c r="D522" s="368"/>
      <c r="E522" s="368"/>
      <c r="F522" s="368"/>
      <c r="G522" s="368"/>
      <c r="H522" s="368"/>
      <c r="I522" s="368"/>
      <c r="J522" s="368"/>
      <c r="K522" s="368"/>
      <c r="L522" s="368"/>
      <c r="M522" s="368"/>
      <c r="N522" s="368"/>
      <c r="O522" s="368"/>
      <c r="P522" s="368"/>
      <c r="Q522" s="368"/>
      <c r="R522" s="368"/>
      <c r="S522" s="368"/>
      <c r="T522" s="368"/>
      <c r="U522" s="368"/>
      <c r="V522" s="368"/>
      <c r="W522" s="26"/>
      <c r="X522" s="26"/>
      <c r="Y522" s="26"/>
      <c r="Z522" s="26"/>
    </row>
    <row r="523">
      <c r="A523" s="368"/>
      <c r="B523" s="368"/>
      <c r="C523" s="368"/>
      <c r="D523" s="368"/>
      <c r="E523" s="368"/>
      <c r="F523" s="368"/>
      <c r="G523" s="368"/>
      <c r="H523" s="368"/>
      <c r="I523" s="368"/>
      <c r="J523" s="368"/>
      <c r="K523" s="368"/>
      <c r="L523" s="368"/>
      <c r="M523" s="368"/>
      <c r="N523" s="368"/>
      <c r="O523" s="368"/>
      <c r="P523" s="368"/>
      <c r="Q523" s="368"/>
      <c r="R523" s="368"/>
      <c r="S523" s="368"/>
      <c r="T523" s="368"/>
      <c r="U523" s="368"/>
      <c r="V523" s="368"/>
      <c r="W523" s="26"/>
      <c r="X523" s="26"/>
      <c r="Y523" s="26"/>
      <c r="Z523" s="26"/>
    </row>
    <row r="524">
      <c r="A524" s="368"/>
      <c r="B524" s="368"/>
      <c r="C524" s="368"/>
      <c r="D524" s="368"/>
      <c r="E524" s="368"/>
      <c r="F524" s="368"/>
      <c r="G524" s="368"/>
      <c r="H524" s="368"/>
      <c r="I524" s="368"/>
      <c r="J524" s="368"/>
      <c r="K524" s="368"/>
      <c r="L524" s="368"/>
      <c r="M524" s="368"/>
      <c r="N524" s="368"/>
      <c r="O524" s="368"/>
      <c r="P524" s="368"/>
      <c r="Q524" s="368"/>
      <c r="R524" s="368"/>
      <c r="S524" s="368"/>
      <c r="T524" s="368"/>
      <c r="U524" s="368"/>
      <c r="V524" s="368"/>
      <c r="W524" s="26"/>
      <c r="X524" s="26"/>
      <c r="Y524" s="26"/>
      <c r="Z524" s="26"/>
    </row>
    <row r="525">
      <c r="A525" s="368"/>
      <c r="B525" s="368"/>
      <c r="C525" s="368"/>
      <c r="D525" s="368"/>
      <c r="E525" s="368"/>
      <c r="F525" s="368"/>
      <c r="G525" s="368"/>
      <c r="H525" s="368"/>
      <c r="I525" s="368"/>
      <c r="J525" s="368"/>
      <c r="K525" s="368"/>
      <c r="L525" s="368"/>
      <c r="M525" s="368"/>
      <c r="N525" s="368"/>
      <c r="O525" s="368"/>
      <c r="P525" s="368"/>
      <c r="Q525" s="368"/>
      <c r="R525" s="368"/>
      <c r="S525" s="368"/>
      <c r="T525" s="368"/>
      <c r="U525" s="368"/>
      <c r="V525" s="368"/>
      <c r="W525" s="26"/>
      <c r="X525" s="26"/>
      <c r="Y525" s="26"/>
      <c r="Z525" s="26"/>
    </row>
    <row r="526">
      <c r="A526" s="368"/>
      <c r="B526" s="368"/>
      <c r="C526" s="368"/>
      <c r="D526" s="368"/>
      <c r="E526" s="368"/>
      <c r="F526" s="368"/>
      <c r="G526" s="368"/>
      <c r="H526" s="368"/>
      <c r="I526" s="368"/>
      <c r="J526" s="368"/>
      <c r="K526" s="368"/>
      <c r="L526" s="368"/>
      <c r="M526" s="368"/>
      <c r="N526" s="368"/>
      <c r="O526" s="368"/>
      <c r="P526" s="368"/>
      <c r="Q526" s="368"/>
      <c r="R526" s="368"/>
      <c r="S526" s="368"/>
      <c r="T526" s="368"/>
      <c r="U526" s="368"/>
      <c r="V526" s="368"/>
      <c r="W526" s="26"/>
      <c r="X526" s="26"/>
      <c r="Y526" s="26"/>
      <c r="Z526" s="26"/>
    </row>
    <row r="527">
      <c r="A527" s="368"/>
      <c r="B527" s="368"/>
      <c r="C527" s="368"/>
      <c r="D527" s="368"/>
      <c r="E527" s="368"/>
      <c r="F527" s="368"/>
      <c r="G527" s="368"/>
      <c r="H527" s="368"/>
      <c r="I527" s="368"/>
      <c r="J527" s="368"/>
      <c r="K527" s="368"/>
      <c r="L527" s="368"/>
      <c r="M527" s="368"/>
      <c r="N527" s="368"/>
      <c r="O527" s="368"/>
      <c r="P527" s="368"/>
      <c r="Q527" s="368"/>
      <c r="R527" s="368"/>
      <c r="S527" s="368"/>
      <c r="T527" s="368"/>
      <c r="U527" s="368"/>
      <c r="V527" s="368"/>
      <c r="W527" s="26"/>
      <c r="X527" s="26"/>
      <c r="Y527" s="26"/>
      <c r="Z527" s="26"/>
    </row>
    <row r="528">
      <c r="A528" s="368"/>
      <c r="B528" s="368"/>
      <c r="C528" s="368"/>
      <c r="D528" s="368"/>
      <c r="E528" s="368"/>
      <c r="F528" s="368"/>
      <c r="G528" s="368"/>
      <c r="H528" s="368"/>
      <c r="I528" s="368"/>
      <c r="J528" s="368"/>
      <c r="K528" s="368"/>
      <c r="L528" s="368"/>
      <c r="M528" s="368"/>
      <c r="N528" s="368"/>
      <c r="O528" s="368"/>
      <c r="P528" s="368"/>
      <c r="Q528" s="368"/>
      <c r="R528" s="368"/>
      <c r="S528" s="368"/>
      <c r="T528" s="368"/>
      <c r="U528" s="368"/>
      <c r="V528" s="368"/>
      <c r="W528" s="26"/>
      <c r="X528" s="26"/>
      <c r="Y528" s="26"/>
      <c r="Z528" s="26"/>
    </row>
    <row r="529">
      <c r="A529" s="368"/>
      <c r="B529" s="368"/>
      <c r="C529" s="368"/>
      <c r="D529" s="368"/>
      <c r="E529" s="368"/>
      <c r="F529" s="368"/>
      <c r="G529" s="368"/>
      <c r="H529" s="368"/>
      <c r="I529" s="368"/>
      <c r="J529" s="368"/>
      <c r="K529" s="368"/>
      <c r="L529" s="368"/>
      <c r="M529" s="368"/>
      <c r="N529" s="368"/>
      <c r="O529" s="368"/>
      <c r="P529" s="368"/>
      <c r="Q529" s="368"/>
      <c r="R529" s="368"/>
      <c r="S529" s="368"/>
      <c r="T529" s="368"/>
      <c r="U529" s="368"/>
      <c r="V529" s="368"/>
      <c r="W529" s="26"/>
      <c r="X529" s="26"/>
      <c r="Y529" s="26"/>
      <c r="Z529" s="26"/>
    </row>
    <row r="530">
      <c r="A530" s="368"/>
      <c r="B530" s="368"/>
      <c r="C530" s="368"/>
      <c r="D530" s="368"/>
      <c r="E530" s="368"/>
      <c r="F530" s="368"/>
      <c r="G530" s="368"/>
      <c r="H530" s="368"/>
      <c r="I530" s="368"/>
      <c r="J530" s="368"/>
      <c r="K530" s="368"/>
      <c r="L530" s="368"/>
      <c r="M530" s="368"/>
      <c r="N530" s="368"/>
      <c r="O530" s="368"/>
      <c r="P530" s="368"/>
      <c r="Q530" s="368"/>
      <c r="R530" s="368"/>
      <c r="S530" s="368"/>
      <c r="T530" s="368"/>
      <c r="U530" s="368"/>
      <c r="V530" s="368"/>
      <c r="W530" s="26"/>
      <c r="X530" s="26"/>
      <c r="Y530" s="26"/>
      <c r="Z530" s="26"/>
    </row>
    <row r="531">
      <c r="A531" s="368"/>
      <c r="B531" s="368"/>
      <c r="C531" s="368"/>
      <c r="D531" s="368"/>
      <c r="E531" s="368"/>
      <c r="F531" s="368"/>
      <c r="G531" s="368"/>
      <c r="H531" s="368"/>
      <c r="I531" s="368"/>
      <c r="J531" s="368"/>
      <c r="K531" s="368"/>
      <c r="L531" s="368"/>
      <c r="M531" s="368"/>
      <c r="N531" s="368"/>
      <c r="O531" s="368"/>
      <c r="P531" s="368"/>
      <c r="Q531" s="368"/>
      <c r="R531" s="368"/>
      <c r="S531" s="368"/>
      <c r="T531" s="368"/>
      <c r="U531" s="368"/>
      <c r="V531" s="368"/>
      <c r="W531" s="26"/>
      <c r="X531" s="26"/>
      <c r="Y531" s="26"/>
      <c r="Z531" s="26"/>
    </row>
    <row r="532">
      <c r="A532" s="368"/>
      <c r="B532" s="368"/>
      <c r="C532" s="368"/>
      <c r="D532" s="368"/>
      <c r="E532" s="368"/>
      <c r="F532" s="368"/>
      <c r="G532" s="368"/>
      <c r="H532" s="368"/>
      <c r="I532" s="368"/>
      <c r="J532" s="368"/>
      <c r="K532" s="368"/>
      <c r="L532" s="368"/>
      <c r="M532" s="368"/>
      <c r="N532" s="368"/>
      <c r="O532" s="368"/>
      <c r="P532" s="368"/>
      <c r="Q532" s="368"/>
      <c r="R532" s="368"/>
      <c r="S532" s="368"/>
      <c r="T532" s="368"/>
      <c r="U532" s="368"/>
      <c r="V532" s="368"/>
      <c r="W532" s="26"/>
      <c r="X532" s="26"/>
      <c r="Y532" s="26"/>
      <c r="Z532" s="26"/>
    </row>
    <row r="533">
      <c r="A533" s="368"/>
      <c r="B533" s="368"/>
      <c r="C533" s="368"/>
      <c r="D533" s="368"/>
      <c r="E533" s="368"/>
      <c r="F533" s="368"/>
      <c r="G533" s="368"/>
      <c r="H533" s="368"/>
      <c r="I533" s="368"/>
      <c r="J533" s="368"/>
      <c r="K533" s="368"/>
      <c r="L533" s="368"/>
      <c r="M533" s="368"/>
      <c r="N533" s="368"/>
      <c r="O533" s="368"/>
      <c r="P533" s="368"/>
      <c r="Q533" s="368"/>
      <c r="R533" s="368"/>
      <c r="S533" s="368"/>
      <c r="T533" s="368"/>
      <c r="U533" s="368"/>
      <c r="V533" s="368"/>
      <c r="W533" s="26"/>
      <c r="X533" s="26"/>
      <c r="Y533" s="26"/>
      <c r="Z533" s="26"/>
    </row>
    <row r="534">
      <c r="A534" s="368"/>
      <c r="B534" s="368"/>
      <c r="C534" s="368"/>
      <c r="D534" s="368"/>
      <c r="E534" s="368"/>
      <c r="F534" s="368"/>
      <c r="G534" s="368"/>
      <c r="H534" s="368"/>
      <c r="I534" s="368"/>
      <c r="J534" s="368"/>
      <c r="K534" s="368"/>
      <c r="L534" s="368"/>
      <c r="M534" s="368"/>
      <c r="N534" s="368"/>
      <c r="O534" s="368"/>
      <c r="P534" s="368"/>
      <c r="Q534" s="368"/>
      <c r="R534" s="368"/>
      <c r="S534" s="368"/>
      <c r="T534" s="368"/>
      <c r="U534" s="368"/>
      <c r="V534" s="368"/>
      <c r="W534" s="26"/>
      <c r="X534" s="26"/>
      <c r="Y534" s="26"/>
      <c r="Z534" s="26"/>
    </row>
    <row r="535">
      <c r="A535" s="368"/>
      <c r="B535" s="368"/>
      <c r="C535" s="368"/>
      <c r="D535" s="368"/>
      <c r="E535" s="368"/>
      <c r="F535" s="368"/>
      <c r="G535" s="368"/>
      <c r="H535" s="368"/>
      <c r="I535" s="368"/>
      <c r="J535" s="368"/>
      <c r="K535" s="368"/>
      <c r="L535" s="368"/>
      <c r="M535" s="368"/>
      <c r="N535" s="368"/>
      <c r="O535" s="368"/>
      <c r="P535" s="368"/>
      <c r="Q535" s="368"/>
      <c r="R535" s="368"/>
      <c r="S535" s="368"/>
      <c r="T535" s="368"/>
      <c r="U535" s="368"/>
      <c r="V535" s="368"/>
      <c r="W535" s="26"/>
      <c r="X535" s="26"/>
      <c r="Y535" s="26"/>
      <c r="Z535" s="26"/>
    </row>
    <row r="536">
      <c r="A536" s="368"/>
      <c r="B536" s="368"/>
      <c r="C536" s="368"/>
      <c r="D536" s="368"/>
      <c r="E536" s="368"/>
      <c r="F536" s="368"/>
      <c r="G536" s="368"/>
      <c r="H536" s="368"/>
      <c r="I536" s="368"/>
      <c r="J536" s="368"/>
      <c r="K536" s="368"/>
      <c r="L536" s="368"/>
      <c r="M536" s="368"/>
      <c r="N536" s="368"/>
      <c r="O536" s="368"/>
      <c r="P536" s="368"/>
      <c r="Q536" s="368"/>
      <c r="R536" s="368"/>
      <c r="S536" s="368"/>
      <c r="T536" s="368"/>
      <c r="U536" s="368"/>
      <c r="V536" s="368"/>
      <c r="W536" s="26"/>
      <c r="X536" s="26"/>
      <c r="Y536" s="26"/>
      <c r="Z536" s="26"/>
    </row>
    <row r="537">
      <c r="A537" s="368"/>
      <c r="B537" s="368"/>
      <c r="C537" s="368"/>
      <c r="D537" s="368"/>
      <c r="E537" s="368"/>
      <c r="F537" s="368"/>
      <c r="G537" s="368"/>
      <c r="H537" s="368"/>
      <c r="I537" s="368"/>
      <c r="J537" s="368"/>
      <c r="K537" s="368"/>
      <c r="L537" s="368"/>
      <c r="M537" s="368"/>
      <c r="N537" s="368"/>
      <c r="O537" s="368"/>
      <c r="P537" s="368"/>
      <c r="Q537" s="368"/>
      <c r="R537" s="368"/>
      <c r="S537" s="368"/>
      <c r="T537" s="368"/>
      <c r="U537" s="368"/>
      <c r="V537" s="368"/>
      <c r="W537" s="26"/>
      <c r="X537" s="26"/>
      <c r="Y537" s="26"/>
      <c r="Z537" s="26"/>
    </row>
    <row r="538">
      <c r="A538" s="368"/>
      <c r="B538" s="368"/>
      <c r="C538" s="368"/>
      <c r="D538" s="368"/>
      <c r="E538" s="368"/>
      <c r="F538" s="368"/>
      <c r="G538" s="368"/>
      <c r="H538" s="368"/>
      <c r="I538" s="368"/>
      <c r="J538" s="368"/>
      <c r="K538" s="368"/>
      <c r="L538" s="368"/>
      <c r="M538" s="368"/>
      <c r="N538" s="368"/>
      <c r="O538" s="368"/>
      <c r="P538" s="368"/>
      <c r="Q538" s="368"/>
      <c r="R538" s="368"/>
      <c r="S538" s="368"/>
      <c r="T538" s="368"/>
      <c r="U538" s="368"/>
      <c r="V538" s="368"/>
      <c r="W538" s="26"/>
      <c r="X538" s="26"/>
      <c r="Y538" s="26"/>
      <c r="Z538" s="26"/>
    </row>
    <row r="539">
      <c r="A539" s="368"/>
      <c r="B539" s="368"/>
      <c r="C539" s="368"/>
      <c r="D539" s="368"/>
      <c r="E539" s="368"/>
      <c r="F539" s="368"/>
      <c r="G539" s="368"/>
      <c r="H539" s="368"/>
      <c r="I539" s="368"/>
      <c r="J539" s="368"/>
      <c r="K539" s="368"/>
      <c r="L539" s="368"/>
      <c r="M539" s="368"/>
      <c r="N539" s="368"/>
      <c r="O539" s="368"/>
      <c r="P539" s="368"/>
      <c r="Q539" s="368"/>
      <c r="R539" s="368"/>
      <c r="S539" s="368"/>
      <c r="T539" s="368"/>
      <c r="U539" s="368"/>
      <c r="V539" s="368"/>
      <c r="W539" s="26"/>
      <c r="X539" s="26"/>
      <c r="Y539" s="26"/>
      <c r="Z539" s="26"/>
    </row>
    <row r="540">
      <c r="A540" s="368"/>
      <c r="B540" s="368"/>
      <c r="C540" s="368"/>
      <c r="D540" s="368"/>
      <c r="E540" s="368"/>
      <c r="F540" s="368"/>
      <c r="G540" s="368"/>
      <c r="H540" s="368"/>
      <c r="I540" s="368"/>
      <c r="J540" s="368"/>
      <c r="K540" s="368"/>
      <c r="L540" s="368"/>
      <c r="M540" s="368"/>
      <c r="N540" s="368"/>
      <c r="O540" s="368"/>
      <c r="P540" s="368"/>
      <c r="Q540" s="368"/>
      <c r="R540" s="368"/>
      <c r="S540" s="368"/>
      <c r="T540" s="368"/>
      <c r="U540" s="368"/>
      <c r="V540" s="368"/>
      <c r="W540" s="26"/>
      <c r="X540" s="26"/>
      <c r="Y540" s="26"/>
      <c r="Z540" s="26"/>
    </row>
    <row r="541">
      <c r="A541" s="368"/>
      <c r="B541" s="368"/>
      <c r="C541" s="368"/>
      <c r="D541" s="368"/>
      <c r="E541" s="368"/>
      <c r="F541" s="368"/>
      <c r="G541" s="368"/>
      <c r="H541" s="368"/>
      <c r="I541" s="368"/>
      <c r="J541" s="368"/>
      <c r="K541" s="368"/>
      <c r="L541" s="368"/>
      <c r="M541" s="368"/>
      <c r="N541" s="368"/>
      <c r="O541" s="368"/>
      <c r="P541" s="368"/>
      <c r="Q541" s="368"/>
      <c r="R541" s="368"/>
      <c r="S541" s="368"/>
      <c r="T541" s="368"/>
      <c r="U541" s="368"/>
      <c r="V541" s="368"/>
      <c r="W541" s="26"/>
      <c r="X541" s="26"/>
      <c r="Y541" s="26"/>
      <c r="Z541" s="26"/>
    </row>
    <row r="542">
      <c r="A542" s="368"/>
      <c r="B542" s="368"/>
      <c r="C542" s="368"/>
      <c r="D542" s="368"/>
      <c r="E542" s="368"/>
      <c r="F542" s="368"/>
      <c r="G542" s="368"/>
      <c r="H542" s="368"/>
      <c r="I542" s="368"/>
      <c r="J542" s="368"/>
      <c r="K542" s="368"/>
      <c r="L542" s="368"/>
      <c r="M542" s="368"/>
      <c r="N542" s="368"/>
      <c r="O542" s="368"/>
      <c r="P542" s="368"/>
      <c r="Q542" s="368"/>
      <c r="R542" s="368"/>
      <c r="S542" s="368"/>
      <c r="T542" s="368"/>
      <c r="U542" s="368"/>
      <c r="V542" s="368"/>
      <c r="W542" s="26"/>
      <c r="X542" s="26"/>
      <c r="Y542" s="26"/>
      <c r="Z542" s="26"/>
    </row>
    <row r="543">
      <c r="A543" s="368"/>
      <c r="B543" s="368"/>
      <c r="C543" s="368"/>
      <c r="D543" s="368"/>
      <c r="E543" s="368"/>
      <c r="F543" s="368"/>
      <c r="G543" s="368"/>
      <c r="H543" s="368"/>
      <c r="I543" s="368"/>
      <c r="J543" s="368"/>
      <c r="K543" s="368"/>
      <c r="L543" s="368"/>
      <c r="M543" s="368"/>
      <c r="N543" s="368"/>
      <c r="O543" s="368"/>
      <c r="P543" s="368"/>
      <c r="Q543" s="368"/>
      <c r="R543" s="368"/>
      <c r="S543" s="368"/>
      <c r="T543" s="368"/>
      <c r="U543" s="368"/>
      <c r="V543" s="368"/>
      <c r="W543" s="26"/>
      <c r="X543" s="26"/>
      <c r="Y543" s="26"/>
      <c r="Z543" s="26"/>
    </row>
    <row r="544">
      <c r="A544" s="368"/>
      <c r="B544" s="368"/>
      <c r="C544" s="368"/>
      <c r="D544" s="368"/>
      <c r="E544" s="368"/>
      <c r="F544" s="368"/>
      <c r="G544" s="368"/>
      <c r="H544" s="368"/>
      <c r="I544" s="368"/>
      <c r="J544" s="368"/>
      <c r="K544" s="368"/>
      <c r="L544" s="368"/>
      <c r="M544" s="368"/>
      <c r="N544" s="368"/>
      <c r="O544" s="368"/>
      <c r="P544" s="368"/>
      <c r="Q544" s="368"/>
      <c r="R544" s="368"/>
      <c r="S544" s="368"/>
      <c r="T544" s="368"/>
      <c r="U544" s="368"/>
      <c r="V544" s="368"/>
      <c r="W544" s="26"/>
      <c r="X544" s="26"/>
      <c r="Y544" s="26"/>
      <c r="Z544" s="26"/>
    </row>
    <row r="545">
      <c r="A545" s="368"/>
      <c r="B545" s="368"/>
      <c r="C545" s="368"/>
      <c r="D545" s="368"/>
      <c r="E545" s="368"/>
      <c r="F545" s="368"/>
      <c r="G545" s="368"/>
      <c r="H545" s="368"/>
      <c r="I545" s="368"/>
      <c r="J545" s="368"/>
      <c r="K545" s="368"/>
      <c r="L545" s="368"/>
      <c r="M545" s="368"/>
      <c r="N545" s="368"/>
      <c r="O545" s="368"/>
      <c r="P545" s="368"/>
      <c r="Q545" s="368"/>
      <c r="R545" s="368"/>
      <c r="S545" s="368"/>
      <c r="T545" s="368"/>
      <c r="U545" s="368"/>
      <c r="V545" s="368"/>
      <c r="W545" s="26"/>
      <c r="X545" s="26"/>
      <c r="Y545" s="26"/>
      <c r="Z545" s="26"/>
    </row>
    <row r="546">
      <c r="A546" s="368"/>
      <c r="B546" s="368"/>
      <c r="C546" s="368"/>
      <c r="D546" s="368"/>
      <c r="E546" s="368"/>
      <c r="F546" s="368"/>
      <c r="G546" s="368"/>
      <c r="H546" s="368"/>
      <c r="I546" s="368"/>
      <c r="J546" s="368"/>
      <c r="K546" s="368"/>
      <c r="L546" s="368"/>
      <c r="M546" s="368"/>
      <c r="N546" s="368"/>
      <c r="O546" s="368"/>
      <c r="P546" s="368"/>
      <c r="Q546" s="368"/>
      <c r="R546" s="368"/>
      <c r="S546" s="368"/>
      <c r="T546" s="368"/>
      <c r="U546" s="368"/>
      <c r="V546" s="368"/>
      <c r="W546" s="26"/>
      <c r="X546" s="26"/>
      <c r="Y546" s="26"/>
      <c r="Z546" s="26"/>
    </row>
    <row r="547">
      <c r="A547" s="368"/>
      <c r="B547" s="368"/>
      <c r="C547" s="368"/>
      <c r="D547" s="368"/>
      <c r="E547" s="368"/>
      <c r="F547" s="368"/>
      <c r="G547" s="368"/>
      <c r="H547" s="368"/>
      <c r="I547" s="368"/>
      <c r="J547" s="368"/>
      <c r="K547" s="368"/>
      <c r="L547" s="368"/>
      <c r="M547" s="368"/>
      <c r="N547" s="368"/>
      <c r="O547" s="368"/>
      <c r="P547" s="368"/>
      <c r="Q547" s="368"/>
      <c r="R547" s="368"/>
      <c r="S547" s="368"/>
      <c r="T547" s="368"/>
      <c r="U547" s="368"/>
      <c r="V547" s="368"/>
      <c r="W547" s="26"/>
      <c r="X547" s="26"/>
      <c r="Y547" s="26"/>
      <c r="Z547" s="26"/>
    </row>
    <row r="548">
      <c r="A548" s="368"/>
      <c r="B548" s="368"/>
      <c r="C548" s="368"/>
      <c r="D548" s="368"/>
      <c r="E548" s="368"/>
      <c r="F548" s="368"/>
      <c r="G548" s="368"/>
      <c r="H548" s="368"/>
      <c r="I548" s="368"/>
      <c r="J548" s="368"/>
      <c r="K548" s="368"/>
      <c r="L548" s="368"/>
      <c r="M548" s="368"/>
      <c r="N548" s="368"/>
      <c r="O548" s="368"/>
      <c r="P548" s="368"/>
      <c r="Q548" s="368"/>
      <c r="R548" s="368"/>
      <c r="S548" s="368"/>
      <c r="T548" s="368"/>
      <c r="U548" s="368"/>
      <c r="V548" s="368"/>
      <c r="W548" s="26"/>
      <c r="X548" s="26"/>
      <c r="Y548" s="26"/>
      <c r="Z548" s="26"/>
    </row>
    <row r="549">
      <c r="A549" s="368"/>
      <c r="B549" s="368"/>
      <c r="C549" s="368"/>
      <c r="D549" s="368"/>
      <c r="E549" s="368"/>
      <c r="F549" s="368"/>
      <c r="G549" s="368"/>
      <c r="H549" s="368"/>
      <c r="I549" s="368"/>
      <c r="J549" s="368"/>
      <c r="K549" s="368"/>
      <c r="L549" s="368"/>
      <c r="M549" s="368"/>
      <c r="N549" s="368"/>
      <c r="O549" s="368"/>
      <c r="P549" s="368"/>
      <c r="Q549" s="368"/>
      <c r="R549" s="368"/>
      <c r="S549" s="368"/>
      <c r="T549" s="368"/>
      <c r="U549" s="368"/>
      <c r="V549" s="368"/>
      <c r="W549" s="26"/>
      <c r="X549" s="26"/>
      <c r="Y549" s="26"/>
      <c r="Z549" s="26"/>
    </row>
    <row r="550">
      <c r="A550" s="368"/>
      <c r="B550" s="368"/>
      <c r="C550" s="368"/>
      <c r="D550" s="368"/>
      <c r="E550" s="368"/>
      <c r="F550" s="368"/>
      <c r="G550" s="368"/>
      <c r="H550" s="368"/>
      <c r="I550" s="368"/>
      <c r="J550" s="368"/>
      <c r="K550" s="368"/>
      <c r="L550" s="368"/>
      <c r="M550" s="368"/>
      <c r="N550" s="368"/>
      <c r="O550" s="368"/>
      <c r="P550" s="368"/>
      <c r="Q550" s="368"/>
      <c r="R550" s="368"/>
      <c r="S550" s="368"/>
      <c r="T550" s="368"/>
      <c r="U550" s="368"/>
      <c r="V550" s="368"/>
      <c r="W550" s="26"/>
      <c r="X550" s="26"/>
      <c r="Y550" s="26"/>
      <c r="Z550" s="26"/>
    </row>
    <row r="551">
      <c r="A551" s="368"/>
      <c r="B551" s="368"/>
      <c r="C551" s="368"/>
      <c r="D551" s="368"/>
      <c r="E551" s="368"/>
      <c r="F551" s="368"/>
      <c r="G551" s="368"/>
      <c r="H551" s="368"/>
      <c r="I551" s="368"/>
      <c r="J551" s="368"/>
      <c r="K551" s="368"/>
      <c r="L551" s="368"/>
      <c r="M551" s="368"/>
      <c r="N551" s="368"/>
      <c r="O551" s="368"/>
      <c r="P551" s="368"/>
      <c r="Q551" s="368"/>
      <c r="R551" s="368"/>
      <c r="S551" s="368"/>
      <c r="T551" s="368"/>
      <c r="U551" s="368"/>
      <c r="V551" s="368"/>
      <c r="W551" s="26"/>
      <c r="X551" s="26"/>
      <c r="Y551" s="26"/>
      <c r="Z551" s="26"/>
    </row>
    <row r="552">
      <c r="A552" s="368"/>
      <c r="B552" s="368"/>
      <c r="C552" s="368"/>
      <c r="D552" s="368"/>
      <c r="E552" s="368"/>
      <c r="F552" s="368"/>
      <c r="G552" s="368"/>
      <c r="H552" s="368"/>
      <c r="I552" s="368"/>
      <c r="J552" s="368"/>
      <c r="K552" s="368"/>
      <c r="L552" s="368"/>
      <c r="M552" s="368"/>
      <c r="N552" s="368"/>
      <c r="O552" s="368"/>
      <c r="P552" s="368"/>
      <c r="Q552" s="368"/>
      <c r="R552" s="368"/>
      <c r="S552" s="368"/>
      <c r="T552" s="368"/>
      <c r="U552" s="368"/>
      <c r="V552" s="368"/>
      <c r="W552" s="26"/>
      <c r="X552" s="26"/>
      <c r="Y552" s="26"/>
      <c r="Z552" s="26"/>
    </row>
    <row r="553">
      <c r="A553" s="368"/>
      <c r="B553" s="368"/>
      <c r="C553" s="368"/>
      <c r="D553" s="368"/>
      <c r="E553" s="368"/>
      <c r="F553" s="368"/>
      <c r="G553" s="368"/>
      <c r="H553" s="368"/>
      <c r="I553" s="368"/>
      <c r="J553" s="368"/>
      <c r="K553" s="368"/>
      <c r="L553" s="368"/>
      <c r="M553" s="368"/>
      <c r="N553" s="368"/>
      <c r="O553" s="368"/>
      <c r="P553" s="368"/>
      <c r="Q553" s="368"/>
      <c r="R553" s="368"/>
      <c r="S553" s="368"/>
      <c r="T553" s="368"/>
      <c r="U553" s="368"/>
      <c r="V553" s="368"/>
      <c r="W553" s="26"/>
      <c r="X553" s="26"/>
      <c r="Y553" s="26"/>
      <c r="Z553" s="26"/>
    </row>
    <row r="554">
      <c r="A554" s="368"/>
      <c r="B554" s="368"/>
      <c r="C554" s="368"/>
      <c r="D554" s="368"/>
      <c r="E554" s="368"/>
      <c r="F554" s="368"/>
      <c r="G554" s="368"/>
      <c r="H554" s="368"/>
      <c r="I554" s="368"/>
      <c r="J554" s="368"/>
      <c r="K554" s="368"/>
      <c r="L554" s="368"/>
      <c r="M554" s="368"/>
      <c r="N554" s="368"/>
      <c r="O554" s="368"/>
      <c r="P554" s="368"/>
      <c r="Q554" s="368"/>
      <c r="R554" s="368"/>
      <c r="S554" s="368"/>
      <c r="T554" s="368"/>
      <c r="U554" s="368"/>
      <c r="V554" s="368"/>
      <c r="W554" s="26"/>
      <c r="X554" s="26"/>
      <c r="Y554" s="26"/>
      <c r="Z554" s="26"/>
    </row>
    <row r="555">
      <c r="A555" s="368"/>
      <c r="B555" s="368"/>
      <c r="C555" s="368"/>
      <c r="D555" s="368"/>
      <c r="E555" s="368"/>
      <c r="F555" s="368"/>
      <c r="G555" s="368"/>
      <c r="H555" s="368"/>
      <c r="I555" s="368"/>
      <c r="J555" s="368"/>
      <c r="K555" s="368"/>
      <c r="L555" s="368"/>
      <c r="M555" s="368"/>
      <c r="N555" s="368"/>
      <c r="O555" s="368"/>
      <c r="P555" s="368"/>
      <c r="Q555" s="368"/>
      <c r="R555" s="368"/>
      <c r="S555" s="368"/>
      <c r="T555" s="368"/>
      <c r="U555" s="368"/>
      <c r="V555" s="368"/>
      <c r="W555" s="26"/>
      <c r="X555" s="26"/>
      <c r="Y555" s="26"/>
      <c r="Z555" s="26"/>
    </row>
    <row r="556">
      <c r="A556" s="368"/>
      <c r="B556" s="368"/>
      <c r="C556" s="368"/>
      <c r="D556" s="368"/>
      <c r="E556" s="368"/>
      <c r="F556" s="368"/>
      <c r="G556" s="368"/>
      <c r="H556" s="368"/>
      <c r="I556" s="368"/>
      <c r="J556" s="368"/>
      <c r="K556" s="368"/>
      <c r="L556" s="368"/>
      <c r="M556" s="368"/>
      <c r="N556" s="368"/>
      <c r="O556" s="368"/>
      <c r="P556" s="368"/>
      <c r="Q556" s="368"/>
      <c r="R556" s="368"/>
      <c r="S556" s="368"/>
      <c r="T556" s="368"/>
      <c r="U556" s="368"/>
      <c r="V556" s="368"/>
      <c r="W556" s="26"/>
      <c r="X556" s="26"/>
      <c r="Y556" s="26"/>
      <c r="Z556" s="26"/>
    </row>
    <row r="557">
      <c r="A557" s="368"/>
      <c r="B557" s="368"/>
      <c r="C557" s="368"/>
      <c r="D557" s="368"/>
      <c r="E557" s="368"/>
      <c r="F557" s="368"/>
      <c r="G557" s="368"/>
      <c r="H557" s="368"/>
      <c r="I557" s="368"/>
      <c r="J557" s="368"/>
      <c r="K557" s="368"/>
      <c r="L557" s="368"/>
      <c r="M557" s="368"/>
      <c r="N557" s="368"/>
      <c r="O557" s="368"/>
      <c r="P557" s="368"/>
      <c r="Q557" s="368"/>
      <c r="R557" s="368"/>
      <c r="S557" s="368"/>
      <c r="T557" s="368"/>
      <c r="U557" s="368"/>
      <c r="V557" s="368"/>
      <c r="W557" s="26"/>
      <c r="X557" s="26"/>
      <c r="Y557" s="26"/>
      <c r="Z557" s="26"/>
    </row>
    <row r="558">
      <c r="A558" s="368"/>
      <c r="B558" s="368"/>
      <c r="C558" s="368"/>
      <c r="D558" s="368"/>
      <c r="E558" s="368"/>
      <c r="F558" s="368"/>
      <c r="G558" s="368"/>
      <c r="H558" s="368"/>
      <c r="I558" s="368"/>
      <c r="J558" s="368"/>
      <c r="K558" s="368"/>
      <c r="L558" s="368"/>
      <c r="M558" s="368"/>
      <c r="N558" s="368"/>
      <c r="O558" s="368"/>
      <c r="P558" s="368"/>
      <c r="Q558" s="368"/>
      <c r="R558" s="368"/>
      <c r="S558" s="368"/>
      <c r="T558" s="368"/>
      <c r="U558" s="368"/>
      <c r="V558" s="368"/>
      <c r="W558" s="26"/>
      <c r="X558" s="26"/>
      <c r="Y558" s="26"/>
      <c r="Z558" s="26"/>
    </row>
    <row r="559">
      <c r="A559" s="368"/>
      <c r="B559" s="368"/>
      <c r="C559" s="368"/>
      <c r="D559" s="368"/>
      <c r="E559" s="368"/>
      <c r="F559" s="368"/>
      <c r="G559" s="368"/>
      <c r="H559" s="368"/>
      <c r="I559" s="368"/>
      <c r="J559" s="368"/>
      <c r="K559" s="368"/>
      <c r="L559" s="368"/>
      <c r="M559" s="368"/>
      <c r="N559" s="368"/>
      <c r="O559" s="368"/>
      <c r="P559" s="368"/>
      <c r="Q559" s="368"/>
      <c r="R559" s="368"/>
      <c r="S559" s="368"/>
      <c r="T559" s="368"/>
      <c r="U559" s="368"/>
      <c r="V559" s="368"/>
      <c r="W559" s="26"/>
      <c r="X559" s="26"/>
      <c r="Y559" s="26"/>
      <c r="Z559" s="26"/>
    </row>
    <row r="560">
      <c r="A560" s="368"/>
      <c r="B560" s="368"/>
      <c r="C560" s="368"/>
      <c r="D560" s="368"/>
      <c r="E560" s="368"/>
      <c r="F560" s="368"/>
      <c r="G560" s="368"/>
      <c r="H560" s="368"/>
      <c r="I560" s="368"/>
      <c r="J560" s="368"/>
      <c r="K560" s="368"/>
      <c r="L560" s="368"/>
      <c r="M560" s="368"/>
      <c r="N560" s="368"/>
      <c r="O560" s="368"/>
      <c r="P560" s="368"/>
      <c r="Q560" s="368"/>
      <c r="R560" s="368"/>
      <c r="S560" s="368"/>
      <c r="T560" s="368"/>
      <c r="U560" s="368"/>
      <c r="V560" s="368"/>
      <c r="W560" s="26"/>
      <c r="X560" s="26"/>
      <c r="Y560" s="26"/>
      <c r="Z560" s="26"/>
    </row>
    <row r="561">
      <c r="A561" s="368"/>
      <c r="B561" s="368"/>
      <c r="C561" s="368"/>
      <c r="D561" s="368"/>
      <c r="E561" s="368"/>
      <c r="F561" s="368"/>
      <c r="G561" s="368"/>
      <c r="H561" s="368"/>
      <c r="I561" s="368"/>
      <c r="J561" s="368"/>
      <c r="K561" s="368"/>
      <c r="L561" s="368"/>
      <c r="M561" s="368"/>
      <c r="N561" s="368"/>
      <c r="O561" s="368"/>
      <c r="P561" s="368"/>
      <c r="Q561" s="368"/>
      <c r="R561" s="368"/>
      <c r="S561" s="368"/>
      <c r="T561" s="368"/>
      <c r="U561" s="368"/>
      <c r="V561" s="368"/>
      <c r="W561" s="26"/>
      <c r="X561" s="26"/>
      <c r="Y561" s="26"/>
      <c r="Z561" s="26"/>
    </row>
    <row r="562">
      <c r="A562" s="368"/>
      <c r="B562" s="368"/>
      <c r="C562" s="368"/>
      <c r="D562" s="368"/>
      <c r="E562" s="368"/>
      <c r="F562" s="368"/>
      <c r="G562" s="368"/>
      <c r="H562" s="368"/>
      <c r="I562" s="368"/>
      <c r="J562" s="368"/>
      <c r="K562" s="368"/>
      <c r="L562" s="368"/>
      <c r="M562" s="368"/>
      <c r="N562" s="368"/>
      <c r="O562" s="368"/>
      <c r="P562" s="368"/>
      <c r="Q562" s="368"/>
      <c r="R562" s="368"/>
      <c r="S562" s="368"/>
      <c r="T562" s="368"/>
      <c r="U562" s="368"/>
      <c r="V562" s="368"/>
      <c r="W562" s="26"/>
      <c r="X562" s="26"/>
      <c r="Y562" s="26"/>
      <c r="Z562" s="26"/>
    </row>
    <row r="563">
      <c r="A563" s="368"/>
      <c r="B563" s="368"/>
      <c r="C563" s="368"/>
      <c r="D563" s="368"/>
      <c r="E563" s="368"/>
      <c r="F563" s="368"/>
      <c r="G563" s="368"/>
      <c r="H563" s="368"/>
      <c r="I563" s="368"/>
      <c r="J563" s="368"/>
      <c r="K563" s="368"/>
      <c r="L563" s="368"/>
      <c r="M563" s="368"/>
      <c r="N563" s="368"/>
      <c r="O563" s="368"/>
      <c r="P563" s="368"/>
      <c r="Q563" s="368"/>
      <c r="R563" s="368"/>
      <c r="S563" s="368"/>
      <c r="T563" s="368"/>
      <c r="U563" s="368"/>
      <c r="V563" s="368"/>
      <c r="W563" s="26"/>
      <c r="X563" s="26"/>
      <c r="Y563" s="26"/>
      <c r="Z563" s="26"/>
    </row>
    <row r="564">
      <c r="A564" s="368"/>
      <c r="B564" s="368"/>
      <c r="C564" s="368"/>
      <c r="D564" s="368"/>
      <c r="E564" s="368"/>
      <c r="F564" s="368"/>
      <c r="G564" s="368"/>
      <c r="H564" s="368"/>
      <c r="I564" s="368"/>
      <c r="J564" s="368"/>
      <c r="K564" s="368"/>
      <c r="L564" s="368"/>
      <c r="M564" s="368"/>
      <c r="N564" s="368"/>
      <c r="O564" s="368"/>
      <c r="P564" s="368"/>
      <c r="Q564" s="368"/>
      <c r="R564" s="368"/>
      <c r="S564" s="368"/>
      <c r="T564" s="368"/>
      <c r="U564" s="368"/>
      <c r="V564" s="368"/>
      <c r="W564" s="26"/>
      <c r="X564" s="26"/>
      <c r="Y564" s="26"/>
      <c r="Z564" s="26"/>
    </row>
    <row r="565">
      <c r="A565" s="368"/>
      <c r="B565" s="368"/>
      <c r="C565" s="368"/>
      <c r="D565" s="368"/>
      <c r="E565" s="368"/>
      <c r="F565" s="368"/>
      <c r="G565" s="368"/>
      <c r="H565" s="368"/>
      <c r="I565" s="368"/>
      <c r="J565" s="368"/>
      <c r="K565" s="368"/>
      <c r="L565" s="368"/>
      <c r="M565" s="368"/>
      <c r="N565" s="368"/>
      <c r="O565" s="368"/>
      <c r="P565" s="368"/>
      <c r="Q565" s="368"/>
      <c r="R565" s="368"/>
      <c r="S565" s="368"/>
      <c r="T565" s="368"/>
      <c r="U565" s="368"/>
      <c r="V565" s="368"/>
      <c r="W565" s="26"/>
      <c r="X565" s="26"/>
      <c r="Y565" s="26"/>
      <c r="Z565" s="26"/>
    </row>
    <row r="566">
      <c r="A566" s="368"/>
      <c r="B566" s="368"/>
      <c r="C566" s="368"/>
      <c r="D566" s="368"/>
      <c r="E566" s="368"/>
      <c r="F566" s="368"/>
      <c r="G566" s="368"/>
      <c r="H566" s="368"/>
      <c r="I566" s="368"/>
      <c r="J566" s="368"/>
      <c r="K566" s="368"/>
      <c r="L566" s="368"/>
      <c r="M566" s="368"/>
      <c r="N566" s="368"/>
      <c r="O566" s="368"/>
      <c r="P566" s="368"/>
      <c r="Q566" s="368"/>
      <c r="R566" s="368"/>
      <c r="S566" s="368"/>
      <c r="T566" s="368"/>
      <c r="U566" s="368"/>
      <c r="V566" s="368"/>
      <c r="W566" s="26"/>
      <c r="X566" s="26"/>
      <c r="Y566" s="26"/>
      <c r="Z566" s="26"/>
    </row>
    <row r="567">
      <c r="A567" s="368"/>
      <c r="B567" s="368"/>
      <c r="C567" s="368"/>
      <c r="D567" s="368"/>
      <c r="E567" s="368"/>
      <c r="F567" s="368"/>
      <c r="G567" s="368"/>
      <c r="H567" s="368"/>
      <c r="I567" s="368"/>
      <c r="J567" s="368"/>
      <c r="K567" s="368"/>
      <c r="L567" s="368"/>
      <c r="M567" s="368"/>
      <c r="N567" s="368"/>
      <c r="O567" s="368"/>
      <c r="P567" s="368"/>
      <c r="Q567" s="368"/>
      <c r="R567" s="368"/>
      <c r="S567" s="368"/>
      <c r="T567" s="368"/>
      <c r="U567" s="368"/>
      <c r="V567" s="368"/>
      <c r="W567" s="26"/>
      <c r="X567" s="26"/>
      <c r="Y567" s="26"/>
      <c r="Z567" s="26"/>
    </row>
    <row r="568">
      <c r="A568" s="368"/>
      <c r="B568" s="368"/>
      <c r="C568" s="368"/>
      <c r="D568" s="368"/>
      <c r="E568" s="368"/>
      <c r="F568" s="368"/>
      <c r="G568" s="368"/>
      <c r="H568" s="368"/>
      <c r="I568" s="368"/>
      <c r="J568" s="368"/>
      <c r="K568" s="368"/>
      <c r="L568" s="368"/>
      <c r="M568" s="368"/>
      <c r="N568" s="368"/>
      <c r="O568" s="368"/>
      <c r="P568" s="368"/>
      <c r="Q568" s="368"/>
      <c r="R568" s="368"/>
      <c r="S568" s="368"/>
      <c r="T568" s="368"/>
      <c r="U568" s="368"/>
      <c r="V568" s="368"/>
      <c r="W568" s="26"/>
      <c r="X568" s="26"/>
      <c r="Y568" s="26"/>
      <c r="Z568" s="26"/>
    </row>
    <row r="569">
      <c r="A569" s="368"/>
      <c r="B569" s="368"/>
      <c r="C569" s="368"/>
      <c r="D569" s="368"/>
      <c r="E569" s="368"/>
      <c r="F569" s="368"/>
      <c r="G569" s="368"/>
      <c r="H569" s="368"/>
      <c r="I569" s="368"/>
      <c r="J569" s="368"/>
      <c r="K569" s="368"/>
      <c r="L569" s="368"/>
      <c r="M569" s="368"/>
      <c r="N569" s="368"/>
      <c r="O569" s="368"/>
      <c r="P569" s="368"/>
      <c r="Q569" s="368"/>
      <c r="R569" s="368"/>
      <c r="S569" s="368"/>
      <c r="T569" s="368"/>
      <c r="U569" s="368"/>
      <c r="V569" s="368"/>
      <c r="W569" s="26"/>
      <c r="X569" s="26"/>
      <c r="Y569" s="26"/>
      <c r="Z569" s="26"/>
    </row>
    <row r="570">
      <c r="A570" s="368"/>
      <c r="B570" s="368"/>
      <c r="C570" s="368"/>
      <c r="D570" s="368"/>
      <c r="E570" s="368"/>
      <c r="F570" s="368"/>
      <c r="G570" s="368"/>
      <c r="H570" s="368"/>
      <c r="I570" s="368"/>
      <c r="J570" s="368"/>
      <c r="K570" s="368"/>
      <c r="L570" s="368"/>
      <c r="M570" s="368"/>
      <c r="N570" s="368"/>
      <c r="O570" s="368"/>
      <c r="P570" s="368"/>
      <c r="Q570" s="368"/>
      <c r="R570" s="368"/>
      <c r="S570" s="368"/>
      <c r="T570" s="368"/>
      <c r="U570" s="368"/>
      <c r="V570" s="368"/>
      <c r="W570" s="26"/>
      <c r="X570" s="26"/>
      <c r="Y570" s="26"/>
      <c r="Z570" s="26"/>
    </row>
    <row r="571">
      <c r="A571" s="368"/>
      <c r="B571" s="368"/>
      <c r="C571" s="368"/>
      <c r="D571" s="368"/>
      <c r="E571" s="368"/>
      <c r="F571" s="368"/>
      <c r="G571" s="368"/>
      <c r="H571" s="368"/>
      <c r="I571" s="368"/>
      <c r="J571" s="368"/>
      <c r="K571" s="368"/>
      <c r="L571" s="368"/>
      <c r="M571" s="368"/>
      <c r="N571" s="368"/>
      <c r="O571" s="368"/>
      <c r="P571" s="368"/>
      <c r="Q571" s="368"/>
      <c r="R571" s="368"/>
      <c r="S571" s="368"/>
      <c r="T571" s="368"/>
      <c r="U571" s="368"/>
      <c r="V571" s="368"/>
      <c r="W571" s="26"/>
      <c r="X571" s="26"/>
      <c r="Y571" s="26"/>
      <c r="Z571" s="26"/>
    </row>
    <row r="572">
      <c r="A572" s="368"/>
      <c r="B572" s="368"/>
      <c r="C572" s="368"/>
      <c r="D572" s="368"/>
      <c r="E572" s="368"/>
      <c r="F572" s="368"/>
      <c r="G572" s="368"/>
      <c r="H572" s="368"/>
      <c r="I572" s="368"/>
      <c r="J572" s="368"/>
      <c r="K572" s="368"/>
      <c r="L572" s="368"/>
      <c r="M572" s="368"/>
      <c r="N572" s="368"/>
      <c r="O572" s="368"/>
      <c r="P572" s="368"/>
      <c r="Q572" s="368"/>
      <c r="R572" s="368"/>
      <c r="S572" s="368"/>
      <c r="T572" s="368"/>
      <c r="U572" s="368"/>
      <c r="V572" s="368"/>
      <c r="W572" s="26"/>
      <c r="X572" s="26"/>
      <c r="Y572" s="26"/>
      <c r="Z572" s="26"/>
    </row>
    <row r="573">
      <c r="A573" s="368"/>
      <c r="B573" s="368"/>
      <c r="C573" s="368"/>
      <c r="D573" s="368"/>
      <c r="E573" s="368"/>
      <c r="F573" s="368"/>
      <c r="G573" s="368"/>
      <c r="H573" s="368"/>
      <c r="I573" s="368"/>
      <c r="J573" s="368"/>
      <c r="K573" s="368"/>
      <c r="L573" s="368"/>
      <c r="M573" s="368"/>
      <c r="N573" s="368"/>
      <c r="O573" s="368"/>
      <c r="P573" s="368"/>
      <c r="Q573" s="368"/>
      <c r="R573" s="368"/>
      <c r="S573" s="368"/>
      <c r="T573" s="368"/>
      <c r="U573" s="368"/>
      <c r="V573" s="368"/>
      <c r="W573" s="26"/>
      <c r="X573" s="26"/>
      <c r="Y573" s="26"/>
      <c r="Z573" s="26"/>
    </row>
    <row r="574">
      <c r="A574" s="368"/>
      <c r="B574" s="368"/>
      <c r="C574" s="368"/>
      <c r="D574" s="368"/>
      <c r="E574" s="368"/>
      <c r="F574" s="368"/>
      <c r="G574" s="368"/>
      <c r="H574" s="368"/>
      <c r="I574" s="368"/>
      <c r="J574" s="368"/>
      <c r="K574" s="368"/>
      <c r="L574" s="368"/>
      <c r="M574" s="368"/>
      <c r="N574" s="368"/>
      <c r="O574" s="368"/>
      <c r="P574" s="368"/>
      <c r="Q574" s="368"/>
      <c r="R574" s="368"/>
      <c r="S574" s="368"/>
      <c r="T574" s="368"/>
      <c r="U574" s="368"/>
      <c r="V574" s="368"/>
      <c r="W574" s="26"/>
      <c r="X574" s="26"/>
      <c r="Y574" s="26"/>
      <c r="Z574" s="26"/>
    </row>
    <row r="575">
      <c r="A575" s="368"/>
      <c r="B575" s="368"/>
      <c r="C575" s="368"/>
      <c r="D575" s="368"/>
      <c r="E575" s="368"/>
      <c r="F575" s="368"/>
      <c r="G575" s="368"/>
      <c r="H575" s="368"/>
      <c r="I575" s="368"/>
      <c r="J575" s="368"/>
      <c r="K575" s="368"/>
      <c r="L575" s="368"/>
      <c r="M575" s="368"/>
      <c r="N575" s="368"/>
      <c r="O575" s="368"/>
      <c r="P575" s="368"/>
      <c r="Q575" s="368"/>
      <c r="R575" s="368"/>
      <c r="S575" s="368"/>
      <c r="T575" s="368"/>
      <c r="U575" s="368"/>
      <c r="V575" s="368"/>
      <c r="W575" s="26"/>
      <c r="X575" s="26"/>
      <c r="Y575" s="26"/>
      <c r="Z575" s="26"/>
    </row>
    <row r="576">
      <c r="A576" s="368"/>
      <c r="B576" s="368"/>
      <c r="C576" s="368"/>
      <c r="D576" s="368"/>
      <c r="E576" s="368"/>
      <c r="F576" s="368"/>
      <c r="G576" s="368"/>
      <c r="H576" s="368"/>
      <c r="I576" s="368"/>
      <c r="J576" s="368"/>
      <c r="K576" s="368"/>
      <c r="L576" s="368"/>
      <c r="M576" s="368"/>
      <c r="N576" s="368"/>
      <c r="O576" s="368"/>
      <c r="P576" s="368"/>
      <c r="Q576" s="368"/>
      <c r="R576" s="368"/>
      <c r="S576" s="368"/>
      <c r="T576" s="368"/>
      <c r="U576" s="368"/>
      <c r="V576" s="368"/>
      <c r="W576" s="26"/>
      <c r="X576" s="26"/>
      <c r="Y576" s="26"/>
      <c r="Z576" s="26"/>
    </row>
    <row r="577">
      <c r="A577" s="368"/>
      <c r="B577" s="368"/>
      <c r="C577" s="368"/>
      <c r="D577" s="368"/>
      <c r="E577" s="368"/>
      <c r="F577" s="368"/>
      <c r="G577" s="368"/>
      <c r="H577" s="368"/>
      <c r="I577" s="368"/>
      <c r="J577" s="368"/>
      <c r="K577" s="368"/>
      <c r="L577" s="368"/>
      <c r="M577" s="368"/>
      <c r="N577" s="368"/>
      <c r="O577" s="368"/>
      <c r="P577" s="368"/>
      <c r="Q577" s="368"/>
      <c r="R577" s="368"/>
      <c r="S577" s="368"/>
      <c r="T577" s="368"/>
      <c r="U577" s="368"/>
      <c r="V577" s="368"/>
      <c r="W577" s="26"/>
      <c r="X577" s="26"/>
      <c r="Y577" s="26"/>
      <c r="Z577" s="26"/>
    </row>
    <row r="578">
      <c r="A578" s="368"/>
      <c r="B578" s="368"/>
      <c r="C578" s="368"/>
      <c r="D578" s="368"/>
      <c r="E578" s="368"/>
      <c r="F578" s="368"/>
      <c r="G578" s="368"/>
      <c r="H578" s="368"/>
      <c r="I578" s="368"/>
      <c r="J578" s="368"/>
      <c r="K578" s="368"/>
      <c r="L578" s="368"/>
      <c r="M578" s="368"/>
      <c r="N578" s="368"/>
      <c r="O578" s="368"/>
      <c r="P578" s="368"/>
      <c r="Q578" s="368"/>
      <c r="R578" s="368"/>
      <c r="S578" s="368"/>
      <c r="T578" s="368"/>
      <c r="U578" s="368"/>
      <c r="V578" s="368"/>
      <c r="W578" s="26"/>
      <c r="X578" s="26"/>
      <c r="Y578" s="26"/>
      <c r="Z578" s="26"/>
    </row>
    <row r="579">
      <c r="A579" s="368"/>
      <c r="B579" s="368"/>
      <c r="C579" s="368"/>
      <c r="D579" s="368"/>
      <c r="E579" s="368"/>
      <c r="F579" s="368"/>
      <c r="G579" s="368"/>
      <c r="H579" s="368"/>
      <c r="I579" s="368"/>
      <c r="J579" s="368"/>
      <c r="K579" s="368"/>
      <c r="L579" s="368"/>
      <c r="M579" s="368"/>
      <c r="N579" s="368"/>
      <c r="O579" s="368"/>
      <c r="P579" s="368"/>
      <c r="Q579" s="368"/>
      <c r="R579" s="368"/>
      <c r="S579" s="368"/>
      <c r="T579" s="368"/>
      <c r="U579" s="368"/>
      <c r="V579" s="368"/>
      <c r="W579" s="26"/>
      <c r="X579" s="26"/>
      <c r="Y579" s="26"/>
      <c r="Z579" s="26"/>
    </row>
    <row r="580">
      <c r="A580" s="368"/>
      <c r="B580" s="368"/>
      <c r="C580" s="368"/>
      <c r="D580" s="368"/>
      <c r="E580" s="368"/>
      <c r="F580" s="368"/>
      <c r="G580" s="368"/>
      <c r="H580" s="368"/>
      <c r="I580" s="368"/>
      <c r="J580" s="368"/>
      <c r="K580" s="368"/>
      <c r="L580" s="368"/>
      <c r="M580" s="368"/>
      <c r="N580" s="368"/>
      <c r="O580" s="368"/>
      <c r="P580" s="368"/>
      <c r="Q580" s="368"/>
      <c r="R580" s="368"/>
      <c r="S580" s="368"/>
      <c r="T580" s="368"/>
      <c r="U580" s="368"/>
      <c r="V580" s="368"/>
      <c r="W580" s="26"/>
      <c r="X580" s="26"/>
      <c r="Y580" s="26"/>
      <c r="Z580" s="26"/>
    </row>
    <row r="581">
      <c r="A581" s="368"/>
      <c r="B581" s="368"/>
      <c r="C581" s="368"/>
      <c r="D581" s="368"/>
      <c r="E581" s="368"/>
      <c r="F581" s="368"/>
      <c r="G581" s="368"/>
      <c r="H581" s="368"/>
      <c r="I581" s="368"/>
      <c r="J581" s="368"/>
      <c r="K581" s="368"/>
      <c r="L581" s="368"/>
      <c r="M581" s="368"/>
      <c r="N581" s="368"/>
      <c r="O581" s="368"/>
      <c r="P581" s="368"/>
      <c r="Q581" s="368"/>
      <c r="R581" s="368"/>
      <c r="S581" s="368"/>
      <c r="T581" s="368"/>
      <c r="U581" s="368"/>
      <c r="V581" s="368"/>
      <c r="W581" s="26"/>
      <c r="X581" s="26"/>
      <c r="Y581" s="26"/>
      <c r="Z581" s="26"/>
    </row>
    <row r="582">
      <c r="A582" s="368"/>
      <c r="B582" s="368"/>
      <c r="C582" s="368"/>
      <c r="D582" s="368"/>
      <c r="E582" s="368"/>
      <c r="F582" s="368"/>
      <c r="G582" s="368"/>
      <c r="H582" s="368"/>
      <c r="I582" s="368"/>
      <c r="J582" s="368"/>
      <c r="K582" s="368"/>
      <c r="L582" s="368"/>
      <c r="M582" s="368"/>
      <c r="N582" s="368"/>
      <c r="O582" s="368"/>
      <c r="P582" s="368"/>
      <c r="Q582" s="368"/>
      <c r="R582" s="368"/>
      <c r="S582" s="368"/>
      <c r="T582" s="368"/>
      <c r="U582" s="368"/>
      <c r="V582" s="368"/>
      <c r="W582" s="26"/>
      <c r="X582" s="26"/>
      <c r="Y582" s="26"/>
      <c r="Z582" s="26"/>
    </row>
    <row r="583">
      <c r="A583" s="368"/>
      <c r="B583" s="368"/>
      <c r="C583" s="368"/>
      <c r="D583" s="368"/>
      <c r="E583" s="368"/>
      <c r="F583" s="368"/>
      <c r="G583" s="368"/>
      <c r="H583" s="368"/>
      <c r="I583" s="368"/>
      <c r="J583" s="368"/>
      <c r="K583" s="368"/>
      <c r="L583" s="368"/>
      <c r="M583" s="368"/>
      <c r="N583" s="368"/>
      <c r="O583" s="368"/>
      <c r="P583" s="368"/>
      <c r="Q583" s="368"/>
      <c r="R583" s="368"/>
      <c r="S583" s="368"/>
      <c r="T583" s="368"/>
      <c r="U583" s="368"/>
      <c r="V583" s="368"/>
      <c r="W583" s="26"/>
      <c r="X583" s="26"/>
      <c r="Y583" s="26"/>
      <c r="Z583" s="26"/>
    </row>
    <row r="584">
      <c r="A584" s="368"/>
      <c r="B584" s="368"/>
      <c r="C584" s="368"/>
      <c r="D584" s="368"/>
      <c r="E584" s="368"/>
      <c r="F584" s="368"/>
      <c r="G584" s="368"/>
      <c r="H584" s="368"/>
      <c r="I584" s="368"/>
      <c r="J584" s="368"/>
      <c r="K584" s="368"/>
      <c r="L584" s="368"/>
      <c r="M584" s="368"/>
      <c r="N584" s="368"/>
      <c r="O584" s="368"/>
      <c r="P584" s="368"/>
      <c r="Q584" s="368"/>
      <c r="R584" s="368"/>
      <c r="S584" s="368"/>
      <c r="T584" s="368"/>
      <c r="U584" s="368"/>
      <c r="V584" s="368"/>
      <c r="W584" s="26"/>
      <c r="X584" s="26"/>
      <c r="Y584" s="26"/>
      <c r="Z584" s="26"/>
    </row>
    <row r="585">
      <c r="A585" s="368"/>
      <c r="B585" s="368"/>
      <c r="C585" s="368"/>
      <c r="D585" s="368"/>
      <c r="E585" s="368"/>
      <c r="F585" s="368"/>
      <c r="G585" s="368"/>
      <c r="H585" s="368"/>
      <c r="I585" s="368"/>
      <c r="J585" s="368"/>
      <c r="K585" s="368"/>
      <c r="L585" s="368"/>
      <c r="M585" s="368"/>
      <c r="N585" s="368"/>
      <c r="O585" s="368"/>
      <c r="P585" s="368"/>
      <c r="Q585" s="368"/>
      <c r="R585" s="368"/>
      <c r="S585" s="368"/>
      <c r="T585" s="368"/>
      <c r="U585" s="368"/>
      <c r="V585" s="368"/>
      <c r="W585" s="26"/>
      <c r="X585" s="26"/>
      <c r="Y585" s="26"/>
      <c r="Z585" s="26"/>
    </row>
    <row r="586">
      <c r="A586" s="368"/>
      <c r="B586" s="368"/>
      <c r="C586" s="368"/>
      <c r="D586" s="368"/>
      <c r="E586" s="368"/>
      <c r="F586" s="368"/>
      <c r="G586" s="368"/>
      <c r="H586" s="368"/>
      <c r="I586" s="368"/>
      <c r="J586" s="368"/>
      <c r="K586" s="368"/>
      <c r="L586" s="368"/>
      <c r="M586" s="368"/>
      <c r="N586" s="368"/>
      <c r="O586" s="368"/>
      <c r="P586" s="368"/>
      <c r="Q586" s="368"/>
      <c r="R586" s="368"/>
      <c r="S586" s="368"/>
      <c r="T586" s="368"/>
      <c r="U586" s="368"/>
      <c r="V586" s="368"/>
      <c r="W586" s="26"/>
      <c r="X586" s="26"/>
      <c r="Y586" s="26"/>
      <c r="Z586" s="26"/>
    </row>
    <row r="587">
      <c r="A587" s="368"/>
      <c r="B587" s="368"/>
      <c r="C587" s="368"/>
      <c r="D587" s="368"/>
      <c r="E587" s="368"/>
      <c r="F587" s="368"/>
      <c r="G587" s="368"/>
      <c r="H587" s="368"/>
      <c r="I587" s="368"/>
      <c r="J587" s="368"/>
      <c r="K587" s="368"/>
      <c r="L587" s="368"/>
      <c r="M587" s="368"/>
      <c r="N587" s="368"/>
      <c r="O587" s="368"/>
      <c r="P587" s="368"/>
      <c r="Q587" s="368"/>
      <c r="R587" s="368"/>
      <c r="S587" s="368"/>
      <c r="T587" s="368"/>
      <c r="U587" s="368"/>
      <c r="V587" s="368"/>
      <c r="W587" s="26"/>
      <c r="X587" s="26"/>
      <c r="Y587" s="26"/>
      <c r="Z587" s="26"/>
    </row>
    <row r="588">
      <c r="A588" s="368"/>
      <c r="B588" s="368"/>
      <c r="C588" s="368"/>
      <c r="D588" s="368"/>
      <c r="E588" s="368"/>
      <c r="F588" s="368"/>
      <c r="G588" s="368"/>
      <c r="H588" s="368"/>
      <c r="I588" s="368"/>
      <c r="J588" s="368"/>
      <c r="K588" s="368"/>
      <c r="L588" s="368"/>
      <c r="M588" s="368"/>
      <c r="N588" s="368"/>
      <c r="O588" s="368"/>
      <c r="P588" s="368"/>
      <c r="Q588" s="368"/>
      <c r="R588" s="368"/>
      <c r="S588" s="368"/>
      <c r="T588" s="368"/>
      <c r="U588" s="368"/>
      <c r="V588" s="368"/>
      <c r="W588" s="26"/>
      <c r="X588" s="26"/>
      <c r="Y588" s="26"/>
      <c r="Z588" s="26"/>
    </row>
    <row r="589">
      <c r="A589" s="368"/>
      <c r="B589" s="368"/>
      <c r="C589" s="368"/>
      <c r="D589" s="368"/>
      <c r="E589" s="368"/>
      <c r="F589" s="368"/>
      <c r="G589" s="368"/>
      <c r="H589" s="368"/>
      <c r="I589" s="368"/>
      <c r="J589" s="368"/>
      <c r="K589" s="368"/>
      <c r="L589" s="368"/>
      <c r="M589" s="368"/>
      <c r="N589" s="368"/>
      <c r="O589" s="368"/>
      <c r="P589" s="368"/>
      <c r="Q589" s="368"/>
      <c r="R589" s="368"/>
      <c r="S589" s="368"/>
      <c r="T589" s="368"/>
      <c r="U589" s="368"/>
      <c r="V589" s="368"/>
      <c r="W589" s="26"/>
      <c r="X589" s="26"/>
      <c r="Y589" s="26"/>
      <c r="Z589" s="26"/>
    </row>
    <row r="590">
      <c r="A590" s="368"/>
      <c r="B590" s="368"/>
      <c r="C590" s="368"/>
      <c r="D590" s="368"/>
      <c r="E590" s="368"/>
      <c r="F590" s="368"/>
      <c r="G590" s="368"/>
      <c r="H590" s="368"/>
      <c r="I590" s="368"/>
      <c r="J590" s="368"/>
      <c r="K590" s="368"/>
      <c r="L590" s="368"/>
      <c r="M590" s="368"/>
      <c r="N590" s="368"/>
      <c r="O590" s="368"/>
      <c r="P590" s="368"/>
      <c r="Q590" s="368"/>
      <c r="R590" s="368"/>
      <c r="S590" s="368"/>
      <c r="T590" s="368"/>
      <c r="U590" s="368"/>
      <c r="V590" s="368"/>
      <c r="W590" s="26"/>
      <c r="X590" s="26"/>
      <c r="Y590" s="26"/>
      <c r="Z590" s="26"/>
    </row>
    <row r="591">
      <c r="A591" s="368"/>
      <c r="B591" s="368"/>
      <c r="C591" s="368"/>
      <c r="D591" s="368"/>
      <c r="E591" s="368"/>
      <c r="F591" s="368"/>
      <c r="G591" s="368"/>
      <c r="H591" s="368"/>
      <c r="I591" s="368"/>
      <c r="J591" s="368"/>
      <c r="K591" s="368"/>
      <c r="L591" s="368"/>
      <c r="M591" s="368"/>
      <c r="N591" s="368"/>
      <c r="O591" s="368"/>
      <c r="P591" s="368"/>
      <c r="Q591" s="368"/>
      <c r="R591" s="368"/>
      <c r="S591" s="368"/>
      <c r="T591" s="368"/>
      <c r="U591" s="368"/>
      <c r="V591" s="368"/>
      <c r="W591" s="26"/>
      <c r="X591" s="26"/>
      <c r="Y591" s="26"/>
      <c r="Z591" s="26"/>
    </row>
    <row r="592">
      <c r="A592" s="368"/>
      <c r="B592" s="368"/>
      <c r="C592" s="368"/>
      <c r="D592" s="368"/>
      <c r="E592" s="368"/>
      <c r="F592" s="368"/>
      <c r="G592" s="368"/>
      <c r="H592" s="368"/>
      <c r="I592" s="368"/>
      <c r="J592" s="368"/>
      <c r="K592" s="368"/>
      <c r="L592" s="368"/>
      <c r="M592" s="368"/>
      <c r="N592" s="368"/>
      <c r="O592" s="368"/>
      <c r="P592" s="368"/>
      <c r="Q592" s="368"/>
      <c r="R592" s="368"/>
      <c r="S592" s="368"/>
      <c r="T592" s="368"/>
      <c r="U592" s="368"/>
      <c r="V592" s="368"/>
      <c r="W592" s="26"/>
      <c r="X592" s="26"/>
      <c r="Y592" s="26"/>
      <c r="Z592" s="26"/>
    </row>
    <row r="593">
      <c r="A593" s="368"/>
      <c r="B593" s="368"/>
      <c r="C593" s="368"/>
      <c r="D593" s="368"/>
      <c r="E593" s="368"/>
      <c r="F593" s="368"/>
      <c r="G593" s="368"/>
      <c r="H593" s="368"/>
      <c r="I593" s="368"/>
      <c r="J593" s="368"/>
      <c r="K593" s="368"/>
      <c r="L593" s="368"/>
      <c r="M593" s="368"/>
      <c r="N593" s="368"/>
      <c r="O593" s="368"/>
      <c r="P593" s="368"/>
      <c r="Q593" s="368"/>
      <c r="R593" s="368"/>
      <c r="S593" s="368"/>
      <c r="T593" s="368"/>
      <c r="U593" s="368"/>
      <c r="V593" s="368"/>
      <c r="W593" s="26"/>
      <c r="X593" s="26"/>
      <c r="Y593" s="26"/>
      <c r="Z593" s="26"/>
    </row>
    <row r="594">
      <c r="A594" s="368"/>
      <c r="B594" s="368"/>
      <c r="C594" s="368"/>
      <c r="D594" s="368"/>
      <c r="E594" s="368"/>
      <c r="F594" s="368"/>
      <c r="G594" s="368"/>
      <c r="H594" s="368"/>
      <c r="I594" s="368"/>
      <c r="J594" s="368"/>
      <c r="K594" s="368"/>
      <c r="L594" s="368"/>
      <c r="M594" s="368"/>
      <c r="N594" s="368"/>
      <c r="O594" s="368"/>
      <c r="P594" s="368"/>
      <c r="Q594" s="368"/>
      <c r="R594" s="368"/>
      <c r="S594" s="368"/>
      <c r="T594" s="368"/>
      <c r="U594" s="368"/>
      <c r="V594" s="368"/>
      <c r="W594" s="26"/>
      <c r="X594" s="26"/>
      <c r="Y594" s="26"/>
      <c r="Z594" s="26"/>
    </row>
    <row r="595">
      <c r="A595" s="368"/>
      <c r="B595" s="368"/>
      <c r="C595" s="368"/>
      <c r="D595" s="368"/>
      <c r="E595" s="368"/>
      <c r="F595" s="368"/>
      <c r="G595" s="368"/>
      <c r="H595" s="368"/>
      <c r="I595" s="368"/>
      <c r="J595" s="368"/>
      <c r="K595" s="368"/>
      <c r="L595" s="368"/>
      <c r="M595" s="368"/>
      <c r="N595" s="368"/>
      <c r="O595" s="368"/>
      <c r="P595" s="368"/>
      <c r="Q595" s="368"/>
      <c r="R595" s="368"/>
      <c r="S595" s="368"/>
      <c r="T595" s="368"/>
      <c r="U595" s="368"/>
      <c r="V595" s="368"/>
      <c r="W595" s="26"/>
      <c r="X595" s="26"/>
      <c r="Y595" s="26"/>
      <c r="Z595" s="26"/>
    </row>
    <row r="596">
      <c r="A596" s="368"/>
      <c r="B596" s="368"/>
      <c r="C596" s="368"/>
      <c r="D596" s="368"/>
      <c r="E596" s="368"/>
      <c r="F596" s="368"/>
      <c r="G596" s="368"/>
      <c r="H596" s="368"/>
      <c r="I596" s="368"/>
      <c r="J596" s="368"/>
      <c r="K596" s="368"/>
      <c r="L596" s="368"/>
      <c r="M596" s="368"/>
      <c r="N596" s="368"/>
      <c r="O596" s="368"/>
      <c r="P596" s="368"/>
      <c r="Q596" s="368"/>
      <c r="R596" s="368"/>
      <c r="S596" s="368"/>
      <c r="T596" s="368"/>
      <c r="U596" s="368"/>
      <c r="V596" s="368"/>
      <c r="W596" s="26"/>
      <c r="X596" s="26"/>
      <c r="Y596" s="26"/>
      <c r="Z596" s="26"/>
    </row>
    <row r="597">
      <c r="A597" s="368"/>
      <c r="B597" s="368"/>
      <c r="C597" s="368"/>
      <c r="D597" s="368"/>
      <c r="E597" s="368"/>
      <c r="F597" s="368"/>
      <c r="G597" s="368"/>
      <c r="H597" s="368"/>
      <c r="I597" s="368"/>
      <c r="J597" s="368"/>
      <c r="K597" s="368"/>
      <c r="L597" s="368"/>
      <c r="M597" s="368"/>
      <c r="N597" s="368"/>
      <c r="O597" s="368"/>
      <c r="P597" s="368"/>
      <c r="Q597" s="368"/>
      <c r="R597" s="368"/>
      <c r="S597" s="368"/>
      <c r="T597" s="368"/>
      <c r="U597" s="368"/>
      <c r="V597" s="368"/>
      <c r="W597" s="26"/>
      <c r="X597" s="26"/>
      <c r="Y597" s="26"/>
      <c r="Z597" s="26"/>
    </row>
    <row r="598">
      <c r="A598" s="368"/>
      <c r="B598" s="368"/>
      <c r="C598" s="368"/>
      <c r="D598" s="368"/>
      <c r="E598" s="368"/>
      <c r="F598" s="368"/>
      <c r="G598" s="368"/>
      <c r="H598" s="368"/>
      <c r="I598" s="368"/>
      <c r="J598" s="368"/>
      <c r="K598" s="368"/>
      <c r="L598" s="368"/>
      <c r="M598" s="368"/>
      <c r="N598" s="368"/>
      <c r="O598" s="368"/>
      <c r="P598" s="368"/>
      <c r="Q598" s="368"/>
      <c r="R598" s="368"/>
      <c r="S598" s="368"/>
      <c r="T598" s="368"/>
      <c r="U598" s="368"/>
      <c r="V598" s="368"/>
      <c r="W598" s="26"/>
      <c r="X598" s="26"/>
      <c r="Y598" s="26"/>
      <c r="Z598" s="26"/>
    </row>
    <row r="599">
      <c r="A599" s="368"/>
      <c r="B599" s="368"/>
      <c r="C599" s="368"/>
      <c r="D599" s="368"/>
      <c r="E599" s="368"/>
      <c r="F599" s="368"/>
      <c r="G599" s="368"/>
      <c r="H599" s="368"/>
      <c r="I599" s="368"/>
      <c r="J599" s="368"/>
      <c r="K599" s="368"/>
      <c r="L599" s="368"/>
      <c r="M599" s="368"/>
      <c r="N599" s="368"/>
      <c r="O599" s="368"/>
      <c r="P599" s="368"/>
      <c r="Q599" s="368"/>
      <c r="R599" s="368"/>
      <c r="S599" s="368"/>
      <c r="T599" s="368"/>
      <c r="U599" s="368"/>
      <c r="V599" s="368"/>
      <c r="W599" s="26"/>
      <c r="X599" s="26"/>
      <c r="Y599" s="26"/>
      <c r="Z599" s="26"/>
    </row>
    <row r="600">
      <c r="A600" s="368"/>
      <c r="B600" s="368"/>
      <c r="C600" s="368"/>
      <c r="D600" s="368"/>
      <c r="E600" s="368"/>
      <c r="F600" s="368"/>
      <c r="G600" s="368"/>
      <c r="H600" s="368"/>
      <c r="I600" s="368"/>
      <c r="J600" s="368"/>
      <c r="K600" s="368"/>
      <c r="L600" s="368"/>
      <c r="M600" s="368"/>
      <c r="N600" s="368"/>
      <c r="O600" s="368"/>
      <c r="P600" s="368"/>
      <c r="Q600" s="368"/>
      <c r="R600" s="368"/>
      <c r="S600" s="368"/>
      <c r="T600" s="368"/>
      <c r="U600" s="368"/>
      <c r="V600" s="368"/>
      <c r="W600" s="26"/>
      <c r="X600" s="26"/>
      <c r="Y600" s="26"/>
      <c r="Z600" s="26"/>
    </row>
    <row r="601">
      <c r="A601" s="368"/>
      <c r="B601" s="368"/>
      <c r="C601" s="368"/>
      <c r="D601" s="368"/>
      <c r="E601" s="368"/>
      <c r="F601" s="368"/>
      <c r="G601" s="368"/>
      <c r="H601" s="368"/>
      <c r="I601" s="368"/>
      <c r="J601" s="368"/>
      <c r="K601" s="368"/>
      <c r="L601" s="368"/>
      <c r="M601" s="368"/>
      <c r="N601" s="368"/>
      <c r="O601" s="368"/>
      <c r="P601" s="368"/>
      <c r="Q601" s="368"/>
      <c r="R601" s="368"/>
      <c r="S601" s="368"/>
      <c r="T601" s="368"/>
      <c r="U601" s="368"/>
      <c r="V601" s="368"/>
      <c r="W601" s="26"/>
      <c r="X601" s="26"/>
      <c r="Y601" s="26"/>
      <c r="Z601" s="26"/>
    </row>
    <row r="602">
      <c r="A602" s="368"/>
      <c r="B602" s="368"/>
      <c r="C602" s="368"/>
      <c r="D602" s="368"/>
      <c r="E602" s="368"/>
      <c r="F602" s="368"/>
      <c r="G602" s="368"/>
      <c r="H602" s="368"/>
      <c r="I602" s="368"/>
      <c r="J602" s="368"/>
      <c r="K602" s="368"/>
      <c r="L602" s="368"/>
      <c r="M602" s="368"/>
      <c r="N602" s="368"/>
      <c r="O602" s="368"/>
      <c r="P602" s="368"/>
      <c r="Q602" s="368"/>
      <c r="R602" s="368"/>
      <c r="S602" s="368"/>
      <c r="T602" s="368"/>
      <c r="U602" s="368"/>
      <c r="V602" s="368"/>
      <c r="W602" s="26"/>
      <c r="X602" s="26"/>
      <c r="Y602" s="26"/>
      <c r="Z602" s="26"/>
    </row>
    <row r="603">
      <c r="A603" s="368"/>
      <c r="B603" s="368"/>
      <c r="C603" s="368"/>
      <c r="D603" s="368"/>
      <c r="E603" s="368"/>
      <c r="F603" s="368"/>
      <c r="G603" s="368"/>
      <c r="H603" s="368"/>
      <c r="I603" s="368"/>
      <c r="J603" s="368"/>
      <c r="K603" s="368"/>
      <c r="L603" s="368"/>
      <c r="M603" s="368"/>
      <c r="N603" s="368"/>
      <c r="O603" s="368"/>
      <c r="P603" s="368"/>
      <c r="Q603" s="368"/>
      <c r="R603" s="368"/>
      <c r="S603" s="368"/>
      <c r="T603" s="368"/>
      <c r="U603" s="368"/>
      <c r="V603" s="368"/>
      <c r="W603" s="26"/>
      <c r="X603" s="26"/>
      <c r="Y603" s="26"/>
      <c r="Z603" s="26"/>
    </row>
    <row r="604">
      <c r="A604" s="368"/>
      <c r="B604" s="368"/>
      <c r="C604" s="368"/>
      <c r="D604" s="368"/>
      <c r="E604" s="368"/>
      <c r="F604" s="368"/>
      <c r="G604" s="368"/>
      <c r="H604" s="368"/>
      <c r="I604" s="368"/>
      <c r="J604" s="368"/>
      <c r="K604" s="368"/>
      <c r="L604" s="368"/>
      <c r="M604" s="368"/>
      <c r="N604" s="368"/>
      <c r="O604" s="368"/>
      <c r="P604" s="368"/>
      <c r="Q604" s="368"/>
      <c r="R604" s="368"/>
      <c r="S604" s="368"/>
      <c r="T604" s="368"/>
      <c r="U604" s="368"/>
      <c r="V604" s="368"/>
      <c r="W604" s="26"/>
      <c r="X604" s="26"/>
      <c r="Y604" s="26"/>
      <c r="Z604" s="26"/>
    </row>
    <row r="605">
      <c r="A605" s="368"/>
      <c r="B605" s="368"/>
      <c r="C605" s="368"/>
      <c r="D605" s="368"/>
      <c r="E605" s="368"/>
      <c r="F605" s="368"/>
      <c r="G605" s="368"/>
      <c r="H605" s="368"/>
      <c r="I605" s="368"/>
      <c r="J605" s="368"/>
      <c r="K605" s="368"/>
      <c r="L605" s="368"/>
      <c r="M605" s="368"/>
      <c r="N605" s="368"/>
      <c r="O605" s="368"/>
      <c r="P605" s="368"/>
      <c r="Q605" s="368"/>
      <c r="R605" s="368"/>
      <c r="S605" s="368"/>
      <c r="T605" s="368"/>
      <c r="U605" s="368"/>
      <c r="V605" s="368"/>
      <c r="W605" s="26"/>
      <c r="X605" s="26"/>
      <c r="Y605" s="26"/>
      <c r="Z605" s="26"/>
    </row>
    <row r="606">
      <c r="A606" s="368"/>
      <c r="B606" s="368"/>
      <c r="C606" s="368"/>
      <c r="D606" s="368"/>
      <c r="E606" s="368"/>
      <c r="F606" s="368"/>
      <c r="G606" s="368"/>
      <c r="H606" s="368"/>
      <c r="I606" s="368"/>
      <c r="J606" s="368"/>
      <c r="K606" s="368"/>
      <c r="L606" s="368"/>
      <c r="M606" s="368"/>
      <c r="N606" s="368"/>
      <c r="O606" s="368"/>
      <c r="P606" s="368"/>
      <c r="Q606" s="368"/>
      <c r="R606" s="368"/>
      <c r="S606" s="368"/>
      <c r="T606" s="368"/>
      <c r="U606" s="368"/>
      <c r="V606" s="368"/>
      <c r="W606" s="26"/>
      <c r="X606" s="26"/>
      <c r="Y606" s="26"/>
      <c r="Z606" s="26"/>
    </row>
    <row r="607">
      <c r="A607" s="368"/>
      <c r="B607" s="368"/>
      <c r="C607" s="368"/>
      <c r="D607" s="368"/>
      <c r="E607" s="368"/>
      <c r="F607" s="368"/>
      <c r="G607" s="368"/>
      <c r="H607" s="368"/>
      <c r="I607" s="368"/>
      <c r="J607" s="368"/>
      <c r="K607" s="368"/>
      <c r="L607" s="368"/>
      <c r="M607" s="368"/>
      <c r="N607" s="368"/>
      <c r="O607" s="368"/>
      <c r="P607" s="368"/>
      <c r="Q607" s="368"/>
      <c r="R607" s="368"/>
      <c r="S607" s="368"/>
      <c r="T607" s="368"/>
      <c r="U607" s="368"/>
      <c r="V607" s="368"/>
      <c r="W607" s="26"/>
      <c r="X607" s="26"/>
      <c r="Y607" s="26"/>
      <c r="Z607" s="26"/>
    </row>
    <row r="608">
      <c r="A608" s="368"/>
      <c r="B608" s="368"/>
      <c r="C608" s="368"/>
      <c r="D608" s="368"/>
      <c r="E608" s="368"/>
      <c r="F608" s="368"/>
      <c r="G608" s="368"/>
      <c r="H608" s="368"/>
      <c r="I608" s="368"/>
      <c r="J608" s="368"/>
      <c r="K608" s="368"/>
      <c r="L608" s="368"/>
      <c r="M608" s="368"/>
      <c r="N608" s="368"/>
      <c r="O608" s="368"/>
      <c r="P608" s="368"/>
      <c r="Q608" s="368"/>
      <c r="R608" s="368"/>
      <c r="S608" s="368"/>
      <c r="T608" s="368"/>
      <c r="U608" s="368"/>
      <c r="V608" s="368"/>
      <c r="W608" s="26"/>
      <c r="X608" s="26"/>
      <c r="Y608" s="26"/>
      <c r="Z608" s="26"/>
    </row>
    <row r="609">
      <c r="A609" s="368"/>
      <c r="B609" s="368"/>
      <c r="C609" s="368"/>
      <c r="D609" s="368"/>
      <c r="E609" s="368"/>
      <c r="F609" s="368"/>
      <c r="G609" s="368"/>
      <c r="H609" s="368"/>
      <c r="I609" s="368"/>
      <c r="J609" s="368"/>
      <c r="K609" s="368"/>
      <c r="L609" s="368"/>
      <c r="M609" s="368"/>
      <c r="N609" s="368"/>
      <c r="O609" s="368"/>
      <c r="P609" s="368"/>
      <c r="Q609" s="368"/>
      <c r="R609" s="368"/>
      <c r="S609" s="368"/>
      <c r="T609" s="368"/>
      <c r="U609" s="368"/>
      <c r="V609" s="368"/>
      <c r="W609" s="26"/>
      <c r="X609" s="26"/>
      <c r="Y609" s="26"/>
      <c r="Z609" s="26"/>
    </row>
    <row r="610">
      <c r="A610" s="368"/>
      <c r="B610" s="368"/>
      <c r="C610" s="368"/>
      <c r="D610" s="368"/>
      <c r="E610" s="368"/>
      <c r="F610" s="368"/>
      <c r="G610" s="368"/>
      <c r="H610" s="368"/>
      <c r="I610" s="368"/>
      <c r="J610" s="368"/>
      <c r="K610" s="368"/>
      <c r="L610" s="368"/>
      <c r="M610" s="368"/>
      <c r="N610" s="368"/>
      <c r="O610" s="368"/>
      <c r="P610" s="368"/>
      <c r="Q610" s="368"/>
      <c r="R610" s="368"/>
      <c r="S610" s="368"/>
      <c r="T610" s="368"/>
      <c r="U610" s="368"/>
      <c r="V610" s="368"/>
      <c r="W610" s="26"/>
      <c r="X610" s="26"/>
      <c r="Y610" s="26"/>
      <c r="Z610" s="26"/>
    </row>
    <row r="611">
      <c r="A611" s="368"/>
      <c r="B611" s="368"/>
      <c r="C611" s="368"/>
      <c r="D611" s="368"/>
      <c r="E611" s="368"/>
      <c r="F611" s="368"/>
      <c r="G611" s="368"/>
      <c r="H611" s="368"/>
      <c r="I611" s="368"/>
      <c r="J611" s="368"/>
      <c r="K611" s="368"/>
      <c r="L611" s="368"/>
      <c r="M611" s="368"/>
      <c r="N611" s="368"/>
      <c r="O611" s="368"/>
      <c r="P611" s="368"/>
      <c r="Q611" s="368"/>
      <c r="R611" s="368"/>
      <c r="S611" s="368"/>
      <c r="T611" s="368"/>
      <c r="U611" s="368"/>
      <c r="V611" s="368"/>
      <c r="W611" s="26"/>
      <c r="X611" s="26"/>
      <c r="Y611" s="26"/>
      <c r="Z611" s="26"/>
    </row>
    <row r="612">
      <c r="A612" s="368"/>
      <c r="B612" s="368"/>
      <c r="C612" s="368"/>
      <c r="D612" s="368"/>
      <c r="E612" s="368"/>
      <c r="F612" s="368"/>
      <c r="G612" s="368"/>
      <c r="H612" s="368"/>
      <c r="I612" s="368"/>
      <c r="J612" s="368"/>
      <c r="K612" s="368"/>
      <c r="L612" s="368"/>
      <c r="M612" s="368"/>
      <c r="N612" s="368"/>
      <c r="O612" s="368"/>
      <c r="P612" s="368"/>
      <c r="Q612" s="368"/>
      <c r="R612" s="368"/>
      <c r="S612" s="368"/>
      <c r="T612" s="368"/>
      <c r="U612" s="368"/>
      <c r="V612" s="368"/>
      <c r="W612" s="26"/>
      <c r="X612" s="26"/>
      <c r="Y612" s="26"/>
      <c r="Z612" s="26"/>
    </row>
    <row r="613">
      <c r="A613" s="368"/>
      <c r="B613" s="368"/>
      <c r="C613" s="368"/>
      <c r="D613" s="368"/>
      <c r="E613" s="368"/>
      <c r="F613" s="368"/>
      <c r="G613" s="368"/>
      <c r="H613" s="368"/>
      <c r="I613" s="368"/>
      <c r="J613" s="368"/>
      <c r="K613" s="368"/>
      <c r="L613" s="368"/>
      <c r="M613" s="368"/>
      <c r="N613" s="368"/>
      <c r="O613" s="368"/>
      <c r="P613" s="368"/>
      <c r="Q613" s="368"/>
      <c r="R613" s="368"/>
      <c r="S613" s="368"/>
      <c r="T613" s="368"/>
      <c r="U613" s="368"/>
      <c r="V613" s="368"/>
      <c r="W613" s="26"/>
      <c r="X613" s="26"/>
      <c r="Y613" s="26"/>
      <c r="Z613" s="26"/>
    </row>
    <row r="614">
      <c r="A614" s="368"/>
      <c r="B614" s="368"/>
      <c r="C614" s="368"/>
      <c r="D614" s="368"/>
      <c r="E614" s="368"/>
      <c r="F614" s="368"/>
      <c r="G614" s="368"/>
      <c r="H614" s="368"/>
      <c r="I614" s="368"/>
      <c r="J614" s="368"/>
      <c r="K614" s="368"/>
      <c r="L614" s="368"/>
      <c r="M614" s="368"/>
      <c r="N614" s="368"/>
      <c r="O614" s="368"/>
      <c r="P614" s="368"/>
      <c r="Q614" s="368"/>
      <c r="R614" s="368"/>
      <c r="S614" s="368"/>
      <c r="T614" s="368"/>
      <c r="U614" s="368"/>
      <c r="V614" s="368"/>
      <c r="W614" s="26"/>
      <c r="X614" s="26"/>
      <c r="Y614" s="26"/>
      <c r="Z614" s="26"/>
    </row>
    <row r="615">
      <c r="A615" s="368"/>
      <c r="B615" s="368"/>
      <c r="C615" s="368"/>
      <c r="D615" s="368"/>
      <c r="E615" s="368"/>
      <c r="F615" s="368"/>
      <c r="G615" s="368"/>
      <c r="H615" s="368"/>
      <c r="I615" s="368"/>
      <c r="J615" s="368"/>
      <c r="K615" s="368"/>
      <c r="L615" s="368"/>
      <c r="M615" s="368"/>
      <c r="N615" s="368"/>
      <c r="O615" s="368"/>
      <c r="P615" s="368"/>
      <c r="Q615" s="368"/>
      <c r="R615" s="368"/>
      <c r="S615" s="368"/>
      <c r="T615" s="368"/>
      <c r="U615" s="368"/>
      <c r="V615" s="368"/>
      <c r="W615" s="26"/>
      <c r="X615" s="26"/>
      <c r="Y615" s="26"/>
      <c r="Z615" s="26"/>
    </row>
    <row r="616">
      <c r="A616" s="368"/>
      <c r="B616" s="368"/>
      <c r="C616" s="368"/>
      <c r="D616" s="368"/>
      <c r="E616" s="368"/>
      <c r="F616" s="368"/>
      <c r="G616" s="368"/>
      <c r="H616" s="368"/>
      <c r="I616" s="368"/>
      <c r="J616" s="368"/>
      <c r="K616" s="368"/>
      <c r="L616" s="368"/>
      <c r="M616" s="368"/>
      <c r="N616" s="368"/>
      <c r="O616" s="368"/>
      <c r="P616" s="368"/>
      <c r="Q616" s="368"/>
      <c r="R616" s="368"/>
      <c r="S616" s="368"/>
      <c r="T616" s="368"/>
      <c r="U616" s="368"/>
      <c r="V616" s="368"/>
      <c r="W616" s="26"/>
      <c r="X616" s="26"/>
      <c r="Y616" s="26"/>
      <c r="Z616" s="26"/>
    </row>
    <row r="617">
      <c r="A617" s="368"/>
      <c r="B617" s="368"/>
      <c r="C617" s="368"/>
      <c r="D617" s="368"/>
      <c r="E617" s="368"/>
      <c r="F617" s="368"/>
      <c r="G617" s="368"/>
      <c r="H617" s="368"/>
      <c r="I617" s="368"/>
      <c r="J617" s="368"/>
      <c r="K617" s="368"/>
      <c r="L617" s="368"/>
      <c r="M617" s="368"/>
      <c r="N617" s="368"/>
      <c r="O617" s="368"/>
      <c r="P617" s="368"/>
      <c r="Q617" s="368"/>
      <c r="R617" s="368"/>
      <c r="S617" s="368"/>
      <c r="T617" s="368"/>
      <c r="U617" s="368"/>
      <c r="V617" s="368"/>
      <c r="W617" s="26"/>
      <c r="X617" s="26"/>
      <c r="Y617" s="26"/>
      <c r="Z617" s="26"/>
    </row>
    <row r="618">
      <c r="A618" s="368"/>
      <c r="B618" s="368"/>
      <c r="C618" s="368"/>
      <c r="D618" s="368"/>
      <c r="E618" s="368"/>
      <c r="F618" s="368"/>
      <c r="G618" s="368"/>
      <c r="H618" s="368"/>
      <c r="I618" s="368"/>
      <c r="J618" s="368"/>
      <c r="K618" s="368"/>
      <c r="L618" s="368"/>
      <c r="M618" s="368"/>
      <c r="N618" s="368"/>
      <c r="O618" s="368"/>
      <c r="P618" s="368"/>
      <c r="Q618" s="368"/>
      <c r="R618" s="368"/>
      <c r="S618" s="368"/>
      <c r="T618" s="368"/>
      <c r="U618" s="368"/>
      <c r="V618" s="368"/>
      <c r="W618" s="26"/>
      <c r="X618" s="26"/>
      <c r="Y618" s="26"/>
      <c r="Z618" s="26"/>
    </row>
    <row r="619">
      <c r="A619" s="368"/>
      <c r="B619" s="368"/>
      <c r="C619" s="368"/>
      <c r="D619" s="368"/>
      <c r="E619" s="368"/>
      <c r="F619" s="368"/>
      <c r="G619" s="368"/>
      <c r="H619" s="368"/>
      <c r="I619" s="368"/>
      <c r="J619" s="368"/>
      <c r="K619" s="368"/>
      <c r="L619" s="368"/>
      <c r="M619" s="368"/>
      <c r="N619" s="368"/>
      <c r="O619" s="368"/>
      <c r="P619" s="368"/>
      <c r="Q619" s="368"/>
      <c r="R619" s="368"/>
      <c r="S619" s="368"/>
      <c r="T619" s="368"/>
      <c r="U619" s="368"/>
      <c r="V619" s="368"/>
      <c r="W619" s="26"/>
      <c r="X619" s="26"/>
      <c r="Y619" s="26"/>
      <c r="Z619" s="26"/>
    </row>
    <row r="620">
      <c r="A620" s="368"/>
      <c r="B620" s="368"/>
      <c r="C620" s="368"/>
      <c r="D620" s="368"/>
      <c r="E620" s="368"/>
      <c r="F620" s="368"/>
      <c r="G620" s="368"/>
      <c r="H620" s="368"/>
      <c r="I620" s="368"/>
      <c r="J620" s="368"/>
      <c r="K620" s="368"/>
      <c r="L620" s="368"/>
      <c r="M620" s="368"/>
      <c r="N620" s="368"/>
      <c r="O620" s="368"/>
      <c r="P620" s="368"/>
      <c r="Q620" s="368"/>
      <c r="R620" s="368"/>
      <c r="S620" s="368"/>
      <c r="T620" s="368"/>
      <c r="U620" s="368"/>
      <c r="V620" s="368"/>
      <c r="W620" s="26"/>
      <c r="X620" s="26"/>
      <c r="Y620" s="26"/>
      <c r="Z620" s="26"/>
    </row>
    <row r="621">
      <c r="A621" s="368"/>
      <c r="B621" s="368"/>
      <c r="C621" s="368"/>
      <c r="D621" s="368"/>
      <c r="E621" s="368"/>
      <c r="F621" s="368"/>
      <c r="G621" s="368"/>
      <c r="H621" s="368"/>
      <c r="I621" s="368"/>
      <c r="J621" s="368"/>
      <c r="K621" s="368"/>
      <c r="L621" s="368"/>
      <c r="M621" s="368"/>
      <c r="N621" s="368"/>
      <c r="O621" s="368"/>
      <c r="P621" s="368"/>
      <c r="Q621" s="368"/>
      <c r="R621" s="368"/>
      <c r="S621" s="368"/>
      <c r="T621" s="368"/>
      <c r="U621" s="368"/>
      <c r="V621" s="368"/>
      <c r="W621" s="26"/>
      <c r="X621" s="26"/>
      <c r="Y621" s="26"/>
      <c r="Z621" s="26"/>
    </row>
    <row r="622">
      <c r="A622" s="368"/>
      <c r="B622" s="368"/>
      <c r="C622" s="368"/>
      <c r="D622" s="368"/>
      <c r="E622" s="368"/>
      <c r="F622" s="368"/>
      <c r="G622" s="368"/>
      <c r="H622" s="368"/>
      <c r="I622" s="368"/>
      <c r="J622" s="368"/>
      <c r="K622" s="368"/>
      <c r="L622" s="368"/>
      <c r="M622" s="368"/>
      <c r="N622" s="368"/>
      <c r="O622" s="368"/>
      <c r="P622" s="368"/>
      <c r="Q622" s="368"/>
      <c r="R622" s="368"/>
      <c r="S622" s="368"/>
      <c r="T622" s="368"/>
      <c r="U622" s="368"/>
      <c r="V622" s="368"/>
      <c r="W622" s="26"/>
      <c r="X622" s="26"/>
      <c r="Y622" s="26"/>
      <c r="Z622" s="26"/>
    </row>
    <row r="623">
      <c r="A623" s="368"/>
      <c r="B623" s="368"/>
      <c r="C623" s="368"/>
      <c r="D623" s="368"/>
      <c r="E623" s="368"/>
      <c r="F623" s="368"/>
      <c r="G623" s="368"/>
      <c r="H623" s="368"/>
      <c r="I623" s="368"/>
      <c r="J623" s="368"/>
      <c r="K623" s="368"/>
      <c r="L623" s="368"/>
      <c r="M623" s="368"/>
      <c r="N623" s="368"/>
      <c r="O623" s="368"/>
      <c r="P623" s="368"/>
      <c r="Q623" s="368"/>
      <c r="R623" s="368"/>
      <c r="S623" s="368"/>
      <c r="T623" s="368"/>
      <c r="U623" s="368"/>
      <c r="V623" s="368"/>
      <c r="W623" s="26"/>
      <c r="X623" s="26"/>
      <c r="Y623" s="26"/>
      <c r="Z623" s="26"/>
    </row>
    <row r="624">
      <c r="A624" s="368"/>
      <c r="B624" s="368"/>
      <c r="C624" s="368"/>
      <c r="D624" s="368"/>
      <c r="E624" s="368"/>
      <c r="F624" s="368"/>
      <c r="G624" s="368"/>
      <c r="H624" s="368"/>
      <c r="I624" s="368"/>
      <c r="J624" s="368"/>
      <c r="K624" s="368"/>
      <c r="L624" s="368"/>
      <c r="M624" s="368"/>
      <c r="N624" s="368"/>
      <c r="O624" s="368"/>
      <c r="P624" s="368"/>
      <c r="Q624" s="368"/>
      <c r="R624" s="368"/>
      <c r="S624" s="368"/>
      <c r="T624" s="368"/>
      <c r="U624" s="368"/>
      <c r="V624" s="368"/>
      <c r="W624" s="26"/>
      <c r="X624" s="26"/>
      <c r="Y624" s="26"/>
      <c r="Z624" s="26"/>
    </row>
    <row r="625">
      <c r="A625" s="368"/>
      <c r="B625" s="368"/>
      <c r="C625" s="368"/>
      <c r="D625" s="368"/>
      <c r="E625" s="368"/>
      <c r="F625" s="368"/>
      <c r="G625" s="368"/>
      <c r="H625" s="368"/>
      <c r="I625" s="368"/>
      <c r="J625" s="368"/>
      <c r="K625" s="368"/>
      <c r="L625" s="368"/>
      <c r="M625" s="368"/>
      <c r="N625" s="368"/>
      <c r="O625" s="368"/>
      <c r="P625" s="368"/>
      <c r="Q625" s="368"/>
      <c r="R625" s="368"/>
      <c r="S625" s="368"/>
      <c r="T625" s="368"/>
      <c r="U625" s="368"/>
      <c r="V625" s="368"/>
      <c r="W625" s="26"/>
      <c r="X625" s="26"/>
      <c r="Y625" s="26"/>
      <c r="Z625" s="26"/>
    </row>
    <row r="626">
      <c r="A626" s="368"/>
      <c r="B626" s="368"/>
      <c r="C626" s="368"/>
      <c r="D626" s="368"/>
      <c r="E626" s="368"/>
      <c r="F626" s="368"/>
      <c r="G626" s="368"/>
      <c r="H626" s="368"/>
      <c r="I626" s="368"/>
      <c r="J626" s="368"/>
      <c r="K626" s="368"/>
      <c r="L626" s="368"/>
      <c r="M626" s="368"/>
      <c r="N626" s="368"/>
      <c r="O626" s="368"/>
      <c r="P626" s="368"/>
      <c r="Q626" s="368"/>
      <c r="R626" s="368"/>
      <c r="S626" s="368"/>
      <c r="T626" s="368"/>
      <c r="U626" s="368"/>
      <c r="V626" s="368"/>
      <c r="W626" s="26"/>
      <c r="X626" s="26"/>
      <c r="Y626" s="26"/>
      <c r="Z626" s="26"/>
    </row>
    <row r="627">
      <c r="A627" s="368"/>
      <c r="B627" s="368"/>
      <c r="C627" s="368"/>
      <c r="D627" s="368"/>
      <c r="E627" s="368"/>
      <c r="F627" s="368"/>
      <c r="G627" s="368"/>
      <c r="H627" s="368"/>
      <c r="I627" s="368"/>
      <c r="J627" s="368"/>
      <c r="K627" s="368"/>
      <c r="L627" s="368"/>
      <c r="M627" s="368"/>
      <c r="N627" s="368"/>
      <c r="O627" s="368"/>
      <c r="P627" s="368"/>
      <c r="Q627" s="368"/>
      <c r="R627" s="368"/>
      <c r="S627" s="368"/>
      <c r="T627" s="368"/>
      <c r="U627" s="368"/>
      <c r="V627" s="368"/>
      <c r="W627" s="26"/>
      <c r="X627" s="26"/>
      <c r="Y627" s="26"/>
      <c r="Z627" s="26"/>
    </row>
    <row r="628">
      <c r="A628" s="368"/>
      <c r="B628" s="368"/>
      <c r="C628" s="368"/>
      <c r="D628" s="368"/>
      <c r="E628" s="368"/>
      <c r="F628" s="368"/>
      <c r="G628" s="368"/>
      <c r="H628" s="368"/>
      <c r="I628" s="368"/>
      <c r="J628" s="368"/>
      <c r="K628" s="368"/>
      <c r="L628" s="368"/>
      <c r="M628" s="368"/>
      <c r="N628" s="368"/>
      <c r="O628" s="368"/>
      <c r="P628" s="368"/>
      <c r="Q628" s="368"/>
      <c r="R628" s="368"/>
      <c r="S628" s="368"/>
      <c r="T628" s="368"/>
      <c r="U628" s="368"/>
      <c r="V628" s="368"/>
      <c r="W628" s="26"/>
      <c r="X628" s="26"/>
      <c r="Y628" s="26"/>
      <c r="Z628" s="26"/>
    </row>
    <row r="629">
      <c r="A629" s="368"/>
      <c r="B629" s="368"/>
      <c r="C629" s="368"/>
      <c r="D629" s="368"/>
      <c r="E629" s="368"/>
      <c r="F629" s="368"/>
      <c r="G629" s="368"/>
      <c r="H629" s="368"/>
      <c r="I629" s="368"/>
      <c r="J629" s="368"/>
      <c r="K629" s="368"/>
      <c r="L629" s="368"/>
      <c r="M629" s="368"/>
      <c r="N629" s="368"/>
      <c r="O629" s="368"/>
      <c r="P629" s="368"/>
      <c r="Q629" s="368"/>
      <c r="R629" s="368"/>
      <c r="S629" s="368"/>
      <c r="T629" s="368"/>
      <c r="U629" s="368"/>
      <c r="V629" s="368"/>
      <c r="W629" s="26"/>
      <c r="X629" s="26"/>
      <c r="Y629" s="26"/>
      <c r="Z629" s="26"/>
    </row>
    <row r="630">
      <c r="A630" s="368"/>
      <c r="B630" s="368"/>
      <c r="C630" s="368"/>
      <c r="D630" s="368"/>
      <c r="E630" s="368"/>
      <c r="F630" s="368"/>
      <c r="G630" s="368"/>
      <c r="H630" s="368"/>
      <c r="I630" s="368"/>
      <c r="J630" s="368"/>
      <c r="K630" s="368"/>
      <c r="L630" s="368"/>
      <c r="M630" s="368"/>
      <c r="N630" s="368"/>
      <c r="O630" s="368"/>
      <c r="P630" s="368"/>
      <c r="Q630" s="368"/>
      <c r="R630" s="368"/>
      <c r="S630" s="368"/>
      <c r="T630" s="368"/>
      <c r="U630" s="368"/>
      <c r="V630" s="368"/>
      <c r="W630" s="26"/>
      <c r="X630" s="26"/>
      <c r="Y630" s="26"/>
      <c r="Z630" s="26"/>
    </row>
    <row r="631">
      <c r="A631" s="368"/>
      <c r="B631" s="368"/>
      <c r="C631" s="368"/>
      <c r="D631" s="368"/>
      <c r="E631" s="368"/>
      <c r="F631" s="368"/>
      <c r="G631" s="368"/>
      <c r="H631" s="368"/>
      <c r="I631" s="368"/>
      <c r="J631" s="368"/>
      <c r="K631" s="368"/>
      <c r="L631" s="368"/>
      <c r="M631" s="368"/>
      <c r="N631" s="368"/>
      <c r="O631" s="368"/>
      <c r="P631" s="368"/>
      <c r="Q631" s="368"/>
      <c r="R631" s="368"/>
      <c r="S631" s="368"/>
      <c r="T631" s="368"/>
      <c r="U631" s="368"/>
      <c r="V631" s="368"/>
      <c r="W631" s="26"/>
      <c r="X631" s="26"/>
      <c r="Y631" s="26"/>
      <c r="Z631" s="26"/>
    </row>
    <row r="632">
      <c r="A632" s="368"/>
      <c r="B632" s="368"/>
      <c r="C632" s="368"/>
      <c r="D632" s="368"/>
      <c r="E632" s="368"/>
      <c r="F632" s="368"/>
      <c r="G632" s="368"/>
      <c r="H632" s="368"/>
      <c r="I632" s="368"/>
      <c r="J632" s="368"/>
      <c r="K632" s="368"/>
      <c r="L632" s="368"/>
      <c r="M632" s="368"/>
      <c r="N632" s="368"/>
      <c r="O632" s="368"/>
      <c r="P632" s="368"/>
      <c r="Q632" s="368"/>
      <c r="R632" s="368"/>
      <c r="S632" s="368"/>
      <c r="T632" s="368"/>
      <c r="U632" s="368"/>
      <c r="V632" s="368"/>
      <c r="W632" s="26"/>
      <c r="X632" s="26"/>
      <c r="Y632" s="26"/>
      <c r="Z632" s="26"/>
    </row>
    <row r="633">
      <c r="A633" s="368"/>
      <c r="B633" s="368"/>
      <c r="C633" s="368"/>
      <c r="D633" s="368"/>
      <c r="E633" s="368"/>
      <c r="F633" s="368"/>
      <c r="G633" s="368"/>
      <c r="H633" s="368"/>
      <c r="I633" s="368"/>
      <c r="J633" s="368"/>
      <c r="K633" s="368"/>
      <c r="L633" s="368"/>
      <c r="M633" s="368"/>
      <c r="N633" s="368"/>
      <c r="O633" s="368"/>
      <c r="P633" s="368"/>
      <c r="Q633" s="368"/>
      <c r="R633" s="368"/>
      <c r="S633" s="368"/>
      <c r="T633" s="368"/>
      <c r="U633" s="368"/>
      <c r="V633" s="368"/>
      <c r="W633" s="26"/>
      <c r="X633" s="26"/>
      <c r="Y633" s="26"/>
      <c r="Z633" s="26"/>
    </row>
    <row r="634">
      <c r="A634" s="368"/>
      <c r="B634" s="368"/>
      <c r="C634" s="368"/>
      <c r="D634" s="368"/>
      <c r="E634" s="368"/>
      <c r="F634" s="368"/>
      <c r="G634" s="368"/>
      <c r="H634" s="368"/>
      <c r="I634" s="368"/>
      <c r="J634" s="368"/>
      <c r="K634" s="368"/>
      <c r="L634" s="368"/>
      <c r="M634" s="368"/>
      <c r="N634" s="368"/>
      <c r="O634" s="368"/>
      <c r="P634" s="368"/>
      <c r="Q634" s="368"/>
      <c r="R634" s="368"/>
      <c r="S634" s="368"/>
      <c r="T634" s="368"/>
      <c r="U634" s="368"/>
      <c r="V634" s="368"/>
      <c r="W634" s="26"/>
      <c r="X634" s="26"/>
      <c r="Y634" s="26"/>
      <c r="Z634" s="26"/>
    </row>
    <row r="635">
      <c r="A635" s="368"/>
      <c r="B635" s="368"/>
      <c r="C635" s="368"/>
      <c r="D635" s="368"/>
      <c r="E635" s="368"/>
      <c r="F635" s="368"/>
      <c r="G635" s="368"/>
      <c r="H635" s="368"/>
      <c r="I635" s="368"/>
      <c r="J635" s="368"/>
      <c r="K635" s="368"/>
      <c r="L635" s="368"/>
      <c r="M635" s="368"/>
      <c r="N635" s="368"/>
      <c r="O635" s="368"/>
      <c r="P635" s="368"/>
      <c r="Q635" s="368"/>
      <c r="R635" s="368"/>
      <c r="S635" s="368"/>
      <c r="T635" s="368"/>
      <c r="U635" s="368"/>
      <c r="V635" s="368"/>
      <c r="W635" s="26"/>
      <c r="X635" s="26"/>
      <c r="Y635" s="26"/>
      <c r="Z635" s="26"/>
    </row>
    <row r="636">
      <c r="A636" s="368"/>
      <c r="B636" s="368"/>
      <c r="C636" s="368"/>
      <c r="D636" s="368"/>
      <c r="E636" s="368"/>
      <c r="F636" s="368"/>
      <c r="G636" s="368"/>
      <c r="H636" s="368"/>
      <c r="I636" s="368"/>
      <c r="J636" s="368"/>
      <c r="K636" s="368"/>
      <c r="L636" s="368"/>
      <c r="M636" s="368"/>
      <c r="N636" s="368"/>
      <c r="O636" s="368"/>
      <c r="P636" s="368"/>
      <c r="Q636" s="368"/>
      <c r="R636" s="368"/>
      <c r="S636" s="368"/>
      <c r="T636" s="368"/>
      <c r="U636" s="368"/>
      <c r="V636" s="368"/>
      <c r="W636" s="26"/>
      <c r="X636" s="26"/>
      <c r="Y636" s="26"/>
      <c r="Z636" s="26"/>
    </row>
    <row r="637">
      <c r="A637" s="368"/>
      <c r="B637" s="368"/>
      <c r="C637" s="368"/>
      <c r="D637" s="368"/>
      <c r="E637" s="368"/>
      <c r="F637" s="368"/>
      <c r="G637" s="368"/>
      <c r="H637" s="368"/>
      <c r="I637" s="368"/>
      <c r="J637" s="368"/>
      <c r="K637" s="368"/>
      <c r="L637" s="368"/>
      <c r="M637" s="368"/>
      <c r="N637" s="368"/>
      <c r="O637" s="368"/>
      <c r="P637" s="368"/>
      <c r="Q637" s="368"/>
      <c r="R637" s="368"/>
      <c r="S637" s="368"/>
      <c r="T637" s="368"/>
      <c r="U637" s="368"/>
      <c r="V637" s="368"/>
      <c r="W637" s="26"/>
      <c r="X637" s="26"/>
      <c r="Y637" s="26"/>
      <c r="Z637" s="26"/>
    </row>
    <row r="638">
      <c r="A638" s="368"/>
      <c r="B638" s="368"/>
      <c r="C638" s="368"/>
      <c r="D638" s="368"/>
      <c r="E638" s="368"/>
      <c r="F638" s="368"/>
      <c r="G638" s="368"/>
      <c r="H638" s="368"/>
      <c r="I638" s="368"/>
      <c r="J638" s="368"/>
      <c r="K638" s="368"/>
      <c r="L638" s="368"/>
      <c r="M638" s="368"/>
      <c r="N638" s="368"/>
      <c r="O638" s="368"/>
      <c r="P638" s="368"/>
      <c r="Q638" s="368"/>
      <c r="R638" s="368"/>
      <c r="S638" s="368"/>
      <c r="T638" s="368"/>
      <c r="U638" s="368"/>
      <c r="V638" s="368"/>
      <c r="W638" s="26"/>
      <c r="X638" s="26"/>
      <c r="Y638" s="26"/>
      <c r="Z638" s="26"/>
    </row>
    <row r="639">
      <c r="A639" s="368"/>
      <c r="B639" s="368"/>
      <c r="C639" s="368"/>
      <c r="D639" s="368"/>
      <c r="E639" s="368"/>
      <c r="F639" s="368"/>
      <c r="G639" s="368"/>
      <c r="H639" s="368"/>
      <c r="I639" s="368"/>
      <c r="J639" s="368"/>
      <c r="K639" s="368"/>
      <c r="L639" s="368"/>
      <c r="M639" s="368"/>
      <c r="N639" s="368"/>
      <c r="O639" s="368"/>
      <c r="P639" s="368"/>
      <c r="Q639" s="368"/>
      <c r="R639" s="368"/>
      <c r="S639" s="368"/>
      <c r="T639" s="368"/>
      <c r="U639" s="368"/>
      <c r="V639" s="368"/>
      <c r="W639" s="26"/>
      <c r="X639" s="26"/>
      <c r="Y639" s="26"/>
      <c r="Z639" s="26"/>
    </row>
    <row r="640">
      <c r="A640" s="368"/>
      <c r="B640" s="368"/>
      <c r="C640" s="368"/>
      <c r="D640" s="368"/>
      <c r="E640" s="368"/>
      <c r="F640" s="368"/>
      <c r="G640" s="368"/>
      <c r="H640" s="368"/>
      <c r="I640" s="368"/>
      <c r="J640" s="368"/>
      <c r="K640" s="368"/>
      <c r="L640" s="368"/>
      <c r="M640" s="368"/>
      <c r="N640" s="368"/>
      <c r="O640" s="368"/>
      <c r="P640" s="368"/>
      <c r="Q640" s="368"/>
      <c r="R640" s="368"/>
      <c r="S640" s="368"/>
      <c r="T640" s="368"/>
      <c r="U640" s="368"/>
      <c r="V640" s="368"/>
      <c r="W640" s="26"/>
      <c r="X640" s="26"/>
      <c r="Y640" s="26"/>
      <c r="Z640" s="26"/>
    </row>
    <row r="641">
      <c r="A641" s="368"/>
      <c r="B641" s="368"/>
      <c r="C641" s="368"/>
      <c r="D641" s="368"/>
      <c r="E641" s="368"/>
      <c r="F641" s="368"/>
      <c r="G641" s="368"/>
      <c r="H641" s="368"/>
      <c r="I641" s="368"/>
      <c r="J641" s="368"/>
      <c r="K641" s="368"/>
      <c r="L641" s="368"/>
      <c r="M641" s="368"/>
      <c r="N641" s="368"/>
      <c r="O641" s="368"/>
      <c r="P641" s="368"/>
      <c r="Q641" s="368"/>
      <c r="R641" s="368"/>
      <c r="S641" s="368"/>
      <c r="T641" s="368"/>
      <c r="U641" s="368"/>
      <c r="V641" s="368"/>
      <c r="W641" s="26"/>
      <c r="X641" s="26"/>
      <c r="Y641" s="26"/>
      <c r="Z641" s="26"/>
    </row>
    <row r="642">
      <c r="A642" s="368"/>
      <c r="B642" s="368"/>
      <c r="C642" s="368"/>
      <c r="D642" s="368"/>
      <c r="E642" s="368"/>
      <c r="F642" s="368"/>
      <c r="G642" s="368"/>
      <c r="H642" s="368"/>
      <c r="I642" s="368"/>
      <c r="J642" s="368"/>
      <c r="K642" s="368"/>
      <c r="L642" s="368"/>
      <c r="M642" s="368"/>
      <c r="N642" s="368"/>
      <c r="O642" s="368"/>
      <c r="P642" s="368"/>
      <c r="Q642" s="368"/>
      <c r="R642" s="368"/>
      <c r="S642" s="368"/>
      <c r="T642" s="368"/>
      <c r="U642" s="368"/>
      <c r="V642" s="368"/>
      <c r="W642" s="26"/>
      <c r="X642" s="26"/>
      <c r="Y642" s="26"/>
      <c r="Z642" s="26"/>
    </row>
    <row r="643">
      <c r="A643" s="368"/>
      <c r="B643" s="368"/>
      <c r="C643" s="368"/>
      <c r="D643" s="368"/>
      <c r="E643" s="368"/>
      <c r="F643" s="368"/>
      <c r="G643" s="368"/>
      <c r="H643" s="368"/>
      <c r="I643" s="368"/>
      <c r="J643" s="368"/>
      <c r="K643" s="368"/>
      <c r="L643" s="368"/>
      <c r="M643" s="368"/>
      <c r="N643" s="368"/>
      <c r="O643" s="368"/>
      <c r="P643" s="368"/>
      <c r="Q643" s="368"/>
      <c r="R643" s="368"/>
      <c r="S643" s="368"/>
      <c r="T643" s="368"/>
      <c r="U643" s="368"/>
      <c r="V643" s="368"/>
      <c r="W643" s="26"/>
      <c r="X643" s="26"/>
      <c r="Y643" s="26"/>
      <c r="Z643" s="26"/>
    </row>
    <row r="644">
      <c r="A644" s="368"/>
      <c r="B644" s="368"/>
      <c r="C644" s="368"/>
      <c r="D644" s="368"/>
      <c r="E644" s="368"/>
      <c r="F644" s="368"/>
      <c r="G644" s="368"/>
      <c r="H644" s="368"/>
      <c r="I644" s="368"/>
      <c r="J644" s="368"/>
      <c r="K644" s="368"/>
      <c r="L644" s="368"/>
      <c r="M644" s="368"/>
      <c r="N644" s="368"/>
      <c r="O644" s="368"/>
      <c r="P644" s="368"/>
      <c r="Q644" s="368"/>
      <c r="R644" s="368"/>
      <c r="S644" s="368"/>
      <c r="T644" s="368"/>
      <c r="U644" s="368"/>
      <c r="V644" s="368"/>
      <c r="W644" s="26"/>
      <c r="X644" s="26"/>
      <c r="Y644" s="26"/>
      <c r="Z644" s="26"/>
    </row>
    <row r="645">
      <c r="A645" s="368"/>
      <c r="B645" s="368"/>
      <c r="C645" s="368"/>
      <c r="D645" s="368"/>
      <c r="E645" s="368"/>
      <c r="F645" s="368"/>
      <c r="G645" s="368"/>
      <c r="H645" s="368"/>
      <c r="I645" s="368"/>
      <c r="J645" s="368"/>
      <c r="K645" s="368"/>
      <c r="L645" s="368"/>
      <c r="M645" s="368"/>
      <c r="N645" s="368"/>
      <c r="O645" s="368"/>
      <c r="P645" s="368"/>
      <c r="Q645" s="368"/>
      <c r="R645" s="368"/>
      <c r="S645" s="368"/>
      <c r="T645" s="368"/>
      <c r="U645" s="368"/>
      <c r="V645" s="368"/>
      <c r="W645" s="26"/>
      <c r="X645" s="26"/>
      <c r="Y645" s="26"/>
      <c r="Z645" s="26"/>
    </row>
    <row r="646">
      <c r="A646" s="368"/>
      <c r="B646" s="368"/>
      <c r="C646" s="368"/>
      <c r="D646" s="368"/>
      <c r="E646" s="368"/>
      <c r="F646" s="368"/>
      <c r="G646" s="368"/>
      <c r="H646" s="368"/>
      <c r="I646" s="368"/>
      <c r="J646" s="368"/>
      <c r="K646" s="368"/>
      <c r="L646" s="368"/>
      <c r="M646" s="368"/>
      <c r="N646" s="368"/>
      <c r="O646" s="368"/>
      <c r="P646" s="368"/>
      <c r="Q646" s="368"/>
      <c r="R646" s="368"/>
      <c r="S646" s="368"/>
      <c r="T646" s="368"/>
      <c r="U646" s="368"/>
      <c r="V646" s="368"/>
      <c r="W646" s="26"/>
      <c r="X646" s="26"/>
      <c r="Y646" s="26"/>
      <c r="Z646" s="26"/>
    </row>
    <row r="647">
      <c r="A647" s="368"/>
      <c r="B647" s="368"/>
      <c r="C647" s="368"/>
      <c r="D647" s="368"/>
      <c r="E647" s="368"/>
      <c r="F647" s="368"/>
      <c r="G647" s="368"/>
      <c r="H647" s="368"/>
      <c r="I647" s="368"/>
      <c r="J647" s="368"/>
      <c r="K647" s="368"/>
      <c r="L647" s="368"/>
      <c r="M647" s="368"/>
      <c r="N647" s="368"/>
      <c r="O647" s="368"/>
      <c r="P647" s="368"/>
      <c r="Q647" s="368"/>
      <c r="R647" s="368"/>
      <c r="S647" s="368"/>
      <c r="T647" s="368"/>
      <c r="U647" s="368"/>
      <c r="V647" s="368"/>
      <c r="W647" s="26"/>
      <c r="X647" s="26"/>
      <c r="Y647" s="26"/>
      <c r="Z647" s="26"/>
    </row>
    <row r="648">
      <c r="A648" s="368"/>
      <c r="B648" s="368"/>
      <c r="C648" s="368"/>
      <c r="D648" s="368"/>
      <c r="E648" s="368"/>
      <c r="F648" s="368"/>
      <c r="G648" s="368"/>
      <c r="H648" s="368"/>
      <c r="I648" s="368"/>
      <c r="J648" s="368"/>
      <c r="K648" s="368"/>
      <c r="L648" s="368"/>
      <c r="M648" s="368"/>
      <c r="N648" s="368"/>
      <c r="O648" s="368"/>
      <c r="P648" s="368"/>
      <c r="Q648" s="368"/>
      <c r="R648" s="368"/>
      <c r="S648" s="368"/>
      <c r="T648" s="368"/>
      <c r="U648" s="368"/>
      <c r="V648" s="368"/>
      <c r="W648" s="26"/>
      <c r="X648" s="26"/>
      <c r="Y648" s="26"/>
      <c r="Z648" s="26"/>
    </row>
    <row r="649">
      <c r="A649" s="368"/>
      <c r="B649" s="368"/>
      <c r="C649" s="368"/>
      <c r="D649" s="368"/>
      <c r="E649" s="368"/>
      <c r="F649" s="368"/>
      <c r="G649" s="368"/>
      <c r="H649" s="368"/>
      <c r="I649" s="368"/>
      <c r="J649" s="368"/>
      <c r="K649" s="368"/>
      <c r="L649" s="368"/>
      <c r="M649" s="368"/>
      <c r="N649" s="368"/>
      <c r="O649" s="368"/>
      <c r="P649" s="368"/>
      <c r="Q649" s="368"/>
      <c r="R649" s="368"/>
      <c r="S649" s="368"/>
      <c r="T649" s="368"/>
      <c r="U649" s="368"/>
      <c r="V649" s="368"/>
      <c r="W649" s="26"/>
      <c r="X649" s="26"/>
      <c r="Y649" s="26"/>
      <c r="Z649" s="26"/>
    </row>
    <row r="650">
      <c r="A650" s="368"/>
      <c r="B650" s="368"/>
      <c r="C650" s="368"/>
      <c r="D650" s="368"/>
      <c r="E650" s="368"/>
      <c r="F650" s="368"/>
      <c r="G650" s="368"/>
      <c r="H650" s="368"/>
      <c r="I650" s="368"/>
      <c r="J650" s="368"/>
      <c r="K650" s="368"/>
      <c r="L650" s="368"/>
      <c r="M650" s="368"/>
      <c r="N650" s="368"/>
      <c r="O650" s="368"/>
      <c r="P650" s="368"/>
      <c r="Q650" s="368"/>
      <c r="R650" s="368"/>
      <c r="S650" s="368"/>
      <c r="T650" s="368"/>
      <c r="U650" s="368"/>
      <c r="V650" s="368"/>
      <c r="W650" s="26"/>
      <c r="X650" s="26"/>
      <c r="Y650" s="26"/>
      <c r="Z650" s="26"/>
    </row>
    <row r="651">
      <c r="A651" s="368"/>
      <c r="B651" s="368"/>
      <c r="C651" s="368"/>
      <c r="D651" s="368"/>
      <c r="E651" s="368"/>
      <c r="F651" s="368"/>
      <c r="G651" s="368"/>
      <c r="H651" s="368"/>
      <c r="I651" s="368"/>
      <c r="J651" s="368"/>
      <c r="K651" s="368"/>
      <c r="L651" s="368"/>
      <c r="M651" s="368"/>
      <c r="N651" s="368"/>
      <c r="O651" s="368"/>
      <c r="P651" s="368"/>
      <c r="Q651" s="368"/>
      <c r="R651" s="368"/>
      <c r="S651" s="368"/>
      <c r="T651" s="368"/>
      <c r="U651" s="368"/>
      <c r="V651" s="368"/>
      <c r="W651" s="26"/>
      <c r="X651" s="26"/>
      <c r="Y651" s="26"/>
      <c r="Z651" s="26"/>
    </row>
    <row r="652">
      <c r="A652" s="368"/>
      <c r="B652" s="368"/>
      <c r="C652" s="368"/>
      <c r="D652" s="368"/>
      <c r="E652" s="368"/>
      <c r="F652" s="368"/>
      <c r="G652" s="368"/>
      <c r="H652" s="368"/>
      <c r="I652" s="368"/>
      <c r="J652" s="368"/>
      <c r="K652" s="368"/>
      <c r="L652" s="368"/>
      <c r="M652" s="368"/>
      <c r="N652" s="368"/>
      <c r="O652" s="368"/>
      <c r="P652" s="368"/>
      <c r="Q652" s="368"/>
      <c r="R652" s="368"/>
      <c r="S652" s="368"/>
      <c r="T652" s="368"/>
      <c r="U652" s="368"/>
      <c r="V652" s="368"/>
      <c r="W652" s="26"/>
      <c r="X652" s="26"/>
      <c r="Y652" s="26"/>
      <c r="Z652" s="26"/>
    </row>
    <row r="653">
      <c r="A653" s="368"/>
      <c r="B653" s="368"/>
      <c r="C653" s="368"/>
      <c r="D653" s="368"/>
      <c r="E653" s="368"/>
      <c r="F653" s="368"/>
      <c r="G653" s="368"/>
      <c r="H653" s="368"/>
      <c r="I653" s="368"/>
      <c r="J653" s="368"/>
      <c r="K653" s="368"/>
      <c r="L653" s="368"/>
      <c r="M653" s="368"/>
      <c r="N653" s="368"/>
      <c r="O653" s="368"/>
      <c r="P653" s="368"/>
      <c r="Q653" s="368"/>
      <c r="R653" s="368"/>
      <c r="S653" s="368"/>
      <c r="T653" s="368"/>
      <c r="U653" s="368"/>
      <c r="V653" s="368"/>
      <c r="W653" s="26"/>
      <c r="X653" s="26"/>
      <c r="Y653" s="26"/>
      <c r="Z653" s="26"/>
    </row>
    <row r="654">
      <c r="A654" s="368"/>
      <c r="B654" s="368"/>
      <c r="C654" s="368"/>
      <c r="D654" s="368"/>
      <c r="E654" s="368"/>
      <c r="F654" s="368"/>
      <c r="G654" s="368"/>
      <c r="H654" s="368"/>
      <c r="I654" s="368"/>
      <c r="J654" s="368"/>
      <c r="K654" s="368"/>
      <c r="L654" s="368"/>
      <c r="M654" s="368"/>
      <c r="N654" s="368"/>
      <c r="O654" s="368"/>
      <c r="P654" s="368"/>
      <c r="Q654" s="368"/>
      <c r="R654" s="368"/>
      <c r="S654" s="368"/>
      <c r="T654" s="368"/>
      <c r="U654" s="368"/>
      <c r="V654" s="368"/>
      <c r="W654" s="26"/>
      <c r="X654" s="26"/>
      <c r="Y654" s="26"/>
      <c r="Z654" s="26"/>
    </row>
    <row r="655">
      <c r="A655" s="368"/>
      <c r="B655" s="368"/>
      <c r="C655" s="368"/>
      <c r="D655" s="368"/>
      <c r="E655" s="368"/>
      <c r="F655" s="368"/>
      <c r="G655" s="368"/>
      <c r="H655" s="368"/>
      <c r="I655" s="368"/>
      <c r="J655" s="368"/>
      <c r="K655" s="368"/>
      <c r="L655" s="368"/>
      <c r="M655" s="368"/>
      <c r="N655" s="368"/>
      <c r="O655" s="368"/>
      <c r="P655" s="368"/>
      <c r="Q655" s="368"/>
      <c r="R655" s="368"/>
      <c r="S655" s="368"/>
      <c r="T655" s="368"/>
      <c r="U655" s="368"/>
      <c r="V655" s="368"/>
      <c r="W655" s="26"/>
      <c r="X655" s="26"/>
      <c r="Y655" s="26"/>
      <c r="Z655" s="26"/>
    </row>
    <row r="656">
      <c r="A656" s="368"/>
      <c r="B656" s="368"/>
      <c r="C656" s="368"/>
      <c r="D656" s="368"/>
      <c r="E656" s="368"/>
      <c r="F656" s="368"/>
      <c r="G656" s="368"/>
      <c r="H656" s="368"/>
      <c r="I656" s="368"/>
      <c r="J656" s="368"/>
      <c r="K656" s="368"/>
      <c r="L656" s="368"/>
      <c r="M656" s="368"/>
      <c r="N656" s="368"/>
      <c r="O656" s="368"/>
      <c r="P656" s="368"/>
      <c r="Q656" s="368"/>
      <c r="R656" s="368"/>
      <c r="S656" s="368"/>
      <c r="T656" s="368"/>
      <c r="U656" s="368"/>
      <c r="V656" s="368"/>
      <c r="W656" s="26"/>
      <c r="X656" s="26"/>
      <c r="Y656" s="26"/>
      <c r="Z656" s="26"/>
    </row>
    <row r="657">
      <c r="A657" s="368"/>
      <c r="B657" s="368"/>
      <c r="C657" s="368"/>
      <c r="D657" s="368"/>
      <c r="E657" s="368"/>
      <c r="F657" s="368"/>
      <c r="G657" s="368"/>
      <c r="H657" s="368"/>
      <c r="I657" s="368"/>
      <c r="J657" s="368"/>
      <c r="K657" s="368"/>
      <c r="L657" s="368"/>
      <c r="M657" s="368"/>
      <c r="N657" s="368"/>
      <c r="O657" s="368"/>
      <c r="P657" s="368"/>
      <c r="Q657" s="368"/>
      <c r="R657" s="368"/>
      <c r="S657" s="368"/>
      <c r="T657" s="368"/>
      <c r="U657" s="368"/>
      <c r="V657" s="368"/>
      <c r="W657" s="26"/>
      <c r="X657" s="26"/>
      <c r="Y657" s="26"/>
      <c r="Z657" s="26"/>
    </row>
    <row r="658">
      <c r="A658" s="368"/>
      <c r="B658" s="368"/>
      <c r="C658" s="368"/>
      <c r="D658" s="368"/>
      <c r="E658" s="368"/>
      <c r="F658" s="368"/>
      <c r="G658" s="368"/>
      <c r="H658" s="368"/>
      <c r="I658" s="368"/>
      <c r="J658" s="368"/>
      <c r="K658" s="368"/>
      <c r="L658" s="368"/>
      <c r="M658" s="368"/>
      <c r="N658" s="368"/>
      <c r="O658" s="368"/>
      <c r="P658" s="368"/>
      <c r="Q658" s="368"/>
      <c r="R658" s="368"/>
      <c r="S658" s="368"/>
      <c r="T658" s="368"/>
      <c r="U658" s="368"/>
      <c r="V658" s="368"/>
      <c r="W658" s="26"/>
      <c r="X658" s="26"/>
      <c r="Y658" s="26"/>
      <c r="Z658" s="26"/>
    </row>
    <row r="659">
      <c r="A659" s="368"/>
      <c r="B659" s="368"/>
      <c r="C659" s="368"/>
      <c r="D659" s="368"/>
      <c r="E659" s="368"/>
      <c r="F659" s="368"/>
      <c r="G659" s="368"/>
      <c r="H659" s="368"/>
      <c r="I659" s="368"/>
      <c r="J659" s="368"/>
      <c r="K659" s="368"/>
      <c r="L659" s="368"/>
      <c r="M659" s="368"/>
      <c r="N659" s="368"/>
      <c r="O659" s="368"/>
      <c r="P659" s="368"/>
      <c r="Q659" s="368"/>
      <c r="R659" s="368"/>
      <c r="S659" s="368"/>
      <c r="T659" s="368"/>
      <c r="U659" s="368"/>
      <c r="V659" s="368"/>
      <c r="W659" s="26"/>
      <c r="X659" s="26"/>
      <c r="Y659" s="26"/>
      <c r="Z659" s="26"/>
    </row>
    <row r="660">
      <c r="A660" s="368"/>
      <c r="B660" s="368"/>
      <c r="C660" s="368"/>
      <c r="D660" s="368"/>
      <c r="E660" s="368"/>
      <c r="F660" s="368"/>
      <c r="G660" s="368"/>
      <c r="H660" s="368"/>
      <c r="I660" s="368"/>
      <c r="J660" s="368"/>
      <c r="K660" s="368"/>
      <c r="L660" s="368"/>
      <c r="M660" s="368"/>
      <c r="N660" s="368"/>
      <c r="O660" s="368"/>
      <c r="P660" s="368"/>
      <c r="Q660" s="368"/>
      <c r="R660" s="368"/>
      <c r="S660" s="368"/>
      <c r="T660" s="368"/>
      <c r="U660" s="368"/>
      <c r="V660" s="368"/>
      <c r="W660" s="26"/>
      <c r="X660" s="26"/>
      <c r="Y660" s="26"/>
      <c r="Z660" s="26"/>
    </row>
    <row r="661">
      <c r="A661" s="368"/>
      <c r="B661" s="368"/>
      <c r="C661" s="368"/>
      <c r="D661" s="368"/>
      <c r="E661" s="368"/>
      <c r="F661" s="368"/>
      <c r="G661" s="368"/>
      <c r="H661" s="368"/>
      <c r="I661" s="368"/>
      <c r="J661" s="368"/>
      <c r="K661" s="368"/>
      <c r="L661" s="368"/>
      <c r="M661" s="368"/>
      <c r="N661" s="368"/>
      <c r="O661" s="368"/>
      <c r="P661" s="368"/>
      <c r="Q661" s="368"/>
      <c r="R661" s="368"/>
      <c r="S661" s="368"/>
      <c r="T661" s="368"/>
      <c r="U661" s="368"/>
      <c r="V661" s="368"/>
      <c r="W661" s="26"/>
      <c r="X661" s="26"/>
      <c r="Y661" s="26"/>
      <c r="Z661" s="26"/>
    </row>
    <row r="662">
      <c r="A662" s="368"/>
      <c r="B662" s="368"/>
      <c r="C662" s="368"/>
      <c r="D662" s="368"/>
      <c r="E662" s="368"/>
      <c r="F662" s="368"/>
      <c r="G662" s="368"/>
      <c r="H662" s="368"/>
      <c r="I662" s="368"/>
      <c r="J662" s="368"/>
      <c r="K662" s="368"/>
      <c r="L662" s="368"/>
      <c r="M662" s="368"/>
      <c r="N662" s="368"/>
      <c r="O662" s="368"/>
      <c r="P662" s="368"/>
      <c r="Q662" s="368"/>
      <c r="R662" s="368"/>
      <c r="S662" s="368"/>
      <c r="T662" s="368"/>
      <c r="U662" s="368"/>
      <c r="V662" s="368"/>
      <c r="W662" s="26"/>
      <c r="X662" s="26"/>
      <c r="Y662" s="26"/>
      <c r="Z662" s="26"/>
    </row>
    <row r="663">
      <c r="A663" s="368"/>
      <c r="B663" s="368"/>
      <c r="C663" s="368"/>
      <c r="D663" s="368"/>
      <c r="E663" s="368"/>
      <c r="F663" s="368"/>
      <c r="G663" s="368"/>
      <c r="H663" s="368"/>
      <c r="I663" s="368"/>
      <c r="J663" s="368"/>
      <c r="K663" s="368"/>
      <c r="L663" s="368"/>
      <c r="M663" s="368"/>
      <c r="N663" s="368"/>
      <c r="O663" s="368"/>
      <c r="P663" s="368"/>
      <c r="Q663" s="368"/>
      <c r="R663" s="368"/>
      <c r="S663" s="368"/>
      <c r="T663" s="368"/>
      <c r="U663" s="368"/>
      <c r="V663" s="368"/>
      <c r="W663" s="26"/>
      <c r="X663" s="26"/>
      <c r="Y663" s="26"/>
      <c r="Z663" s="26"/>
    </row>
    <row r="664">
      <c r="A664" s="368"/>
      <c r="B664" s="368"/>
      <c r="C664" s="368"/>
      <c r="D664" s="368"/>
      <c r="E664" s="368"/>
      <c r="F664" s="368"/>
      <c r="G664" s="368"/>
      <c r="H664" s="368"/>
      <c r="I664" s="368"/>
      <c r="J664" s="368"/>
      <c r="K664" s="368"/>
      <c r="L664" s="368"/>
      <c r="M664" s="368"/>
      <c r="N664" s="368"/>
      <c r="O664" s="368"/>
      <c r="P664" s="368"/>
      <c r="Q664" s="368"/>
      <c r="R664" s="368"/>
      <c r="S664" s="368"/>
      <c r="T664" s="368"/>
      <c r="U664" s="368"/>
      <c r="V664" s="368"/>
      <c r="W664" s="26"/>
      <c r="X664" s="26"/>
      <c r="Y664" s="26"/>
      <c r="Z664" s="26"/>
    </row>
    <row r="665">
      <c r="A665" s="368"/>
      <c r="B665" s="368"/>
      <c r="C665" s="368"/>
      <c r="D665" s="368"/>
      <c r="E665" s="368"/>
      <c r="F665" s="368"/>
      <c r="G665" s="368"/>
      <c r="H665" s="368"/>
      <c r="I665" s="368"/>
      <c r="J665" s="368"/>
      <c r="K665" s="368"/>
      <c r="L665" s="368"/>
      <c r="M665" s="368"/>
      <c r="N665" s="368"/>
      <c r="O665" s="368"/>
      <c r="P665" s="368"/>
      <c r="Q665" s="368"/>
      <c r="R665" s="368"/>
      <c r="S665" s="368"/>
      <c r="T665" s="368"/>
      <c r="U665" s="368"/>
      <c r="V665" s="368"/>
      <c r="W665" s="26"/>
      <c r="X665" s="26"/>
      <c r="Y665" s="26"/>
      <c r="Z665" s="26"/>
    </row>
    <row r="666">
      <c r="A666" s="368"/>
      <c r="B666" s="368"/>
      <c r="C666" s="368"/>
      <c r="D666" s="368"/>
      <c r="E666" s="368"/>
      <c r="F666" s="368"/>
      <c r="G666" s="368"/>
      <c r="H666" s="368"/>
      <c r="I666" s="368"/>
      <c r="J666" s="368"/>
      <c r="K666" s="368"/>
      <c r="L666" s="368"/>
      <c r="M666" s="368"/>
      <c r="N666" s="368"/>
      <c r="O666" s="368"/>
      <c r="P666" s="368"/>
      <c r="Q666" s="368"/>
      <c r="R666" s="368"/>
      <c r="S666" s="368"/>
      <c r="T666" s="368"/>
      <c r="U666" s="368"/>
      <c r="V666" s="368"/>
      <c r="W666" s="26"/>
      <c r="X666" s="26"/>
      <c r="Y666" s="26"/>
      <c r="Z666" s="26"/>
    </row>
    <row r="667">
      <c r="A667" s="368"/>
      <c r="B667" s="368"/>
      <c r="C667" s="368"/>
      <c r="D667" s="368"/>
      <c r="E667" s="368"/>
      <c r="F667" s="368"/>
      <c r="G667" s="368"/>
      <c r="H667" s="368"/>
      <c r="I667" s="368"/>
      <c r="J667" s="368"/>
      <c r="K667" s="368"/>
      <c r="L667" s="368"/>
      <c r="M667" s="368"/>
      <c r="N667" s="368"/>
      <c r="O667" s="368"/>
      <c r="P667" s="368"/>
      <c r="Q667" s="368"/>
      <c r="R667" s="368"/>
      <c r="S667" s="368"/>
      <c r="T667" s="368"/>
      <c r="U667" s="368"/>
      <c r="V667" s="368"/>
      <c r="W667" s="26"/>
      <c r="X667" s="26"/>
      <c r="Y667" s="26"/>
      <c r="Z667" s="26"/>
    </row>
    <row r="668">
      <c r="A668" s="368"/>
      <c r="B668" s="368"/>
      <c r="C668" s="368"/>
      <c r="D668" s="368"/>
      <c r="E668" s="368"/>
      <c r="F668" s="368"/>
      <c r="G668" s="368"/>
      <c r="H668" s="368"/>
      <c r="I668" s="368"/>
      <c r="J668" s="368"/>
      <c r="K668" s="368"/>
      <c r="L668" s="368"/>
      <c r="M668" s="368"/>
      <c r="N668" s="368"/>
      <c r="O668" s="368"/>
      <c r="P668" s="368"/>
      <c r="Q668" s="368"/>
      <c r="R668" s="368"/>
      <c r="S668" s="368"/>
      <c r="T668" s="368"/>
      <c r="U668" s="368"/>
      <c r="V668" s="368"/>
      <c r="W668" s="26"/>
      <c r="X668" s="26"/>
      <c r="Y668" s="26"/>
      <c r="Z668" s="26"/>
    </row>
    <row r="669">
      <c r="A669" s="368"/>
      <c r="B669" s="368"/>
      <c r="C669" s="368"/>
      <c r="D669" s="368"/>
      <c r="E669" s="368"/>
      <c r="F669" s="368"/>
      <c r="G669" s="368"/>
      <c r="H669" s="368"/>
      <c r="I669" s="368"/>
      <c r="J669" s="368"/>
      <c r="K669" s="368"/>
      <c r="L669" s="368"/>
      <c r="M669" s="368"/>
      <c r="N669" s="368"/>
      <c r="O669" s="368"/>
      <c r="P669" s="368"/>
      <c r="Q669" s="368"/>
      <c r="R669" s="368"/>
      <c r="S669" s="368"/>
      <c r="T669" s="368"/>
      <c r="U669" s="368"/>
      <c r="V669" s="368"/>
      <c r="W669" s="26"/>
      <c r="X669" s="26"/>
      <c r="Y669" s="26"/>
      <c r="Z669" s="26"/>
    </row>
    <row r="670">
      <c r="A670" s="368"/>
      <c r="B670" s="368"/>
      <c r="C670" s="368"/>
      <c r="D670" s="368"/>
      <c r="E670" s="368"/>
      <c r="F670" s="368"/>
      <c r="G670" s="368"/>
      <c r="H670" s="368"/>
      <c r="I670" s="368"/>
      <c r="J670" s="368"/>
      <c r="K670" s="368"/>
      <c r="L670" s="368"/>
      <c r="M670" s="368"/>
      <c r="N670" s="368"/>
      <c r="O670" s="368"/>
      <c r="P670" s="368"/>
      <c r="Q670" s="368"/>
      <c r="R670" s="368"/>
      <c r="S670" s="368"/>
      <c r="T670" s="368"/>
      <c r="U670" s="368"/>
      <c r="V670" s="368"/>
      <c r="W670" s="26"/>
      <c r="X670" s="26"/>
      <c r="Y670" s="26"/>
      <c r="Z670" s="26"/>
    </row>
    <row r="671">
      <c r="A671" s="368"/>
      <c r="B671" s="368"/>
      <c r="C671" s="368"/>
      <c r="D671" s="368"/>
      <c r="E671" s="368"/>
      <c r="F671" s="368"/>
      <c r="G671" s="368"/>
      <c r="H671" s="368"/>
      <c r="I671" s="368"/>
      <c r="J671" s="368"/>
      <c r="K671" s="368"/>
      <c r="L671" s="368"/>
      <c r="M671" s="368"/>
      <c r="N671" s="368"/>
      <c r="O671" s="368"/>
      <c r="P671" s="368"/>
      <c r="Q671" s="368"/>
      <c r="R671" s="368"/>
      <c r="S671" s="368"/>
      <c r="T671" s="368"/>
      <c r="U671" s="368"/>
      <c r="V671" s="368"/>
      <c r="W671" s="26"/>
      <c r="X671" s="26"/>
      <c r="Y671" s="26"/>
      <c r="Z671" s="26"/>
    </row>
    <row r="672">
      <c r="A672" s="368"/>
      <c r="B672" s="368"/>
      <c r="C672" s="368"/>
      <c r="D672" s="368"/>
      <c r="E672" s="368"/>
      <c r="F672" s="368"/>
      <c r="G672" s="368"/>
      <c r="H672" s="368"/>
      <c r="I672" s="368"/>
      <c r="J672" s="368"/>
      <c r="K672" s="368"/>
      <c r="L672" s="368"/>
      <c r="M672" s="368"/>
      <c r="N672" s="368"/>
      <c r="O672" s="368"/>
      <c r="P672" s="368"/>
      <c r="Q672" s="368"/>
      <c r="R672" s="368"/>
      <c r="S672" s="368"/>
      <c r="T672" s="368"/>
      <c r="U672" s="368"/>
      <c r="V672" s="368"/>
      <c r="W672" s="26"/>
      <c r="X672" s="26"/>
      <c r="Y672" s="26"/>
      <c r="Z672" s="26"/>
    </row>
    <row r="673">
      <c r="A673" s="368"/>
      <c r="B673" s="368"/>
      <c r="C673" s="368"/>
      <c r="D673" s="368"/>
      <c r="E673" s="368"/>
      <c r="F673" s="368"/>
      <c r="G673" s="368"/>
      <c r="H673" s="368"/>
      <c r="I673" s="368"/>
      <c r="J673" s="368"/>
      <c r="K673" s="368"/>
      <c r="L673" s="368"/>
      <c r="M673" s="368"/>
      <c r="N673" s="368"/>
      <c r="O673" s="368"/>
      <c r="P673" s="368"/>
      <c r="Q673" s="368"/>
      <c r="R673" s="368"/>
      <c r="S673" s="368"/>
      <c r="T673" s="368"/>
      <c r="U673" s="368"/>
      <c r="V673" s="368"/>
      <c r="W673" s="26"/>
      <c r="X673" s="26"/>
      <c r="Y673" s="26"/>
      <c r="Z673" s="26"/>
    </row>
    <row r="674">
      <c r="A674" s="368"/>
      <c r="B674" s="368"/>
      <c r="C674" s="368"/>
      <c r="D674" s="368"/>
      <c r="E674" s="368"/>
      <c r="F674" s="368"/>
      <c r="G674" s="368"/>
      <c r="H674" s="368"/>
      <c r="I674" s="368"/>
      <c r="J674" s="368"/>
      <c r="K674" s="368"/>
      <c r="L674" s="368"/>
      <c r="M674" s="368"/>
      <c r="N674" s="368"/>
      <c r="O674" s="368"/>
      <c r="P674" s="368"/>
      <c r="Q674" s="368"/>
      <c r="R674" s="368"/>
      <c r="S674" s="368"/>
      <c r="T674" s="368"/>
      <c r="U674" s="368"/>
      <c r="V674" s="368"/>
      <c r="W674" s="26"/>
      <c r="X674" s="26"/>
      <c r="Y674" s="26"/>
      <c r="Z674" s="26"/>
    </row>
    <row r="675">
      <c r="A675" s="368"/>
      <c r="B675" s="368"/>
      <c r="C675" s="368"/>
      <c r="D675" s="368"/>
      <c r="E675" s="368"/>
      <c r="F675" s="368"/>
      <c r="G675" s="368"/>
      <c r="H675" s="368"/>
      <c r="I675" s="368"/>
      <c r="J675" s="368"/>
      <c r="K675" s="368"/>
      <c r="L675" s="368"/>
      <c r="M675" s="368"/>
      <c r="N675" s="368"/>
      <c r="O675" s="368"/>
      <c r="P675" s="368"/>
      <c r="Q675" s="368"/>
      <c r="R675" s="368"/>
      <c r="S675" s="368"/>
      <c r="T675" s="368"/>
      <c r="U675" s="368"/>
      <c r="V675" s="368"/>
      <c r="W675" s="26"/>
      <c r="X675" s="26"/>
      <c r="Y675" s="26"/>
      <c r="Z675" s="26"/>
    </row>
    <row r="676">
      <c r="A676" s="368"/>
      <c r="B676" s="368"/>
      <c r="C676" s="368"/>
      <c r="D676" s="368"/>
      <c r="E676" s="368"/>
      <c r="F676" s="368"/>
      <c r="G676" s="368"/>
      <c r="H676" s="368"/>
      <c r="I676" s="368"/>
      <c r="J676" s="368"/>
      <c r="K676" s="368"/>
      <c r="L676" s="368"/>
      <c r="M676" s="368"/>
      <c r="N676" s="368"/>
      <c r="O676" s="368"/>
      <c r="P676" s="368"/>
      <c r="Q676" s="368"/>
      <c r="R676" s="368"/>
      <c r="S676" s="368"/>
      <c r="T676" s="368"/>
      <c r="U676" s="368"/>
      <c r="V676" s="368"/>
      <c r="W676" s="26"/>
      <c r="X676" s="26"/>
      <c r="Y676" s="26"/>
      <c r="Z676" s="26"/>
    </row>
    <row r="677">
      <c r="A677" s="368"/>
      <c r="B677" s="368"/>
      <c r="C677" s="368"/>
      <c r="D677" s="368"/>
      <c r="E677" s="368"/>
      <c r="F677" s="368"/>
      <c r="G677" s="368"/>
      <c r="H677" s="368"/>
      <c r="I677" s="368"/>
      <c r="J677" s="368"/>
      <c r="K677" s="368"/>
      <c r="L677" s="368"/>
      <c r="M677" s="368"/>
      <c r="N677" s="368"/>
      <c r="O677" s="368"/>
      <c r="P677" s="368"/>
      <c r="Q677" s="368"/>
      <c r="R677" s="368"/>
      <c r="S677" s="368"/>
      <c r="T677" s="368"/>
      <c r="U677" s="368"/>
      <c r="V677" s="368"/>
      <c r="W677" s="26"/>
      <c r="X677" s="26"/>
      <c r="Y677" s="26"/>
      <c r="Z677" s="26"/>
    </row>
    <row r="678">
      <c r="A678" s="368"/>
      <c r="B678" s="368"/>
      <c r="C678" s="368"/>
      <c r="D678" s="368"/>
      <c r="E678" s="368"/>
      <c r="F678" s="368"/>
      <c r="G678" s="368"/>
      <c r="H678" s="368"/>
      <c r="I678" s="368"/>
      <c r="J678" s="368"/>
      <c r="K678" s="368"/>
      <c r="L678" s="368"/>
      <c r="M678" s="368"/>
      <c r="N678" s="368"/>
      <c r="O678" s="368"/>
      <c r="P678" s="368"/>
      <c r="Q678" s="368"/>
      <c r="R678" s="368"/>
      <c r="S678" s="368"/>
      <c r="T678" s="368"/>
      <c r="U678" s="368"/>
      <c r="V678" s="368"/>
      <c r="W678" s="26"/>
      <c r="X678" s="26"/>
      <c r="Y678" s="26"/>
      <c r="Z678" s="26"/>
    </row>
    <row r="679">
      <c r="A679" s="368"/>
      <c r="B679" s="368"/>
      <c r="C679" s="368"/>
      <c r="D679" s="368"/>
      <c r="E679" s="368"/>
      <c r="F679" s="368"/>
      <c r="G679" s="368"/>
      <c r="H679" s="368"/>
      <c r="I679" s="368"/>
      <c r="J679" s="368"/>
      <c r="K679" s="368"/>
      <c r="L679" s="368"/>
      <c r="M679" s="368"/>
      <c r="N679" s="368"/>
      <c r="O679" s="368"/>
      <c r="P679" s="368"/>
      <c r="Q679" s="368"/>
      <c r="R679" s="368"/>
      <c r="S679" s="368"/>
      <c r="T679" s="368"/>
      <c r="U679" s="368"/>
      <c r="V679" s="368"/>
      <c r="W679" s="26"/>
      <c r="X679" s="26"/>
      <c r="Y679" s="26"/>
      <c r="Z679" s="26"/>
    </row>
    <row r="680">
      <c r="A680" s="368"/>
      <c r="B680" s="368"/>
      <c r="C680" s="368"/>
      <c r="D680" s="368"/>
      <c r="E680" s="368"/>
      <c r="F680" s="368"/>
      <c r="G680" s="368"/>
      <c r="H680" s="368"/>
      <c r="I680" s="368"/>
      <c r="J680" s="368"/>
      <c r="K680" s="368"/>
      <c r="L680" s="368"/>
      <c r="M680" s="368"/>
      <c r="N680" s="368"/>
      <c r="O680" s="368"/>
      <c r="P680" s="368"/>
      <c r="Q680" s="368"/>
      <c r="R680" s="368"/>
      <c r="S680" s="368"/>
      <c r="T680" s="368"/>
      <c r="U680" s="368"/>
      <c r="V680" s="368"/>
      <c r="W680" s="26"/>
      <c r="X680" s="26"/>
      <c r="Y680" s="26"/>
      <c r="Z680" s="26"/>
    </row>
    <row r="681">
      <c r="A681" s="368"/>
      <c r="B681" s="368"/>
      <c r="C681" s="368"/>
      <c r="D681" s="368"/>
      <c r="E681" s="368"/>
      <c r="F681" s="368"/>
      <c r="G681" s="368"/>
      <c r="H681" s="368"/>
      <c r="I681" s="368"/>
      <c r="J681" s="368"/>
      <c r="K681" s="368"/>
      <c r="L681" s="368"/>
      <c r="M681" s="368"/>
      <c r="N681" s="368"/>
      <c r="O681" s="368"/>
      <c r="P681" s="368"/>
      <c r="Q681" s="368"/>
      <c r="R681" s="368"/>
      <c r="S681" s="368"/>
      <c r="T681" s="368"/>
      <c r="U681" s="368"/>
      <c r="V681" s="368"/>
      <c r="W681" s="26"/>
      <c r="X681" s="26"/>
      <c r="Y681" s="26"/>
      <c r="Z681" s="26"/>
    </row>
    <row r="682">
      <c r="A682" s="368"/>
      <c r="B682" s="368"/>
      <c r="C682" s="368"/>
      <c r="D682" s="368"/>
      <c r="E682" s="368"/>
      <c r="F682" s="368"/>
      <c r="G682" s="368"/>
      <c r="H682" s="368"/>
      <c r="I682" s="368"/>
      <c r="J682" s="368"/>
      <c r="K682" s="368"/>
      <c r="L682" s="368"/>
      <c r="M682" s="368"/>
      <c r="N682" s="368"/>
      <c r="O682" s="368"/>
      <c r="P682" s="368"/>
      <c r="Q682" s="368"/>
      <c r="R682" s="368"/>
      <c r="S682" s="368"/>
      <c r="T682" s="368"/>
      <c r="U682" s="368"/>
      <c r="V682" s="368"/>
      <c r="W682" s="26"/>
      <c r="X682" s="26"/>
      <c r="Y682" s="26"/>
      <c r="Z682" s="26"/>
    </row>
    <row r="683">
      <c r="A683" s="368"/>
      <c r="B683" s="368"/>
      <c r="C683" s="368"/>
      <c r="D683" s="368"/>
      <c r="E683" s="368"/>
      <c r="F683" s="368"/>
      <c r="G683" s="368"/>
      <c r="H683" s="368"/>
      <c r="I683" s="368"/>
      <c r="J683" s="368"/>
      <c r="K683" s="368"/>
      <c r="L683" s="368"/>
      <c r="M683" s="368"/>
      <c r="N683" s="368"/>
      <c r="O683" s="368"/>
      <c r="P683" s="368"/>
      <c r="Q683" s="368"/>
      <c r="R683" s="368"/>
      <c r="S683" s="368"/>
      <c r="T683" s="368"/>
      <c r="U683" s="368"/>
      <c r="V683" s="368"/>
      <c r="W683" s="26"/>
      <c r="X683" s="26"/>
      <c r="Y683" s="26"/>
      <c r="Z683" s="26"/>
    </row>
    <row r="684">
      <c r="A684" s="368"/>
      <c r="B684" s="368"/>
      <c r="C684" s="368"/>
      <c r="D684" s="368"/>
      <c r="E684" s="368"/>
      <c r="F684" s="368"/>
      <c r="G684" s="368"/>
      <c r="H684" s="368"/>
      <c r="I684" s="368"/>
      <c r="J684" s="368"/>
      <c r="K684" s="368"/>
      <c r="L684" s="368"/>
      <c r="M684" s="368"/>
      <c r="N684" s="368"/>
      <c r="O684" s="368"/>
      <c r="P684" s="368"/>
      <c r="Q684" s="368"/>
      <c r="R684" s="368"/>
      <c r="S684" s="368"/>
      <c r="T684" s="368"/>
      <c r="U684" s="368"/>
      <c r="V684" s="368"/>
      <c r="W684" s="26"/>
      <c r="X684" s="26"/>
      <c r="Y684" s="26"/>
      <c r="Z684" s="26"/>
    </row>
    <row r="685">
      <c r="A685" s="368"/>
      <c r="B685" s="368"/>
      <c r="C685" s="368"/>
      <c r="D685" s="368"/>
      <c r="E685" s="368"/>
      <c r="F685" s="368"/>
      <c r="G685" s="368"/>
      <c r="H685" s="368"/>
      <c r="I685" s="368"/>
      <c r="J685" s="368"/>
      <c r="K685" s="368"/>
      <c r="L685" s="368"/>
      <c r="M685" s="368"/>
      <c r="N685" s="368"/>
      <c r="O685" s="368"/>
      <c r="P685" s="368"/>
      <c r="Q685" s="368"/>
      <c r="R685" s="368"/>
      <c r="S685" s="368"/>
      <c r="T685" s="368"/>
      <c r="U685" s="368"/>
      <c r="V685" s="368"/>
      <c r="W685" s="26"/>
      <c r="X685" s="26"/>
      <c r="Y685" s="26"/>
      <c r="Z685" s="26"/>
    </row>
    <row r="686">
      <c r="A686" s="368"/>
      <c r="B686" s="368"/>
      <c r="C686" s="368"/>
      <c r="D686" s="368"/>
      <c r="E686" s="368"/>
      <c r="F686" s="368"/>
      <c r="G686" s="368"/>
      <c r="H686" s="368"/>
      <c r="I686" s="368"/>
      <c r="J686" s="368"/>
      <c r="K686" s="368"/>
      <c r="L686" s="368"/>
      <c r="M686" s="368"/>
      <c r="N686" s="368"/>
      <c r="O686" s="368"/>
      <c r="P686" s="368"/>
      <c r="Q686" s="368"/>
      <c r="R686" s="368"/>
      <c r="S686" s="368"/>
      <c r="T686" s="368"/>
      <c r="U686" s="368"/>
      <c r="V686" s="368"/>
      <c r="W686" s="26"/>
      <c r="X686" s="26"/>
      <c r="Y686" s="26"/>
      <c r="Z686" s="26"/>
    </row>
    <row r="687">
      <c r="A687" s="368"/>
      <c r="B687" s="368"/>
      <c r="C687" s="368"/>
      <c r="D687" s="368"/>
      <c r="E687" s="368"/>
      <c r="F687" s="368"/>
      <c r="G687" s="368"/>
      <c r="H687" s="368"/>
      <c r="I687" s="368"/>
      <c r="J687" s="368"/>
      <c r="K687" s="368"/>
      <c r="L687" s="368"/>
      <c r="M687" s="368"/>
      <c r="N687" s="368"/>
      <c r="O687" s="368"/>
      <c r="P687" s="368"/>
      <c r="Q687" s="368"/>
      <c r="R687" s="368"/>
      <c r="S687" s="368"/>
      <c r="T687" s="368"/>
      <c r="U687" s="368"/>
      <c r="V687" s="368"/>
      <c r="W687" s="26"/>
      <c r="X687" s="26"/>
      <c r="Y687" s="26"/>
      <c r="Z687" s="26"/>
    </row>
    <row r="688">
      <c r="A688" s="368"/>
      <c r="B688" s="368"/>
      <c r="C688" s="368"/>
      <c r="D688" s="368"/>
      <c r="E688" s="368"/>
      <c r="F688" s="368"/>
      <c r="G688" s="368"/>
      <c r="H688" s="368"/>
      <c r="I688" s="368"/>
      <c r="J688" s="368"/>
      <c r="K688" s="368"/>
      <c r="L688" s="368"/>
      <c r="M688" s="368"/>
      <c r="N688" s="368"/>
      <c r="O688" s="368"/>
      <c r="P688" s="368"/>
      <c r="Q688" s="368"/>
      <c r="R688" s="368"/>
      <c r="S688" s="368"/>
      <c r="T688" s="368"/>
      <c r="U688" s="368"/>
      <c r="V688" s="368"/>
      <c r="W688" s="26"/>
      <c r="X688" s="26"/>
      <c r="Y688" s="26"/>
      <c r="Z688" s="26"/>
    </row>
    <row r="689">
      <c r="A689" s="368"/>
      <c r="B689" s="368"/>
      <c r="C689" s="368"/>
      <c r="D689" s="368"/>
      <c r="E689" s="368"/>
      <c r="F689" s="368"/>
      <c r="G689" s="368"/>
      <c r="H689" s="368"/>
      <c r="I689" s="368"/>
      <c r="J689" s="368"/>
      <c r="K689" s="368"/>
      <c r="L689" s="368"/>
      <c r="M689" s="368"/>
      <c r="N689" s="368"/>
      <c r="O689" s="368"/>
      <c r="P689" s="368"/>
      <c r="Q689" s="368"/>
      <c r="R689" s="368"/>
      <c r="S689" s="368"/>
      <c r="T689" s="368"/>
      <c r="U689" s="368"/>
      <c r="V689" s="368"/>
      <c r="W689" s="26"/>
      <c r="X689" s="26"/>
      <c r="Y689" s="26"/>
      <c r="Z689" s="26"/>
    </row>
    <row r="690">
      <c r="A690" s="368"/>
      <c r="B690" s="368"/>
      <c r="C690" s="368"/>
      <c r="D690" s="368"/>
      <c r="E690" s="368"/>
      <c r="F690" s="368"/>
      <c r="G690" s="368"/>
      <c r="H690" s="368"/>
      <c r="I690" s="368"/>
      <c r="J690" s="368"/>
      <c r="K690" s="368"/>
      <c r="L690" s="368"/>
      <c r="M690" s="368"/>
      <c r="N690" s="368"/>
      <c r="O690" s="368"/>
      <c r="P690" s="368"/>
      <c r="Q690" s="368"/>
      <c r="R690" s="368"/>
      <c r="S690" s="368"/>
      <c r="T690" s="368"/>
      <c r="U690" s="368"/>
      <c r="V690" s="368"/>
      <c r="W690" s="26"/>
      <c r="X690" s="26"/>
      <c r="Y690" s="26"/>
      <c r="Z690" s="26"/>
    </row>
    <row r="691">
      <c r="A691" s="368"/>
      <c r="B691" s="368"/>
      <c r="C691" s="368"/>
      <c r="D691" s="368"/>
      <c r="E691" s="368"/>
      <c r="F691" s="368"/>
      <c r="G691" s="368"/>
      <c r="H691" s="368"/>
      <c r="I691" s="368"/>
      <c r="J691" s="368"/>
      <c r="K691" s="368"/>
      <c r="L691" s="368"/>
      <c r="M691" s="368"/>
      <c r="N691" s="368"/>
      <c r="O691" s="368"/>
      <c r="P691" s="368"/>
      <c r="Q691" s="368"/>
      <c r="R691" s="368"/>
      <c r="S691" s="368"/>
      <c r="T691" s="368"/>
      <c r="U691" s="368"/>
      <c r="V691" s="368"/>
      <c r="W691" s="26"/>
      <c r="X691" s="26"/>
      <c r="Y691" s="26"/>
      <c r="Z691" s="26"/>
    </row>
    <row r="692">
      <c r="A692" s="368"/>
      <c r="B692" s="368"/>
      <c r="C692" s="368"/>
      <c r="D692" s="368"/>
      <c r="E692" s="368"/>
      <c r="F692" s="368"/>
      <c r="G692" s="368"/>
      <c r="H692" s="368"/>
      <c r="I692" s="368"/>
      <c r="J692" s="368"/>
      <c r="K692" s="368"/>
      <c r="L692" s="368"/>
      <c r="M692" s="368"/>
      <c r="N692" s="368"/>
      <c r="O692" s="368"/>
      <c r="P692" s="368"/>
      <c r="Q692" s="368"/>
      <c r="R692" s="368"/>
      <c r="S692" s="368"/>
      <c r="T692" s="368"/>
      <c r="U692" s="368"/>
      <c r="V692" s="368"/>
      <c r="W692" s="26"/>
      <c r="X692" s="26"/>
      <c r="Y692" s="26"/>
      <c r="Z692" s="26"/>
    </row>
    <row r="693">
      <c r="A693" s="368"/>
      <c r="B693" s="368"/>
      <c r="C693" s="368"/>
      <c r="D693" s="368"/>
      <c r="E693" s="368"/>
      <c r="F693" s="368"/>
      <c r="G693" s="368"/>
      <c r="H693" s="368"/>
      <c r="I693" s="368"/>
      <c r="J693" s="368"/>
      <c r="K693" s="368"/>
      <c r="L693" s="368"/>
      <c r="M693" s="368"/>
      <c r="N693" s="368"/>
      <c r="O693" s="368"/>
      <c r="P693" s="368"/>
      <c r="Q693" s="368"/>
      <c r="R693" s="368"/>
      <c r="S693" s="368"/>
      <c r="T693" s="368"/>
      <c r="U693" s="368"/>
      <c r="V693" s="368"/>
      <c r="W693" s="26"/>
      <c r="X693" s="26"/>
      <c r="Y693" s="26"/>
      <c r="Z693" s="26"/>
    </row>
    <row r="694">
      <c r="A694" s="368"/>
      <c r="B694" s="368"/>
      <c r="C694" s="368"/>
      <c r="D694" s="368"/>
      <c r="E694" s="368"/>
      <c r="F694" s="368"/>
      <c r="G694" s="368"/>
      <c r="H694" s="368"/>
      <c r="I694" s="368"/>
      <c r="J694" s="368"/>
      <c r="K694" s="368"/>
      <c r="L694" s="368"/>
      <c r="M694" s="368"/>
      <c r="N694" s="368"/>
      <c r="O694" s="368"/>
      <c r="P694" s="368"/>
      <c r="Q694" s="368"/>
      <c r="R694" s="368"/>
      <c r="S694" s="368"/>
      <c r="T694" s="368"/>
      <c r="U694" s="368"/>
      <c r="V694" s="368"/>
      <c r="W694" s="26"/>
      <c r="X694" s="26"/>
      <c r="Y694" s="26"/>
      <c r="Z694" s="26"/>
    </row>
    <row r="695">
      <c r="A695" s="368"/>
      <c r="B695" s="368"/>
      <c r="C695" s="368"/>
      <c r="D695" s="368"/>
      <c r="E695" s="368"/>
      <c r="F695" s="368"/>
      <c r="G695" s="368"/>
      <c r="H695" s="368"/>
      <c r="I695" s="368"/>
      <c r="J695" s="368"/>
      <c r="K695" s="368"/>
      <c r="L695" s="368"/>
      <c r="M695" s="368"/>
      <c r="N695" s="368"/>
      <c r="O695" s="368"/>
      <c r="P695" s="368"/>
      <c r="Q695" s="368"/>
      <c r="R695" s="368"/>
      <c r="S695" s="368"/>
      <c r="T695" s="368"/>
      <c r="U695" s="368"/>
      <c r="V695" s="368"/>
      <c r="W695" s="26"/>
      <c r="X695" s="26"/>
      <c r="Y695" s="26"/>
      <c r="Z695" s="26"/>
    </row>
    <row r="696">
      <c r="A696" s="368"/>
      <c r="B696" s="368"/>
      <c r="C696" s="368"/>
      <c r="D696" s="368"/>
      <c r="E696" s="368"/>
      <c r="F696" s="368"/>
      <c r="G696" s="368"/>
      <c r="H696" s="368"/>
      <c r="I696" s="368"/>
      <c r="J696" s="368"/>
      <c r="K696" s="368"/>
      <c r="L696" s="368"/>
      <c r="M696" s="368"/>
      <c r="N696" s="368"/>
      <c r="O696" s="368"/>
      <c r="P696" s="368"/>
      <c r="Q696" s="368"/>
      <c r="R696" s="368"/>
      <c r="S696" s="368"/>
      <c r="T696" s="368"/>
      <c r="U696" s="368"/>
      <c r="V696" s="368"/>
      <c r="W696" s="26"/>
      <c r="X696" s="26"/>
      <c r="Y696" s="26"/>
      <c r="Z696" s="26"/>
    </row>
    <row r="697">
      <c r="A697" s="368"/>
      <c r="B697" s="368"/>
      <c r="C697" s="368"/>
      <c r="D697" s="368"/>
      <c r="E697" s="368"/>
      <c r="F697" s="368"/>
      <c r="G697" s="368"/>
      <c r="H697" s="368"/>
      <c r="I697" s="368"/>
      <c r="J697" s="368"/>
      <c r="K697" s="368"/>
      <c r="L697" s="368"/>
      <c r="M697" s="368"/>
      <c r="N697" s="368"/>
      <c r="O697" s="368"/>
      <c r="P697" s="368"/>
      <c r="Q697" s="368"/>
      <c r="R697" s="368"/>
      <c r="S697" s="368"/>
      <c r="T697" s="368"/>
      <c r="U697" s="368"/>
      <c r="V697" s="368"/>
      <c r="W697" s="26"/>
      <c r="X697" s="26"/>
      <c r="Y697" s="26"/>
      <c r="Z697" s="26"/>
    </row>
    <row r="698">
      <c r="A698" s="368"/>
      <c r="B698" s="368"/>
      <c r="C698" s="368"/>
      <c r="D698" s="368"/>
      <c r="E698" s="368"/>
      <c r="F698" s="368"/>
      <c r="G698" s="368"/>
      <c r="H698" s="368"/>
      <c r="I698" s="368"/>
      <c r="J698" s="368"/>
      <c r="K698" s="368"/>
      <c r="L698" s="368"/>
      <c r="M698" s="368"/>
      <c r="N698" s="368"/>
      <c r="O698" s="368"/>
      <c r="P698" s="368"/>
      <c r="Q698" s="368"/>
      <c r="R698" s="368"/>
      <c r="S698" s="368"/>
      <c r="T698" s="368"/>
      <c r="U698" s="368"/>
      <c r="V698" s="368"/>
      <c r="W698" s="26"/>
      <c r="X698" s="26"/>
      <c r="Y698" s="26"/>
      <c r="Z698" s="26"/>
    </row>
    <row r="699">
      <c r="A699" s="368"/>
      <c r="B699" s="368"/>
      <c r="C699" s="368"/>
      <c r="D699" s="368"/>
      <c r="E699" s="368"/>
      <c r="F699" s="368"/>
      <c r="G699" s="368"/>
      <c r="H699" s="368"/>
      <c r="I699" s="368"/>
      <c r="J699" s="368"/>
      <c r="K699" s="368"/>
      <c r="L699" s="368"/>
      <c r="M699" s="368"/>
      <c r="N699" s="368"/>
      <c r="O699" s="368"/>
      <c r="P699" s="368"/>
      <c r="Q699" s="368"/>
      <c r="R699" s="368"/>
      <c r="S699" s="368"/>
      <c r="T699" s="368"/>
      <c r="U699" s="368"/>
      <c r="V699" s="368"/>
      <c r="W699" s="26"/>
      <c r="X699" s="26"/>
      <c r="Y699" s="26"/>
      <c r="Z699" s="26"/>
    </row>
    <row r="700">
      <c r="A700" s="368"/>
      <c r="B700" s="368"/>
      <c r="C700" s="368"/>
      <c r="D700" s="368"/>
      <c r="E700" s="368"/>
      <c r="F700" s="368"/>
      <c r="G700" s="368"/>
      <c r="H700" s="368"/>
      <c r="I700" s="368"/>
      <c r="J700" s="368"/>
      <c r="K700" s="368"/>
      <c r="L700" s="368"/>
      <c r="M700" s="368"/>
      <c r="N700" s="368"/>
      <c r="O700" s="368"/>
      <c r="P700" s="368"/>
      <c r="Q700" s="368"/>
      <c r="R700" s="368"/>
      <c r="S700" s="368"/>
      <c r="T700" s="368"/>
      <c r="U700" s="368"/>
      <c r="V700" s="368"/>
      <c r="W700" s="26"/>
      <c r="X700" s="26"/>
      <c r="Y700" s="26"/>
      <c r="Z700" s="26"/>
    </row>
    <row r="701">
      <c r="A701" s="368"/>
      <c r="B701" s="368"/>
      <c r="C701" s="368"/>
      <c r="D701" s="368"/>
      <c r="E701" s="368"/>
      <c r="F701" s="368"/>
      <c r="G701" s="368"/>
      <c r="H701" s="368"/>
      <c r="I701" s="368"/>
      <c r="J701" s="368"/>
      <c r="K701" s="368"/>
      <c r="L701" s="368"/>
      <c r="M701" s="368"/>
      <c r="N701" s="368"/>
      <c r="O701" s="368"/>
      <c r="P701" s="368"/>
      <c r="Q701" s="368"/>
      <c r="R701" s="368"/>
      <c r="S701" s="368"/>
      <c r="T701" s="368"/>
      <c r="U701" s="368"/>
      <c r="V701" s="368"/>
      <c r="W701" s="26"/>
      <c r="X701" s="26"/>
      <c r="Y701" s="26"/>
      <c r="Z701" s="26"/>
    </row>
    <row r="702">
      <c r="A702" s="368"/>
      <c r="B702" s="368"/>
      <c r="C702" s="368"/>
      <c r="D702" s="368"/>
      <c r="E702" s="368"/>
      <c r="F702" s="368"/>
      <c r="G702" s="368"/>
      <c r="H702" s="368"/>
      <c r="I702" s="368"/>
      <c r="J702" s="368"/>
      <c r="K702" s="368"/>
      <c r="L702" s="368"/>
      <c r="M702" s="368"/>
      <c r="N702" s="368"/>
      <c r="O702" s="368"/>
      <c r="P702" s="368"/>
      <c r="Q702" s="368"/>
      <c r="R702" s="368"/>
      <c r="S702" s="368"/>
      <c r="T702" s="368"/>
      <c r="U702" s="368"/>
      <c r="V702" s="368"/>
      <c r="W702" s="26"/>
      <c r="X702" s="26"/>
      <c r="Y702" s="26"/>
      <c r="Z702" s="26"/>
    </row>
    <row r="703">
      <c r="A703" s="368"/>
      <c r="B703" s="368"/>
      <c r="C703" s="368"/>
      <c r="D703" s="368"/>
      <c r="E703" s="368"/>
      <c r="F703" s="368"/>
      <c r="G703" s="368"/>
      <c r="H703" s="368"/>
      <c r="I703" s="368"/>
      <c r="J703" s="368"/>
      <c r="K703" s="368"/>
      <c r="L703" s="368"/>
      <c r="M703" s="368"/>
      <c r="N703" s="368"/>
      <c r="O703" s="368"/>
      <c r="P703" s="368"/>
      <c r="Q703" s="368"/>
      <c r="R703" s="368"/>
      <c r="S703" s="368"/>
      <c r="T703" s="368"/>
      <c r="U703" s="368"/>
      <c r="V703" s="368"/>
      <c r="W703" s="26"/>
      <c r="X703" s="26"/>
      <c r="Y703" s="26"/>
      <c r="Z703" s="26"/>
    </row>
    <row r="704">
      <c r="A704" s="368"/>
      <c r="B704" s="368"/>
      <c r="C704" s="368"/>
      <c r="D704" s="368"/>
      <c r="E704" s="368"/>
      <c r="F704" s="368"/>
      <c r="G704" s="368"/>
      <c r="H704" s="368"/>
      <c r="I704" s="368"/>
      <c r="J704" s="368"/>
      <c r="K704" s="368"/>
      <c r="L704" s="368"/>
      <c r="M704" s="368"/>
      <c r="N704" s="368"/>
      <c r="O704" s="368"/>
      <c r="P704" s="368"/>
      <c r="Q704" s="368"/>
      <c r="R704" s="368"/>
      <c r="S704" s="368"/>
      <c r="T704" s="368"/>
      <c r="U704" s="368"/>
      <c r="V704" s="368"/>
      <c r="W704" s="26"/>
      <c r="X704" s="26"/>
      <c r="Y704" s="26"/>
      <c r="Z704" s="26"/>
    </row>
    <row r="705">
      <c r="A705" s="368"/>
      <c r="B705" s="368"/>
      <c r="C705" s="368"/>
      <c r="D705" s="368"/>
      <c r="E705" s="368"/>
      <c r="F705" s="368"/>
      <c r="G705" s="368"/>
      <c r="H705" s="368"/>
      <c r="I705" s="368"/>
      <c r="J705" s="368"/>
      <c r="K705" s="368"/>
      <c r="L705" s="368"/>
      <c r="M705" s="368"/>
      <c r="N705" s="368"/>
      <c r="O705" s="368"/>
      <c r="P705" s="368"/>
      <c r="Q705" s="368"/>
      <c r="R705" s="368"/>
      <c r="S705" s="368"/>
      <c r="T705" s="368"/>
      <c r="U705" s="368"/>
      <c r="V705" s="368"/>
      <c r="W705" s="26"/>
      <c r="X705" s="26"/>
      <c r="Y705" s="26"/>
      <c r="Z705" s="26"/>
    </row>
    <row r="706">
      <c r="A706" s="368"/>
      <c r="B706" s="368"/>
      <c r="C706" s="368"/>
      <c r="D706" s="368"/>
      <c r="E706" s="368"/>
      <c r="F706" s="368"/>
      <c r="G706" s="368"/>
      <c r="H706" s="368"/>
      <c r="I706" s="368"/>
      <c r="J706" s="368"/>
      <c r="K706" s="368"/>
      <c r="L706" s="368"/>
      <c r="M706" s="368"/>
      <c r="N706" s="368"/>
      <c r="O706" s="368"/>
      <c r="P706" s="368"/>
      <c r="Q706" s="368"/>
      <c r="R706" s="368"/>
      <c r="S706" s="368"/>
      <c r="T706" s="368"/>
      <c r="U706" s="368"/>
      <c r="V706" s="368"/>
      <c r="W706" s="26"/>
      <c r="X706" s="26"/>
      <c r="Y706" s="26"/>
      <c r="Z706" s="26"/>
    </row>
    <row r="707">
      <c r="A707" s="368"/>
      <c r="B707" s="368"/>
      <c r="C707" s="368"/>
      <c r="D707" s="368"/>
      <c r="E707" s="368"/>
      <c r="F707" s="368"/>
      <c r="G707" s="368"/>
      <c r="H707" s="368"/>
      <c r="I707" s="368"/>
      <c r="J707" s="368"/>
      <c r="K707" s="368"/>
      <c r="L707" s="368"/>
      <c r="M707" s="368"/>
      <c r="N707" s="368"/>
      <c r="O707" s="368"/>
      <c r="P707" s="368"/>
      <c r="Q707" s="368"/>
      <c r="R707" s="368"/>
      <c r="S707" s="368"/>
      <c r="T707" s="368"/>
      <c r="U707" s="368"/>
      <c r="V707" s="368"/>
      <c r="W707" s="26"/>
      <c r="X707" s="26"/>
      <c r="Y707" s="26"/>
      <c r="Z707" s="26"/>
    </row>
    <row r="708">
      <c r="A708" s="368"/>
      <c r="B708" s="368"/>
      <c r="C708" s="368"/>
      <c r="D708" s="368"/>
      <c r="E708" s="368"/>
      <c r="F708" s="368"/>
      <c r="G708" s="368"/>
      <c r="H708" s="368"/>
      <c r="I708" s="368"/>
      <c r="J708" s="368"/>
      <c r="K708" s="368"/>
      <c r="L708" s="368"/>
      <c r="M708" s="368"/>
      <c r="N708" s="368"/>
      <c r="O708" s="368"/>
      <c r="P708" s="368"/>
      <c r="Q708" s="368"/>
      <c r="R708" s="368"/>
      <c r="S708" s="368"/>
      <c r="T708" s="368"/>
      <c r="U708" s="368"/>
      <c r="V708" s="368"/>
      <c r="W708" s="26"/>
      <c r="X708" s="26"/>
      <c r="Y708" s="26"/>
      <c r="Z708" s="26"/>
    </row>
    <row r="709">
      <c r="A709" s="368"/>
      <c r="B709" s="368"/>
      <c r="C709" s="368"/>
      <c r="D709" s="368"/>
      <c r="E709" s="368"/>
      <c r="F709" s="368"/>
      <c r="G709" s="368"/>
      <c r="H709" s="368"/>
      <c r="I709" s="368"/>
      <c r="J709" s="368"/>
      <c r="K709" s="368"/>
      <c r="L709" s="368"/>
      <c r="M709" s="368"/>
      <c r="N709" s="368"/>
      <c r="O709" s="368"/>
      <c r="P709" s="368"/>
      <c r="Q709" s="368"/>
      <c r="R709" s="368"/>
      <c r="S709" s="368"/>
      <c r="T709" s="368"/>
      <c r="U709" s="368"/>
      <c r="V709" s="368"/>
      <c r="W709" s="26"/>
      <c r="X709" s="26"/>
      <c r="Y709" s="26"/>
      <c r="Z709" s="26"/>
    </row>
    <row r="710">
      <c r="A710" s="368"/>
      <c r="B710" s="368"/>
      <c r="C710" s="368"/>
      <c r="D710" s="368"/>
      <c r="E710" s="368"/>
      <c r="F710" s="368"/>
      <c r="G710" s="368"/>
      <c r="H710" s="368"/>
      <c r="I710" s="368"/>
      <c r="J710" s="368"/>
      <c r="K710" s="368"/>
      <c r="L710" s="368"/>
      <c r="M710" s="368"/>
      <c r="N710" s="368"/>
      <c r="O710" s="368"/>
      <c r="P710" s="368"/>
      <c r="Q710" s="368"/>
      <c r="R710" s="368"/>
      <c r="S710" s="368"/>
      <c r="T710" s="368"/>
      <c r="U710" s="368"/>
      <c r="V710" s="368"/>
      <c r="W710" s="26"/>
      <c r="X710" s="26"/>
      <c r="Y710" s="26"/>
      <c r="Z710" s="26"/>
    </row>
    <row r="711">
      <c r="A711" s="368"/>
      <c r="B711" s="368"/>
      <c r="C711" s="368"/>
      <c r="D711" s="368"/>
      <c r="E711" s="368"/>
      <c r="F711" s="368"/>
      <c r="G711" s="368"/>
      <c r="H711" s="368"/>
      <c r="I711" s="368"/>
      <c r="J711" s="368"/>
      <c r="K711" s="368"/>
      <c r="L711" s="368"/>
      <c r="M711" s="368"/>
      <c r="N711" s="368"/>
      <c r="O711" s="368"/>
      <c r="P711" s="368"/>
      <c r="Q711" s="368"/>
      <c r="R711" s="368"/>
      <c r="S711" s="368"/>
      <c r="T711" s="368"/>
      <c r="U711" s="368"/>
      <c r="V711" s="368"/>
      <c r="W711" s="26"/>
      <c r="X711" s="26"/>
      <c r="Y711" s="26"/>
      <c r="Z711" s="26"/>
    </row>
    <row r="712">
      <c r="A712" s="368"/>
      <c r="B712" s="368"/>
      <c r="C712" s="368"/>
      <c r="D712" s="368"/>
      <c r="E712" s="368"/>
      <c r="F712" s="368"/>
      <c r="G712" s="368"/>
      <c r="H712" s="368"/>
      <c r="I712" s="368"/>
      <c r="J712" s="368"/>
      <c r="K712" s="368"/>
      <c r="L712" s="368"/>
      <c r="M712" s="368"/>
      <c r="N712" s="368"/>
      <c r="O712" s="368"/>
      <c r="P712" s="368"/>
      <c r="Q712" s="368"/>
      <c r="R712" s="368"/>
      <c r="S712" s="368"/>
      <c r="T712" s="368"/>
      <c r="U712" s="368"/>
      <c r="V712" s="368"/>
      <c r="W712" s="26"/>
      <c r="X712" s="26"/>
      <c r="Y712" s="26"/>
      <c r="Z712" s="26"/>
    </row>
    <row r="713">
      <c r="A713" s="368"/>
      <c r="B713" s="368"/>
      <c r="C713" s="368"/>
      <c r="D713" s="368"/>
      <c r="E713" s="368"/>
      <c r="F713" s="368"/>
      <c r="G713" s="368"/>
      <c r="H713" s="368"/>
      <c r="I713" s="368"/>
      <c r="J713" s="368"/>
      <c r="K713" s="368"/>
      <c r="L713" s="368"/>
      <c r="M713" s="368"/>
      <c r="N713" s="368"/>
      <c r="O713" s="368"/>
      <c r="P713" s="368"/>
      <c r="Q713" s="368"/>
      <c r="R713" s="368"/>
      <c r="S713" s="368"/>
      <c r="T713" s="368"/>
      <c r="U713" s="368"/>
      <c r="V713" s="368"/>
      <c r="W713" s="26"/>
      <c r="X713" s="26"/>
      <c r="Y713" s="26"/>
      <c r="Z713" s="26"/>
    </row>
    <row r="714">
      <c r="A714" s="368"/>
      <c r="B714" s="368"/>
      <c r="C714" s="368"/>
      <c r="D714" s="368"/>
      <c r="E714" s="368"/>
      <c r="F714" s="368"/>
      <c r="G714" s="368"/>
      <c r="H714" s="368"/>
      <c r="I714" s="368"/>
      <c r="J714" s="368"/>
      <c r="K714" s="368"/>
      <c r="L714" s="368"/>
      <c r="M714" s="368"/>
      <c r="N714" s="368"/>
      <c r="O714" s="368"/>
      <c r="P714" s="368"/>
      <c r="Q714" s="368"/>
      <c r="R714" s="368"/>
      <c r="S714" s="368"/>
      <c r="T714" s="368"/>
      <c r="U714" s="368"/>
      <c r="V714" s="368"/>
      <c r="W714" s="26"/>
      <c r="X714" s="26"/>
      <c r="Y714" s="26"/>
      <c r="Z714" s="26"/>
    </row>
    <row r="715">
      <c r="A715" s="368"/>
      <c r="B715" s="368"/>
      <c r="C715" s="368"/>
      <c r="D715" s="368"/>
      <c r="E715" s="368"/>
      <c r="F715" s="368"/>
      <c r="G715" s="368"/>
      <c r="H715" s="368"/>
      <c r="I715" s="368"/>
      <c r="J715" s="368"/>
      <c r="K715" s="368"/>
      <c r="L715" s="368"/>
      <c r="M715" s="368"/>
      <c r="N715" s="368"/>
      <c r="O715" s="368"/>
      <c r="P715" s="368"/>
      <c r="Q715" s="368"/>
      <c r="R715" s="368"/>
      <c r="S715" s="368"/>
      <c r="T715" s="368"/>
      <c r="U715" s="368"/>
      <c r="V715" s="368"/>
      <c r="W715" s="26"/>
      <c r="X715" s="26"/>
      <c r="Y715" s="26"/>
      <c r="Z715" s="26"/>
    </row>
    <row r="716">
      <c r="A716" s="368"/>
      <c r="B716" s="368"/>
      <c r="C716" s="368"/>
      <c r="D716" s="368"/>
      <c r="E716" s="368"/>
      <c r="F716" s="368"/>
      <c r="G716" s="368"/>
      <c r="H716" s="368"/>
      <c r="I716" s="368"/>
      <c r="J716" s="368"/>
      <c r="K716" s="368"/>
      <c r="L716" s="368"/>
      <c r="M716" s="368"/>
      <c r="N716" s="368"/>
      <c r="O716" s="368"/>
      <c r="P716" s="368"/>
      <c r="Q716" s="368"/>
      <c r="R716" s="368"/>
      <c r="S716" s="368"/>
      <c r="T716" s="368"/>
      <c r="U716" s="368"/>
      <c r="V716" s="368"/>
      <c r="W716" s="26"/>
      <c r="X716" s="26"/>
      <c r="Y716" s="26"/>
      <c r="Z716" s="26"/>
    </row>
    <row r="717">
      <c r="A717" s="368"/>
      <c r="B717" s="368"/>
      <c r="C717" s="368"/>
      <c r="D717" s="368"/>
      <c r="E717" s="368"/>
      <c r="F717" s="368"/>
      <c r="G717" s="368"/>
      <c r="H717" s="368"/>
      <c r="I717" s="368"/>
      <c r="J717" s="368"/>
      <c r="K717" s="368"/>
      <c r="L717" s="368"/>
      <c r="M717" s="368"/>
      <c r="N717" s="368"/>
      <c r="O717" s="368"/>
      <c r="P717" s="368"/>
      <c r="Q717" s="368"/>
      <c r="R717" s="368"/>
      <c r="S717" s="368"/>
      <c r="T717" s="368"/>
      <c r="U717" s="368"/>
      <c r="V717" s="368"/>
      <c r="W717" s="26"/>
      <c r="X717" s="26"/>
      <c r="Y717" s="26"/>
      <c r="Z717" s="26"/>
    </row>
    <row r="718">
      <c r="A718" s="368"/>
      <c r="B718" s="368"/>
      <c r="C718" s="368"/>
      <c r="D718" s="368"/>
      <c r="E718" s="368"/>
      <c r="F718" s="368"/>
      <c r="G718" s="368"/>
      <c r="H718" s="368"/>
      <c r="I718" s="368"/>
      <c r="J718" s="368"/>
      <c r="K718" s="368"/>
      <c r="L718" s="368"/>
      <c r="M718" s="368"/>
      <c r="N718" s="368"/>
      <c r="O718" s="368"/>
      <c r="P718" s="368"/>
      <c r="Q718" s="368"/>
      <c r="R718" s="368"/>
      <c r="S718" s="368"/>
      <c r="T718" s="368"/>
      <c r="U718" s="368"/>
      <c r="V718" s="368"/>
      <c r="W718" s="26"/>
      <c r="X718" s="26"/>
      <c r="Y718" s="26"/>
      <c r="Z718" s="26"/>
    </row>
    <row r="719">
      <c r="A719" s="368"/>
      <c r="B719" s="368"/>
      <c r="C719" s="368"/>
      <c r="D719" s="368"/>
      <c r="E719" s="368"/>
      <c r="F719" s="368"/>
      <c r="G719" s="368"/>
      <c r="H719" s="368"/>
      <c r="I719" s="368"/>
      <c r="J719" s="368"/>
      <c r="K719" s="368"/>
      <c r="L719" s="368"/>
      <c r="M719" s="368"/>
      <c r="N719" s="368"/>
      <c r="O719" s="368"/>
      <c r="P719" s="368"/>
      <c r="Q719" s="368"/>
      <c r="R719" s="368"/>
      <c r="S719" s="368"/>
      <c r="T719" s="368"/>
      <c r="U719" s="368"/>
      <c r="V719" s="368"/>
      <c r="W719" s="26"/>
      <c r="X719" s="26"/>
      <c r="Y719" s="26"/>
      <c r="Z719" s="26"/>
    </row>
    <row r="720">
      <c r="A720" s="368"/>
      <c r="B720" s="368"/>
      <c r="C720" s="368"/>
      <c r="D720" s="368"/>
      <c r="E720" s="368"/>
      <c r="F720" s="368"/>
      <c r="G720" s="368"/>
      <c r="H720" s="368"/>
      <c r="I720" s="368"/>
      <c r="J720" s="368"/>
      <c r="K720" s="368"/>
      <c r="L720" s="368"/>
      <c r="M720" s="368"/>
      <c r="N720" s="368"/>
      <c r="O720" s="368"/>
      <c r="P720" s="368"/>
      <c r="Q720" s="368"/>
      <c r="R720" s="368"/>
      <c r="S720" s="368"/>
      <c r="T720" s="368"/>
      <c r="U720" s="368"/>
      <c r="V720" s="368"/>
      <c r="W720" s="26"/>
      <c r="X720" s="26"/>
      <c r="Y720" s="26"/>
      <c r="Z720" s="26"/>
    </row>
    <row r="721">
      <c r="A721" s="368"/>
      <c r="B721" s="368"/>
      <c r="C721" s="368"/>
      <c r="D721" s="368"/>
      <c r="E721" s="368"/>
      <c r="F721" s="368"/>
      <c r="G721" s="368"/>
      <c r="H721" s="368"/>
      <c r="I721" s="368"/>
      <c r="J721" s="368"/>
      <c r="K721" s="368"/>
      <c r="L721" s="368"/>
      <c r="M721" s="368"/>
      <c r="N721" s="368"/>
      <c r="O721" s="368"/>
      <c r="P721" s="368"/>
      <c r="Q721" s="368"/>
      <c r="R721" s="368"/>
      <c r="S721" s="368"/>
      <c r="T721" s="368"/>
      <c r="U721" s="368"/>
      <c r="V721" s="368"/>
      <c r="W721" s="26"/>
      <c r="X721" s="26"/>
      <c r="Y721" s="26"/>
      <c r="Z721" s="26"/>
    </row>
    <row r="722">
      <c r="A722" s="368"/>
      <c r="B722" s="368"/>
      <c r="C722" s="368"/>
      <c r="D722" s="368"/>
      <c r="E722" s="368"/>
      <c r="F722" s="368"/>
      <c r="G722" s="368"/>
      <c r="H722" s="368"/>
      <c r="I722" s="368"/>
      <c r="J722" s="368"/>
      <c r="K722" s="368"/>
      <c r="L722" s="368"/>
      <c r="M722" s="368"/>
      <c r="N722" s="368"/>
      <c r="O722" s="368"/>
      <c r="P722" s="368"/>
      <c r="Q722" s="368"/>
      <c r="R722" s="368"/>
      <c r="S722" s="368"/>
      <c r="T722" s="368"/>
      <c r="U722" s="368"/>
      <c r="V722" s="368"/>
      <c r="W722" s="26"/>
      <c r="X722" s="26"/>
      <c r="Y722" s="26"/>
      <c r="Z722" s="26"/>
    </row>
    <row r="723">
      <c r="A723" s="368"/>
      <c r="B723" s="368"/>
      <c r="C723" s="368"/>
      <c r="D723" s="368"/>
      <c r="E723" s="368"/>
      <c r="F723" s="368"/>
      <c r="G723" s="368"/>
      <c r="H723" s="368"/>
      <c r="I723" s="368"/>
      <c r="J723" s="368"/>
      <c r="K723" s="368"/>
      <c r="L723" s="368"/>
      <c r="M723" s="368"/>
      <c r="N723" s="368"/>
      <c r="O723" s="368"/>
      <c r="P723" s="368"/>
      <c r="Q723" s="368"/>
      <c r="R723" s="368"/>
      <c r="S723" s="368"/>
      <c r="T723" s="368"/>
      <c r="U723" s="368"/>
      <c r="V723" s="368"/>
      <c r="W723" s="26"/>
      <c r="X723" s="26"/>
      <c r="Y723" s="26"/>
      <c r="Z723" s="26"/>
    </row>
    <row r="724">
      <c r="A724" s="368"/>
      <c r="B724" s="368"/>
      <c r="C724" s="368"/>
      <c r="D724" s="368"/>
      <c r="E724" s="368"/>
      <c r="F724" s="368"/>
      <c r="G724" s="368"/>
      <c r="H724" s="368"/>
      <c r="I724" s="368"/>
      <c r="J724" s="368"/>
      <c r="K724" s="368"/>
      <c r="L724" s="368"/>
      <c r="M724" s="368"/>
      <c r="N724" s="368"/>
      <c r="O724" s="368"/>
      <c r="P724" s="368"/>
      <c r="Q724" s="368"/>
      <c r="R724" s="368"/>
      <c r="S724" s="368"/>
      <c r="T724" s="368"/>
      <c r="U724" s="368"/>
      <c r="V724" s="368"/>
      <c r="W724" s="26"/>
      <c r="X724" s="26"/>
      <c r="Y724" s="26"/>
      <c r="Z724" s="26"/>
    </row>
    <row r="725">
      <c r="A725" s="368"/>
      <c r="B725" s="368"/>
      <c r="C725" s="368"/>
      <c r="D725" s="368"/>
      <c r="E725" s="368"/>
      <c r="F725" s="368"/>
      <c r="G725" s="368"/>
      <c r="H725" s="368"/>
      <c r="I725" s="368"/>
      <c r="J725" s="368"/>
      <c r="K725" s="368"/>
      <c r="L725" s="368"/>
      <c r="M725" s="368"/>
      <c r="N725" s="368"/>
      <c r="O725" s="368"/>
      <c r="P725" s="368"/>
      <c r="Q725" s="368"/>
      <c r="R725" s="368"/>
      <c r="S725" s="368"/>
      <c r="T725" s="368"/>
      <c r="U725" s="368"/>
      <c r="V725" s="368"/>
      <c r="W725" s="26"/>
      <c r="X725" s="26"/>
      <c r="Y725" s="26"/>
      <c r="Z725" s="26"/>
    </row>
    <row r="726">
      <c r="A726" s="368"/>
      <c r="B726" s="368"/>
      <c r="C726" s="368"/>
      <c r="D726" s="368"/>
      <c r="E726" s="368"/>
      <c r="F726" s="368"/>
      <c r="G726" s="368"/>
      <c r="H726" s="368"/>
      <c r="I726" s="368"/>
      <c r="J726" s="368"/>
      <c r="K726" s="368"/>
      <c r="L726" s="368"/>
      <c r="M726" s="368"/>
      <c r="N726" s="368"/>
      <c r="O726" s="368"/>
      <c r="P726" s="368"/>
      <c r="Q726" s="368"/>
      <c r="R726" s="368"/>
      <c r="S726" s="368"/>
      <c r="T726" s="368"/>
      <c r="U726" s="368"/>
      <c r="V726" s="368"/>
      <c r="W726" s="26"/>
      <c r="X726" s="26"/>
      <c r="Y726" s="26"/>
      <c r="Z726" s="26"/>
    </row>
    <row r="727">
      <c r="A727" s="368"/>
      <c r="B727" s="368"/>
      <c r="C727" s="368"/>
      <c r="D727" s="368"/>
      <c r="E727" s="368"/>
      <c r="F727" s="368"/>
      <c r="G727" s="368"/>
      <c r="H727" s="368"/>
      <c r="I727" s="368"/>
      <c r="J727" s="368"/>
      <c r="K727" s="368"/>
      <c r="L727" s="368"/>
      <c r="M727" s="368"/>
      <c r="N727" s="368"/>
      <c r="O727" s="368"/>
      <c r="P727" s="368"/>
      <c r="Q727" s="368"/>
      <c r="R727" s="368"/>
      <c r="S727" s="368"/>
      <c r="T727" s="368"/>
      <c r="U727" s="368"/>
      <c r="V727" s="368"/>
      <c r="W727" s="26"/>
      <c r="X727" s="26"/>
      <c r="Y727" s="26"/>
      <c r="Z727" s="26"/>
    </row>
    <row r="728">
      <c r="A728" s="368"/>
      <c r="B728" s="368"/>
      <c r="C728" s="368"/>
      <c r="D728" s="368"/>
      <c r="E728" s="368"/>
      <c r="F728" s="368"/>
      <c r="G728" s="368"/>
      <c r="H728" s="368"/>
      <c r="I728" s="368"/>
      <c r="J728" s="368"/>
      <c r="K728" s="368"/>
      <c r="L728" s="368"/>
      <c r="M728" s="368"/>
      <c r="N728" s="368"/>
      <c r="O728" s="368"/>
      <c r="P728" s="368"/>
      <c r="Q728" s="368"/>
      <c r="R728" s="368"/>
      <c r="S728" s="368"/>
      <c r="T728" s="368"/>
      <c r="U728" s="368"/>
      <c r="V728" s="368"/>
      <c r="W728" s="26"/>
      <c r="X728" s="26"/>
      <c r="Y728" s="26"/>
      <c r="Z728" s="26"/>
    </row>
    <row r="729">
      <c r="A729" s="368"/>
      <c r="B729" s="368"/>
      <c r="C729" s="368"/>
      <c r="D729" s="368"/>
      <c r="E729" s="368"/>
      <c r="F729" s="368"/>
      <c r="G729" s="368"/>
      <c r="H729" s="368"/>
      <c r="I729" s="368"/>
      <c r="J729" s="368"/>
      <c r="K729" s="368"/>
      <c r="L729" s="368"/>
      <c r="M729" s="368"/>
      <c r="N729" s="368"/>
      <c r="O729" s="368"/>
      <c r="P729" s="368"/>
      <c r="Q729" s="368"/>
      <c r="R729" s="368"/>
      <c r="S729" s="368"/>
      <c r="T729" s="368"/>
      <c r="U729" s="368"/>
      <c r="V729" s="368"/>
      <c r="W729" s="26"/>
      <c r="X729" s="26"/>
      <c r="Y729" s="26"/>
      <c r="Z729" s="26"/>
    </row>
    <row r="730">
      <c r="A730" s="368"/>
      <c r="B730" s="368"/>
      <c r="C730" s="368"/>
      <c r="D730" s="368"/>
      <c r="E730" s="368"/>
      <c r="F730" s="368"/>
      <c r="G730" s="368"/>
      <c r="H730" s="368"/>
      <c r="I730" s="368"/>
      <c r="J730" s="368"/>
      <c r="K730" s="368"/>
      <c r="L730" s="368"/>
      <c r="M730" s="368"/>
      <c r="N730" s="368"/>
      <c r="O730" s="368"/>
      <c r="P730" s="368"/>
      <c r="Q730" s="368"/>
      <c r="R730" s="368"/>
      <c r="S730" s="368"/>
      <c r="T730" s="368"/>
      <c r="U730" s="368"/>
      <c r="V730" s="368"/>
      <c r="W730" s="26"/>
      <c r="X730" s="26"/>
      <c r="Y730" s="26"/>
      <c r="Z730" s="26"/>
    </row>
    <row r="731">
      <c r="A731" s="368"/>
      <c r="B731" s="368"/>
      <c r="C731" s="368"/>
      <c r="D731" s="368"/>
      <c r="E731" s="368"/>
      <c r="F731" s="368"/>
      <c r="G731" s="368"/>
      <c r="H731" s="368"/>
      <c r="I731" s="368"/>
      <c r="J731" s="368"/>
      <c r="K731" s="368"/>
      <c r="L731" s="368"/>
      <c r="M731" s="368"/>
      <c r="N731" s="368"/>
      <c r="O731" s="368"/>
      <c r="P731" s="368"/>
      <c r="Q731" s="368"/>
      <c r="R731" s="368"/>
      <c r="S731" s="368"/>
      <c r="T731" s="368"/>
      <c r="U731" s="368"/>
      <c r="V731" s="368"/>
      <c r="W731" s="26"/>
      <c r="X731" s="26"/>
      <c r="Y731" s="26"/>
      <c r="Z731" s="26"/>
    </row>
    <row r="732">
      <c r="A732" s="368"/>
      <c r="B732" s="368"/>
      <c r="C732" s="368"/>
      <c r="D732" s="368"/>
      <c r="E732" s="368"/>
      <c r="F732" s="368"/>
      <c r="G732" s="368"/>
      <c r="H732" s="368"/>
      <c r="I732" s="368"/>
      <c r="J732" s="368"/>
      <c r="K732" s="368"/>
      <c r="L732" s="368"/>
      <c r="M732" s="368"/>
      <c r="N732" s="368"/>
      <c r="O732" s="368"/>
      <c r="P732" s="368"/>
      <c r="Q732" s="368"/>
      <c r="R732" s="368"/>
      <c r="S732" s="368"/>
      <c r="T732" s="368"/>
      <c r="U732" s="368"/>
      <c r="V732" s="368"/>
      <c r="W732" s="26"/>
      <c r="X732" s="26"/>
      <c r="Y732" s="26"/>
      <c r="Z732" s="26"/>
    </row>
    <row r="733">
      <c r="A733" s="368"/>
      <c r="B733" s="368"/>
      <c r="C733" s="368"/>
      <c r="D733" s="368"/>
      <c r="E733" s="368"/>
      <c r="F733" s="368"/>
      <c r="G733" s="368"/>
      <c r="H733" s="368"/>
      <c r="I733" s="368"/>
      <c r="J733" s="368"/>
      <c r="K733" s="368"/>
      <c r="L733" s="368"/>
      <c r="M733" s="368"/>
      <c r="N733" s="368"/>
      <c r="O733" s="368"/>
      <c r="P733" s="368"/>
      <c r="Q733" s="368"/>
      <c r="R733" s="368"/>
      <c r="S733" s="368"/>
      <c r="T733" s="368"/>
      <c r="U733" s="368"/>
      <c r="V733" s="368"/>
      <c r="W733" s="26"/>
      <c r="X733" s="26"/>
      <c r="Y733" s="26"/>
      <c r="Z733" s="26"/>
    </row>
    <row r="734">
      <c r="A734" s="368"/>
      <c r="B734" s="368"/>
      <c r="C734" s="368"/>
      <c r="D734" s="368"/>
      <c r="E734" s="368"/>
      <c r="F734" s="368"/>
      <c r="G734" s="368"/>
      <c r="H734" s="368"/>
      <c r="I734" s="368"/>
      <c r="J734" s="368"/>
      <c r="K734" s="368"/>
      <c r="L734" s="368"/>
      <c r="M734" s="368"/>
      <c r="N734" s="368"/>
      <c r="O734" s="368"/>
      <c r="P734" s="368"/>
      <c r="Q734" s="368"/>
      <c r="R734" s="368"/>
      <c r="S734" s="368"/>
      <c r="T734" s="368"/>
      <c r="U734" s="368"/>
      <c r="V734" s="368"/>
      <c r="W734" s="26"/>
      <c r="X734" s="26"/>
      <c r="Y734" s="26"/>
      <c r="Z734" s="26"/>
    </row>
    <row r="735">
      <c r="A735" s="368"/>
      <c r="B735" s="368"/>
      <c r="C735" s="368"/>
      <c r="D735" s="368"/>
      <c r="E735" s="368"/>
      <c r="F735" s="368"/>
      <c r="G735" s="368"/>
      <c r="H735" s="368"/>
      <c r="I735" s="368"/>
      <c r="J735" s="368"/>
      <c r="K735" s="368"/>
      <c r="L735" s="368"/>
      <c r="M735" s="368"/>
      <c r="N735" s="368"/>
      <c r="O735" s="368"/>
      <c r="P735" s="368"/>
      <c r="Q735" s="368"/>
      <c r="R735" s="368"/>
      <c r="S735" s="368"/>
      <c r="T735" s="368"/>
      <c r="U735" s="368"/>
      <c r="V735" s="368"/>
      <c r="W735" s="26"/>
      <c r="X735" s="26"/>
      <c r="Y735" s="26"/>
      <c r="Z735" s="26"/>
    </row>
    <row r="736">
      <c r="A736" s="368"/>
      <c r="B736" s="368"/>
      <c r="C736" s="368"/>
      <c r="D736" s="368"/>
      <c r="E736" s="368"/>
      <c r="F736" s="368"/>
      <c r="G736" s="368"/>
      <c r="H736" s="368"/>
      <c r="I736" s="368"/>
      <c r="J736" s="368"/>
      <c r="K736" s="368"/>
      <c r="L736" s="368"/>
      <c r="M736" s="368"/>
      <c r="N736" s="368"/>
      <c r="O736" s="368"/>
      <c r="P736" s="368"/>
      <c r="Q736" s="368"/>
      <c r="R736" s="368"/>
      <c r="S736" s="368"/>
      <c r="T736" s="368"/>
      <c r="U736" s="368"/>
      <c r="V736" s="368"/>
      <c r="W736" s="26"/>
      <c r="X736" s="26"/>
      <c r="Y736" s="26"/>
      <c r="Z736" s="26"/>
    </row>
    <row r="737">
      <c r="A737" s="368"/>
      <c r="B737" s="368"/>
      <c r="C737" s="368"/>
      <c r="D737" s="368"/>
      <c r="E737" s="368"/>
      <c r="F737" s="368"/>
      <c r="G737" s="368"/>
      <c r="H737" s="368"/>
      <c r="I737" s="368"/>
      <c r="J737" s="368"/>
      <c r="K737" s="368"/>
      <c r="L737" s="368"/>
      <c r="M737" s="368"/>
      <c r="N737" s="368"/>
      <c r="O737" s="368"/>
      <c r="P737" s="368"/>
      <c r="Q737" s="368"/>
      <c r="R737" s="368"/>
      <c r="S737" s="368"/>
      <c r="T737" s="368"/>
      <c r="U737" s="368"/>
      <c r="V737" s="368"/>
      <c r="W737" s="26"/>
      <c r="X737" s="26"/>
      <c r="Y737" s="26"/>
      <c r="Z737" s="26"/>
    </row>
    <row r="738">
      <c r="A738" s="368"/>
      <c r="B738" s="368"/>
      <c r="C738" s="368"/>
      <c r="D738" s="368"/>
      <c r="E738" s="368"/>
      <c r="F738" s="368"/>
      <c r="G738" s="368"/>
      <c r="H738" s="368"/>
      <c r="I738" s="368"/>
      <c r="J738" s="368"/>
      <c r="K738" s="368"/>
      <c r="L738" s="368"/>
      <c r="M738" s="368"/>
      <c r="N738" s="368"/>
      <c r="O738" s="368"/>
      <c r="P738" s="368"/>
      <c r="Q738" s="368"/>
      <c r="R738" s="368"/>
      <c r="S738" s="368"/>
      <c r="T738" s="368"/>
      <c r="U738" s="368"/>
      <c r="V738" s="368"/>
      <c r="W738" s="26"/>
      <c r="X738" s="26"/>
      <c r="Y738" s="26"/>
      <c r="Z738" s="26"/>
    </row>
    <row r="739">
      <c r="A739" s="368"/>
      <c r="B739" s="368"/>
      <c r="C739" s="368"/>
      <c r="D739" s="368"/>
      <c r="E739" s="368"/>
      <c r="F739" s="368"/>
      <c r="G739" s="368"/>
      <c r="H739" s="368"/>
      <c r="I739" s="368"/>
      <c r="J739" s="368"/>
      <c r="K739" s="368"/>
      <c r="L739" s="368"/>
      <c r="M739" s="368"/>
      <c r="N739" s="368"/>
      <c r="O739" s="368"/>
      <c r="P739" s="368"/>
      <c r="Q739" s="368"/>
      <c r="R739" s="368"/>
      <c r="S739" s="368"/>
      <c r="T739" s="368"/>
      <c r="U739" s="368"/>
      <c r="V739" s="368"/>
      <c r="W739" s="26"/>
      <c r="X739" s="26"/>
      <c r="Y739" s="26"/>
      <c r="Z739" s="26"/>
    </row>
    <row r="740">
      <c r="A740" s="368"/>
      <c r="B740" s="368"/>
      <c r="C740" s="368"/>
      <c r="D740" s="368"/>
      <c r="E740" s="368"/>
      <c r="F740" s="368"/>
      <c r="G740" s="368"/>
      <c r="H740" s="368"/>
      <c r="I740" s="368"/>
      <c r="J740" s="368"/>
      <c r="K740" s="368"/>
      <c r="L740" s="368"/>
      <c r="M740" s="368"/>
      <c r="N740" s="368"/>
      <c r="O740" s="368"/>
      <c r="P740" s="368"/>
      <c r="Q740" s="368"/>
      <c r="R740" s="368"/>
      <c r="S740" s="368"/>
      <c r="T740" s="368"/>
      <c r="U740" s="368"/>
      <c r="V740" s="368"/>
      <c r="W740" s="26"/>
      <c r="X740" s="26"/>
      <c r="Y740" s="26"/>
      <c r="Z740" s="26"/>
    </row>
    <row r="741">
      <c r="A741" s="368"/>
      <c r="B741" s="368"/>
      <c r="C741" s="368"/>
      <c r="D741" s="368"/>
      <c r="E741" s="368"/>
      <c r="F741" s="368"/>
      <c r="G741" s="368"/>
      <c r="H741" s="368"/>
      <c r="I741" s="368"/>
      <c r="J741" s="368"/>
      <c r="K741" s="368"/>
      <c r="L741" s="368"/>
      <c r="M741" s="368"/>
      <c r="N741" s="368"/>
      <c r="O741" s="368"/>
      <c r="P741" s="368"/>
      <c r="Q741" s="368"/>
      <c r="R741" s="368"/>
      <c r="S741" s="368"/>
      <c r="T741" s="368"/>
      <c r="U741" s="368"/>
      <c r="V741" s="368"/>
      <c r="W741" s="26"/>
      <c r="X741" s="26"/>
      <c r="Y741" s="26"/>
      <c r="Z741" s="26"/>
    </row>
    <row r="742">
      <c r="A742" s="368"/>
      <c r="B742" s="368"/>
      <c r="C742" s="368"/>
      <c r="D742" s="368"/>
      <c r="E742" s="368"/>
      <c r="F742" s="368"/>
      <c r="G742" s="368"/>
      <c r="H742" s="368"/>
      <c r="I742" s="368"/>
      <c r="J742" s="368"/>
      <c r="K742" s="368"/>
      <c r="L742" s="368"/>
      <c r="M742" s="368"/>
      <c r="N742" s="368"/>
      <c r="O742" s="368"/>
      <c r="P742" s="368"/>
      <c r="Q742" s="368"/>
      <c r="R742" s="368"/>
      <c r="S742" s="368"/>
      <c r="T742" s="368"/>
      <c r="U742" s="368"/>
      <c r="V742" s="368"/>
      <c r="W742" s="26"/>
      <c r="X742" s="26"/>
      <c r="Y742" s="26"/>
      <c r="Z742" s="26"/>
    </row>
    <row r="743">
      <c r="A743" s="368"/>
      <c r="B743" s="368"/>
      <c r="C743" s="368"/>
      <c r="D743" s="368"/>
      <c r="E743" s="368"/>
      <c r="F743" s="368"/>
      <c r="G743" s="368"/>
      <c r="H743" s="368"/>
      <c r="I743" s="368"/>
      <c r="J743" s="368"/>
      <c r="K743" s="368"/>
      <c r="L743" s="368"/>
      <c r="M743" s="368"/>
      <c r="N743" s="368"/>
      <c r="O743" s="368"/>
      <c r="P743" s="368"/>
      <c r="Q743" s="368"/>
      <c r="R743" s="368"/>
      <c r="S743" s="368"/>
      <c r="T743" s="368"/>
      <c r="U743" s="368"/>
      <c r="V743" s="368"/>
      <c r="W743" s="26"/>
      <c r="X743" s="26"/>
      <c r="Y743" s="26"/>
      <c r="Z743" s="26"/>
    </row>
    <row r="744">
      <c r="A744" s="368"/>
      <c r="B744" s="368"/>
      <c r="C744" s="368"/>
      <c r="D744" s="368"/>
      <c r="E744" s="368"/>
      <c r="F744" s="368"/>
      <c r="G744" s="368"/>
      <c r="H744" s="368"/>
      <c r="I744" s="368"/>
      <c r="J744" s="368"/>
      <c r="K744" s="368"/>
      <c r="L744" s="368"/>
      <c r="M744" s="368"/>
      <c r="N744" s="368"/>
      <c r="O744" s="368"/>
      <c r="P744" s="368"/>
      <c r="Q744" s="368"/>
      <c r="R744" s="368"/>
      <c r="S744" s="368"/>
      <c r="T744" s="368"/>
      <c r="U744" s="368"/>
      <c r="V744" s="368"/>
      <c r="W744" s="26"/>
      <c r="X744" s="26"/>
      <c r="Y744" s="26"/>
      <c r="Z744" s="26"/>
    </row>
    <row r="745">
      <c r="A745" s="368"/>
      <c r="B745" s="368"/>
      <c r="C745" s="368"/>
      <c r="D745" s="368"/>
      <c r="E745" s="368"/>
      <c r="F745" s="368"/>
      <c r="G745" s="368"/>
      <c r="H745" s="368"/>
      <c r="I745" s="368"/>
      <c r="J745" s="368"/>
      <c r="K745" s="368"/>
      <c r="L745" s="368"/>
      <c r="M745" s="368"/>
      <c r="N745" s="368"/>
      <c r="O745" s="368"/>
      <c r="P745" s="368"/>
      <c r="Q745" s="368"/>
      <c r="R745" s="368"/>
      <c r="S745" s="368"/>
      <c r="T745" s="368"/>
      <c r="U745" s="368"/>
      <c r="V745" s="368"/>
      <c r="W745" s="26"/>
      <c r="X745" s="26"/>
      <c r="Y745" s="26"/>
      <c r="Z745" s="26"/>
    </row>
    <row r="746">
      <c r="A746" s="368"/>
      <c r="B746" s="368"/>
      <c r="C746" s="368"/>
      <c r="D746" s="368"/>
      <c r="E746" s="368"/>
      <c r="F746" s="368"/>
      <c r="G746" s="368"/>
      <c r="H746" s="368"/>
      <c r="I746" s="368"/>
      <c r="J746" s="368"/>
      <c r="K746" s="368"/>
      <c r="L746" s="368"/>
      <c r="M746" s="368"/>
      <c r="N746" s="368"/>
      <c r="O746" s="368"/>
      <c r="P746" s="368"/>
      <c r="Q746" s="368"/>
      <c r="R746" s="368"/>
      <c r="S746" s="368"/>
      <c r="T746" s="368"/>
      <c r="U746" s="368"/>
      <c r="V746" s="368"/>
      <c r="W746" s="26"/>
      <c r="X746" s="26"/>
      <c r="Y746" s="26"/>
      <c r="Z746" s="26"/>
    </row>
    <row r="747">
      <c r="A747" s="368"/>
      <c r="B747" s="368"/>
      <c r="C747" s="368"/>
      <c r="D747" s="368"/>
      <c r="E747" s="368"/>
      <c r="F747" s="368"/>
      <c r="G747" s="368"/>
      <c r="H747" s="368"/>
      <c r="I747" s="368"/>
      <c r="J747" s="368"/>
      <c r="K747" s="368"/>
      <c r="L747" s="368"/>
      <c r="M747" s="368"/>
      <c r="N747" s="368"/>
      <c r="O747" s="368"/>
      <c r="P747" s="368"/>
      <c r="Q747" s="368"/>
      <c r="R747" s="368"/>
      <c r="S747" s="368"/>
      <c r="T747" s="368"/>
      <c r="U747" s="368"/>
      <c r="V747" s="368"/>
      <c r="W747" s="26"/>
      <c r="X747" s="26"/>
      <c r="Y747" s="26"/>
      <c r="Z747" s="26"/>
    </row>
    <row r="748">
      <c r="A748" s="368"/>
      <c r="B748" s="368"/>
      <c r="C748" s="368"/>
      <c r="D748" s="368"/>
      <c r="E748" s="368"/>
      <c r="F748" s="368"/>
      <c r="G748" s="368"/>
      <c r="H748" s="368"/>
      <c r="I748" s="368"/>
      <c r="J748" s="368"/>
      <c r="K748" s="368"/>
      <c r="L748" s="368"/>
      <c r="M748" s="368"/>
      <c r="N748" s="368"/>
      <c r="O748" s="368"/>
      <c r="P748" s="368"/>
      <c r="Q748" s="368"/>
      <c r="R748" s="368"/>
      <c r="S748" s="368"/>
      <c r="T748" s="368"/>
      <c r="U748" s="368"/>
      <c r="V748" s="368"/>
      <c r="W748" s="26"/>
      <c r="X748" s="26"/>
      <c r="Y748" s="26"/>
      <c r="Z748" s="26"/>
    </row>
    <row r="749">
      <c r="A749" s="368"/>
      <c r="B749" s="368"/>
      <c r="C749" s="368"/>
      <c r="D749" s="368"/>
      <c r="E749" s="368"/>
      <c r="F749" s="368"/>
      <c r="G749" s="368"/>
      <c r="H749" s="368"/>
      <c r="I749" s="368"/>
      <c r="J749" s="368"/>
      <c r="K749" s="368"/>
      <c r="L749" s="368"/>
      <c r="M749" s="368"/>
      <c r="N749" s="368"/>
      <c r="O749" s="368"/>
      <c r="P749" s="368"/>
      <c r="Q749" s="368"/>
      <c r="R749" s="368"/>
      <c r="S749" s="368"/>
      <c r="T749" s="368"/>
      <c r="U749" s="368"/>
      <c r="V749" s="368"/>
      <c r="W749" s="26"/>
      <c r="X749" s="26"/>
      <c r="Y749" s="26"/>
      <c r="Z749" s="26"/>
    </row>
    <row r="750">
      <c r="A750" s="368"/>
      <c r="B750" s="368"/>
      <c r="C750" s="368"/>
      <c r="D750" s="368"/>
      <c r="E750" s="368"/>
      <c r="F750" s="368"/>
      <c r="G750" s="368"/>
      <c r="H750" s="368"/>
      <c r="I750" s="368"/>
      <c r="J750" s="368"/>
      <c r="K750" s="368"/>
      <c r="L750" s="368"/>
      <c r="M750" s="368"/>
      <c r="N750" s="368"/>
      <c r="O750" s="368"/>
      <c r="P750" s="368"/>
      <c r="Q750" s="368"/>
      <c r="R750" s="368"/>
      <c r="S750" s="368"/>
      <c r="T750" s="368"/>
      <c r="U750" s="368"/>
      <c r="V750" s="368"/>
      <c r="W750" s="26"/>
      <c r="X750" s="26"/>
      <c r="Y750" s="26"/>
      <c r="Z750" s="26"/>
    </row>
    <row r="751">
      <c r="A751" s="368"/>
      <c r="B751" s="368"/>
      <c r="C751" s="368"/>
      <c r="D751" s="368"/>
      <c r="E751" s="368"/>
      <c r="F751" s="368"/>
      <c r="G751" s="368"/>
      <c r="H751" s="368"/>
      <c r="I751" s="368"/>
      <c r="J751" s="368"/>
      <c r="K751" s="368"/>
      <c r="L751" s="368"/>
      <c r="M751" s="368"/>
      <c r="N751" s="368"/>
      <c r="O751" s="368"/>
      <c r="P751" s="368"/>
      <c r="Q751" s="368"/>
      <c r="R751" s="368"/>
      <c r="S751" s="368"/>
      <c r="T751" s="368"/>
      <c r="U751" s="368"/>
      <c r="V751" s="368"/>
      <c r="W751" s="26"/>
      <c r="X751" s="26"/>
      <c r="Y751" s="26"/>
      <c r="Z751" s="26"/>
    </row>
    <row r="752">
      <c r="A752" s="368"/>
      <c r="B752" s="368"/>
      <c r="C752" s="368"/>
      <c r="D752" s="368"/>
      <c r="E752" s="368"/>
      <c r="F752" s="368"/>
      <c r="G752" s="368"/>
      <c r="H752" s="368"/>
      <c r="I752" s="368"/>
      <c r="J752" s="368"/>
      <c r="K752" s="368"/>
      <c r="L752" s="368"/>
      <c r="M752" s="368"/>
      <c r="N752" s="368"/>
      <c r="O752" s="368"/>
      <c r="P752" s="368"/>
      <c r="Q752" s="368"/>
      <c r="R752" s="368"/>
      <c r="S752" s="368"/>
      <c r="T752" s="368"/>
      <c r="U752" s="368"/>
      <c r="V752" s="368"/>
      <c r="W752" s="26"/>
      <c r="X752" s="26"/>
      <c r="Y752" s="26"/>
      <c r="Z752" s="26"/>
    </row>
    <row r="753">
      <c r="A753" s="368"/>
      <c r="B753" s="368"/>
      <c r="C753" s="368"/>
      <c r="D753" s="368"/>
      <c r="E753" s="368"/>
      <c r="F753" s="368"/>
      <c r="G753" s="368"/>
      <c r="H753" s="368"/>
      <c r="I753" s="368"/>
      <c r="J753" s="368"/>
      <c r="K753" s="368"/>
      <c r="L753" s="368"/>
      <c r="M753" s="368"/>
      <c r="N753" s="368"/>
      <c r="O753" s="368"/>
      <c r="P753" s="368"/>
      <c r="Q753" s="368"/>
      <c r="R753" s="368"/>
      <c r="S753" s="368"/>
      <c r="T753" s="368"/>
      <c r="U753" s="368"/>
      <c r="V753" s="368"/>
      <c r="W753" s="26"/>
      <c r="X753" s="26"/>
      <c r="Y753" s="26"/>
      <c r="Z753" s="26"/>
    </row>
    <row r="754">
      <c r="A754" s="368"/>
      <c r="B754" s="368"/>
      <c r="C754" s="368"/>
      <c r="D754" s="368"/>
      <c r="E754" s="368"/>
      <c r="F754" s="368"/>
      <c r="G754" s="368"/>
      <c r="H754" s="368"/>
      <c r="I754" s="368"/>
      <c r="J754" s="368"/>
      <c r="K754" s="368"/>
      <c r="L754" s="368"/>
      <c r="M754" s="368"/>
      <c r="N754" s="368"/>
      <c r="O754" s="368"/>
      <c r="P754" s="368"/>
      <c r="Q754" s="368"/>
      <c r="R754" s="368"/>
      <c r="S754" s="368"/>
      <c r="T754" s="368"/>
      <c r="U754" s="368"/>
      <c r="V754" s="368"/>
      <c r="W754" s="26"/>
      <c r="X754" s="26"/>
      <c r="Y754" s="26"/>
      <c r="Z754" s="26"/>
    </row>
    <row r="755">
      <c r="A755" s="368"/>
      <c r="B755" s="368"/>
      <c r="C755" s="368"/>
      <c r="D755" s="368"/>
      <c r="E755" s="368"/>
      <c r="F755" s="368"/>
      <c r="G755" s="368"/>
      <c r="H755" s="368"/>
      <c r="I755" s="368"/>
      <c r="J755" s="368"/>
      <c r="K755" s="368"/>
      <c r="L755" s="368"/>
      <c r="M755" s="368"/>
      <c r="N755" s="368"/>
      <c r="O755" s="368"/>
      <c r="P755" s="368"/>
      <c r="Q755" s="368"/>
      <c r="R755" s="368"/>
      <c r="S755" s="368"/>
      <c r="T755" s="368"/>
      <c r="U755" s="368"/>
      <c r="V755" s="368"/>
      <c r="W755" s="26"/>
      <c r="X755" s="26"/>
      <c r="Y755" s="26"/>
      <c r="Z755" s="26"/>
    </row>
    <row r="756">
      <c r="A756" s="368"/>
      <c r="B756" s="368"/>
      <c r="C756" s="368"/>
      <c r="D756" s="368"/>
      <c r="E756" s="368"/>
      <c r="F756" s="368"/>
      <c r="G756" s="368"/>
      <c r="H756" s="368"/>
      <c r="I756" s="368"/>
      <c r="J756" s="368"/>
      <c r="K756" s="368"/>
      <c r="L756" s="368"/>
      <c r="M756" s="368"/>
      <c r="N756" s="368"/>
      <c r="O756" s="368"/>
      <c r="P756" s="368"/>
      <c r="Q756" s="368"/>
      <c r="R756" s="368"/>
      <c r="S756" s="368"/>
      <c r="T756" s="368"/>
      <c r="U756" s="368"/>
      <c r="V756" s="368"/>
      <c r="W756" s="26"/>
      <c r="X756" s="26"/>
      <c r="Y756" s="26"/>
      <c r="Z756" s="26"/>
    </row>
    <row r="757">
      <c r="A757" s="368"/>
      <c r="B757" s="368"/>
      <c r="C757" s="368"/>
      <c r="D757" s="368"/>
      <c r="E757" s="368"/>
      <c r="F757" s="368"/>
      <c r="G757" s="368"/>
      <c r="H757" s="368"/>
      <c r="I757" s="368"/>
      <c r="J757" s="368"/>
      <c r="K757" s="368"/>
      <c r="L757" s="368"/>
      <c r="M757" s="368"/>
      <c r="N757" s="368"/>
      <c r="O757" s="368"/>
      <c r="P757" s="368"/>
      <c r="Q757" s="368"/>
      <c r="R757" s="368"/>
      <c r="S757" s="368"/>
      <c r="T757" s="368"/>
      <c r="U757" s="368"/>
      <c r="V757" s="368"/>
      <c r="W757" s="26"/>
      <c r="X757" s="26"/>
      <c r="Y757" s="26"/>
      <c r="Z757" s="26"/>
    </row>
    <row r="758">
      <c r="A758" s="368"/>
      <c r="B758" s="368"/>
      <c r="C758" s="368"/>
      <c r="D758" s="368"/>
      <c r="E758" s="368"/>
      <c r="F758" s="368"/>
      <c r="G758" s="368"/>
      <c r="H758" s="368"/>
      <c r="I758" s="368"/>
      <c r="J758" s="368"/>
      <c r="K758" s="368"/>
      <c r="L758" s="368"/>
      <c r="M758" s="368"/>
      <c r="N758" s="368"/>
      <c r="O758" s="368"/>
      <c r="P758" s="368"/>
      <c r="Q758" s="368"/>
      <c r="R758" s="368"/>
      <c r="S758" s="368"/>
      <c r="T758" s="368"/>
      <c r="U758" s="368"/>
      <c r="V758" s="368"/>
      <c r="W758" s="26"/>
      <c r="X758" s="26"/>
      <c r="Y758" s="26"/>
      <c r="Z758" s="26"/>
    </row>
    <row r="759">
      <c r="A759" s="368"/>
      <c r="B759" s="368"/>
      <c r="C759" s="368"/>
      <c r="D759" s="368"/>
      <c r="E759" s="368"/>
      <c r="F759" s="368"/>
      <c r="G759" s="368"/>
      <c r="H759" s="368"/>
      <c r="I759" s="368"/>
      <c r="J759" s="368"/>
      <c r="K759" s="368"/>
      <c r="L759" s="368"/>
      <c r="M759" s="368"/>
      <c r="N759" s="368"/>
      <c r="O759" s="368"/>
      <c r="P759" s="368"/>
      <c r="Q759" s="368"/>
      <c r="R759" s="368"/>
      <c r="S759" s="368"/>
      <c r="T759" s="368"/>
      <c r="U759" s="368"/>
      <c r="V759" s="368"/>
      <c r="W759" s="26"/>
      <c r="X759" s="26"/>
      <c r="Y759" s="26"/>
      <c r="Z759" s="26"/>
    </row>
    <row r="760">
      <c r="A760" s="368"/>
      <c r="B760" s="368"/>
      <c r="C760" s="368"/>
      <c r="D760" s="368"/>
      <c r="E760" s="368"/>
      <c r="F760" s="368"/>
      <c r="G760" s="368"/>
      <c r="H760" s="368"/>
      <c r="I760" s="368"/>
      <c r="J760" s="368"/>
      <c r="K760" s="368"/>
      <c r="L760" s="368"/>
      <c r="M760" s="368"/>
      <c r="N760" s="368"/>
      <c r="O760" s="368"/>
      <c r="P760" s="368"/>
      <c r="Q760" s="368"/>
      <c r="R760" s="368"/>
      <c r="S760" s="368"/>
      <c r="T760" s="368"/>
      <c r="U760" s="368"/>
      <c r="V760" s="368"/>
      <c r="W760" s="26"/>
      <c r="X760" s="26"/>
      <c r="Y760" s="26"/>
      <c r="Z760" s="26"/>
    </row>
    <row r="761">
      <c r="A761" s="368"/>
      <c r="B761" s="368"/>
      <c r="C761" s="368"/>
      <c r="D761" s="368"/>
      <c r="E761" s="368"/>
      <c r="F761" s="368"/>
      <c r="G761" s="368"/>
      <c r="H761" s="368"/>
      <c r="I761" s="368"/>
      <c r="J761" s="368"/>
      <c r="K761" s="368"/>
      <c r="L761" s="368"/>
      <c r="M761" s="368"/>
      <c r="N761" s="368"/>
      <c r="O761" s="368"/>
      <c r="P761" s="368"/>
      <c r="Q761" s="368"/>
      <c r="R761" s="368"/>
      <c r="S761" s="368"/>
      <c r="T761" s="368"/>
      <c r="U761" s="368"/>
      <c r="V761" s="368"/>
      <c r="W761" s="26"/>
      <c r="X761" s="26"/>
      <c r="Y761" s="26"/>
      <c r="Z761" s="26"/>
    </row>
    <row r="762">
      <c r="A762" s="368"/>
      <c r="B762" s="368"/>
      <c r="C762" s="368"/>
      <c r="D762" s="368"/>
      <c r="E762" s="368"/>
      <c r="F762" s="368"/>
      <c r="G762" s="368"/>
      <c r="H762" s="368"/>
      <c r="I762" s="368"/>
      <c r="J762" s="368"/>
      <c r="K762" s="368"/>
      <c r="L762" s="368"/>
      <c r="M762" s="368"/>
      <c r="N762" s="368"/>
      <c r="O762" s="368"/>
      <c r="P762" s="368"/>
      <c r="Q762" s="368"/>
      <c r="R762" s="368"/>
      <c r="S762" s="368"/>
      <c r="T762" s="368"/>
      <c r="U762" s="368"/>
      <c r="V762" s="368"/>
      <c r="W762" s="26"/>
      <c r="X762" s="26"/>
      <c r="Y762" s="26"/>
      <c r="Z762" s="26"/>
    </row>
    <row r="763">
      <c r="A763" s="368"/>
      <c r="B763" s="368"/>
      <c r="C763" s="368"/>
      <c r="D763" s="368"/>
      <c r="E763" s="368"/>
      <c r="F763" s="368"/>
      <c r="G763" s="368"/>
      <c r="H763" s="368"/>
      <c r="I763" s="368"/>
      <c r="J763" s="368"/>
      <c r="K763" s="368"/>
      <c r="L763" s="368"/>
      <c r="M763" s="368"/>
      <c r="N763" s="368"/>
      <c r="O763" s="368"/>
      <c r="P763" s="368"/>
      <c r="Q763" s="368"/>
      <c r="R763" s="368"/>
      <c r="S763" s="368"/>
      <c r="T763" s="368"/>
      <c r="U763" s="368"/>
      <c r="V763" s="368"/>
      <c r="W763" s="26"/>
      <c r="X763" s="26"/>
      <c r="Y763" s="26"/>
      <c r="Z763" s="26"/>
    </row>
    <row r="764">
      <c r="A764" s="368"/>
      <c r="B764" s="368"/>
      <c r="C764" s="368"/>
      <c r="D764" s="368"/>
      <c r="E764" s="368"/>
      <c r="F764" s="368"/>
      <c r="G764" s="368"/>
      <c r="H764" s="368"/>
      <c r="I764" s="368"/>
      <c r="J764" s="368"/>
      <c r="K764" s="368"/>
      <c r="L764" s="368"/>
      <c r="M764" s="368"/>
      <c r="N764" s="368"/>
      <c r="O764" s="368"/>
      <c r="P764" s="368"/>
      <c r="Q764" s="368"/>
      <c r="R764" s="368"/>
      <c r="S764" s="368"/>
      <c r="T764" s="368"/>
      <c r="U764" s="368"/>
      <c r="V764" s="368"/>
      <c r="W764" s="26"/>
      <c r="X764" s="26"/>
      <c r="Y764" s="26"/>
      <c r="Z764" s="26"/>
    </row>
    <row r="765">
      <c r="A765" s="368"/>
      <c r="B765" s="368"/>
      <c r="C765" s="368"/>
      <c r="D765" s="368"/>
      <c r="E765" s="368"/>
      <c r="F765" s="368"/>
      <c r="G765" s="368"/>
      <c r="H765" s="368"/>
      <c r="I765" s="368"/>
      <c r="J765" s="368"/>
      <c r="K765" s="368"/>
      <c r="L765" s="368"/>
      <c r="M765" s="368"/>
      <c r="N765" s="368"/>
      <c r="O765" s="368"/>
      <c r="P765" s="368"/>
      <c r="Q765" s="368"/>
      <c r="R765" s="368"/>
      <c r="S765" s="368"/>
      <c r="T765" s="368"/>
      <c r="U765" s="368"/>
      <c r="V765" s="368"/>
      <c r="W765" s="26"/>
      <c r="X765" s="26"/>
      <c r="Y765" s="26"/>
      <c r="Z765" s="26"/>
    </row>
    <row r="766">
      <c r="A766" s="368"/>
      <c r="B766" s="368"/>
      <c r="C766" s="368"/>
      <c r="D766" s="368"/>
      <c r="E766" s="368"/>
      <c r="F766" s="368"/>
      <c r="G766" s="368"/>
      <c r="H766" s="368"/>
      <c r="I766" s="368"/>
      <c r="J766" s="368"/>
      <c r="K766" s="368"/>
      <c r="L766" s="368"/>
      <c r="M766" s="368"/>
      <c r="N766" s="368"/>
      <c r="O766" s="368"/>
      <c r="P766" s="368"/>
      <c r="Q766" s="368"/>
      <c r="R766" s="368"/>
      <c r="S766" s="368"/>
      <c r="T766" s="368"/>
      <c r="U766" s="368"/>
      <c r="V766" s="368"/>
      <c r="W766" s="26"/>
      <c r="X766" s="26"/>
      <c r="Y766" s="26"/>
      <c r="Z766" s="26"/>
    </row>
    <row r="767">
      <c r="A767" s="368"/>
      <c r="B767" s="368"/>
      <c r="C767" s="368"/>
      <c r="D767" s="368"/>
      <c r="E767" s="368"/>
      <c r="F767" s="368"/>
      <c r="G767" s="368"/>
      <c r="H767" s="368"/>
      <c r="I767" s="368"/>
      <c r="J767" s="368"/>
      <c r="K767" s="368"/>
      <c r="L767" s="368"/>
      <c r="M767" s="368"/>
      <c r="N767" s="368"/>
      <c r="O767" s="368"/>
      <c r="P767" s="368"/>
      <c r="Q767" s="368"/>
      <c r="R767" s="368"/>
      <c r="S767" s="368"/>
      <c r="T767" s="368"/>
      <c r="U767" s="368"/>
      <c r="V767" s="368"/>
      <c r="W767" s="26"/>
      <c r="X767" s="26"/>
      <c r="Y767" s="26"/>
      <c r="Z767" s="26"/>
    </row>
    <row r="768">
      <c r="A768" s="368"/>
      <c r="B768" s="368"/>
      <c r="C768" s="368"/>
      <c r="D768" s="368"/>
      <c r="E768" s="368"/>
      <c r="F768" s="368"/>
      <c r="G768" s="368"/>
      <c r="H768" s="368"/>
      <c r="I768" s="368"/>
      <c r="J768" s="368"/>
      <c r="K768" s="368"/>
      <c r="L768" s="368"/>
      <c r="M768" s="368"/>
      <c r="N768" s="368"/>
      <c r="O768" s="368"/>
      <c r="P768" s="368"/>
      <c r="Q768" s="368"/>
      <c r="R768" s="368"/>
      <c r="S768" s="368"/>
      <c r="T768" s="368"/>
      <c r="U768" s="368"/>
      <c r="V768" s="368"/>
      <c r="W768" s="26"/>
      <c r="X768" s="26"/>
      <c r="Y768" s="26"/>
      <c r="Z768" s="26"/>
    </row>
    <row r="769">
      <c r="A769" s="368"/>
      <c r="B769" s="368"/>
      <c r="C769" s="368"/>
      <c r="D769" s="368"/>
      <c r="E769" s="368"/>
      <c r="F769" s="368"/>
      <c r="G769" s="368"/>
      <c r="H769" s="368"/>
      <c r="I769" s="368"/>
      <c r="J769" s="368"/>
      <c r="K769" s="368"/>
      <c r="L769" s="368"/>
      <c r="M769" s="368"/>
      <c r="N769" s="368"/>
      <c r="O769" s="368"/>
      <c r="P769" s="368"/>
      <c r="Q769" s="368"/>
      <c r="R769" s="368"/>
      <c r="S769" s="368"/>
      <c r="T769" s="368"/>
      <c r="U769" s="368"/>
      <c r="V769" s="368"/>
      <c r="W769" s="26"/>
      <c r="X769" s="26"/>
      <c r="Y769" s="26"/>
      <c r="Z769" s="26"/>
    </row>
    <row r="770">
      <c r="A770" s="368"/>
      <c r="B770" s="368"/>
      <c r="C770" s="368"/>
      <c r="D770" s="368"/>
      <c r="E770" s="368"/>
      <c r="F770" s="368"/>
      <c r="G770" s="368"/>
      <c r="H770" s="368"/>
      <c r="I770" s="368"/>
      <c r="J770" s="368"/>
      <c r="K770" s="368"/>
      <c r="L770" s="368"/>
      <c r="M770" s="368"/>
      <c r="N770" s="368"/>
      <c r="O770" s="368"/>
      <c r="P770" s="368"/>
      <c r="Q770" s="368"/>
      <c r="R770" s="368"/>
      <c r="S770" s="368"/>
      <c r="T770" s="368"/>
      <c r="U770" s="368"/>
      <c r="V770" s="368"/>
      <c r="W770" s="26"/>
      <c r="X770" s="26"/>
      <c r="Y770" s="26"/>
      <c r="Z770" s="26"/>
    </row>
    <row r="771">
      <c r="A771" s="368"/>
      <c r="B771" s="368"/>
      <c r="C771" s="368"/>
      <c r="D771" s="368"/>
      <c r="E771" s="368"/>
      <c r="F771" s="368"/>
      <c r="G771" s="368"/>
      <c r="H771" s="368"/>
      <c r="I771" s="368"/>
      <c r="J771" s="368"/>
      <c r="K771" s="368"/>
      <c r="L771" s="368"/>
      <c r="M771" s="368"/>
      <c r="N771" s="368"/>
      <c r="O771" s="368"/>
      <c r="P771" s="368"/>
      <c r="Q771" s="368"/>
      <c r="R771" s="368"/>
      <c r="S771" s="368"/>
      <c r="T771" s="368"/>
      <c r="U771" s="368"/>
      <c r="V771" s="368"/>
      <c r="W771" s="26"/>
      <c r="X771" s="26"/>
      <c r="Y771" s="26"/>
      <c r="Z771" s="26"/>
    </row>
    <row r="772">
      <c r="A772" s="368"/>
      <c r="B772" s="368"/>
      <c r="C772" s="368"/>
      <c r="D772" s="368"/>
      <c r="E772" s="368"/>
      <c r="F772" s="368"/>
      <c r="G772" s="368"/>
      <c r="H772" s="368"/>
      <c r="I772" s="368"/>
      <c r="J772" s="368"/>
      <c r="K772" s="368"/>
      <c r="L772" s="368"/>
      <c r="M772" s="368"/>
      <c r="N772" s="368"/>
      <c r="O772" s="368"/>
      <c r="P772" s="368"/>
      <c r="Q772" s="368"/>
      <c r="R772" s="368"/>
      <c r="S772" s="368"/>
      <c r="T772" s="368"/>
      <c r="U772" s="368"/>
      <c r="V772" s="368"/>
      <c r="W772" s="26"/>
      <c r="X772" s="26"/>
      <c r="Y772" s="26"/>
      <c r="Z772" s="26"/>
    </row>
    <row r="773">
      <c r="A773" s="368"/>
      <c r="B773" s="368"/>
      <c r="C773" s="368"/>
      <c r="D773" s="368"/>
      <c r="E773" s="368"/>
      <c r="F773" s="368"/>
      <c r="G773" s="368"/>
      <c r="H773" s="368"/>
      <c r="I773" s="368"/>
      <c r="J773" s="368"/>
      <c r="K773" s="368"/>
      <c r="L773" s="368"/>
      <c r="M773" s="368"/>
      <c r="N773" s="368"/>
      <c r="O773" s="368"/>
      <c r="P773" s="368"/>
      <c r="Q773" s="368"/>
      <c r="R773" s="368"/>
      <c r="S773" s="368"/>
      <c r="T773" s="368"/>
      <c r="U773" s="368"/>
      <c r="V773" s="368"/>
      <c r="W773" s="26"/>
      <c r="X773" s="26"/>
      <c r="Y773" s="26"/>
      <c r="Z773" s="26"/>
    </row>
    <row r="774">
      <c r="A774" s="368"/>
      <c r="B774" s="368"/>
      <c r="C774" s="368"/>
      <c r="D774" s="368"/>
      <c r="E774" s="368"/>
      <c r="F774" s="368"/>
      <c r="G774" s="368"/>
      <c r="H774" s="368"/>
      <c r="I774" s="368"/>
      <c r="J774" s="368"/>
      <c r="K774" s="368"/>
      <c r="L774" s="368"/>
      <c r="M774" s="368"/>
      <c r="N774" s="368"/>
      <c r="O774" s="368"/>
      <c r="P774" s="368"/>
      <c r="Q774" s="368"/>
      <c r="R774" s="368"/>
      <c r="S774" s="368"/>
      <c r="T774" s="368"/>
      <c r="U774" s="368"/>
      <c r="V774" s="368"/>
      <c r="W774" s="26"/>
      <c r="X774" s="26"/>
      <c r="Y774" s="26"/>
      <c r="Z774" s="26"/>
    </row>
    <row r="775">
      <c r="A775" s="368"/>
      <c r="B775" s="368"/>
      <c r="C775" s="368"/>
      <c r="D775" s="368"/>
      <c r="E775" s="368"/>
      <c r="F775" s="368"/>
      <c r="G775" s="368"/>
      <c r="H775" s="368"/>
      <c r="I775" s="368"/>
      <c r="J775" s="368"/>
      <c r="K775" s="368"/>
      <c r="L775" s="368"/>
      <c r="M775" s="368"/>
      <c r="N775" s="368"/>
      <c r="O775" s="368"/>
      <c r="P775" s="368"/>
      <c r="Q775" s="368"/>
      <c r="R775" s="368"/>
      <c r="S775" s="368"/>
      <c r="T775" s="368"/>
      <c r="U775" s="368"/>
      <c r="V775" s="368"/>
      <c r="W775" s="26"/>
      <c r="X775" s="26"/>
      <c r="Y775" s="26"/>
      <c r="Z775" s="26"/>
    </row>
    <row r="776">
      <c r="A776" s="368"/>
      <c r="B776" s="368"/>
      <c r="C776" s="368"/>
      <c r="D776" s="368"/>
      <c r="E776" s="368"/>
      <c r="F776" s="368"/>
      <c r="G776" s="368"/>
      <c r="H776" s="368"/>
      <c r="I776" s="368"/>
      <c r="J776" s="368"/>
      <c r="K776" s="368"/>
      <c r="L776" s="368"/>
      <c r="M776" s="368"/>
      <c r="N776" s="368"/>
      <c r="O776" s="368"/>
      <c r="P776" s="368"/>
      <c r="Q776" s="368"/>
      <c r="R776" s="368"/>
      <c r="S776" s="368"/>
      <c r="T776" s="368"/>
      <c r="U776" s="368"/>
      <c r="V776" s="368"/>
      <c r="W776" s="26"/>
      <c r="X776" s="26"/>
      <c r="Y776" s="26"/>
      <c r="Z776" s="26"/>
    </row>
    <row r="777">
      <c r="A777" s="368"/>
      <c r="B777" s="368"/>
      <c r="C777" s="368"/>
      <c r="D777" s="368"/>
      <c r="E777" s="368"/>
      <c r="F777" s="368"/>
      <c r="G777" s="368"/>
      <c r="H777" s="368"/>
      <c r="I777" s="368"/>
      <c r="J777" s="368"/>
      <c r="K777" s="368"/>
      <c r="L777" s="368"/>
      <c r="M777" s="368"/>
      <c r="N777" s="368"/>
      <c r="O777" s="368"/>
      <c r="P777" s="368"/>
      <c r="Q777" s="368"/>
      <c r="R777" s="368"/>
      <c r="S777" s="368"/>
      <c r="T777" s="368"/>
      <c r="U777" s="368"/>
      <c r="V777" s="368"/>
      <c r="W777" s="26"/>
      <c r="X777" s="26"/>
      <c r="Y777" s="26"/>
      <c r="Z777" s="26"/>
    </row>
    <row r="778">
      <c r="A778" s="368"/>
      <c r="B778" s="368"/>
      <c r="C778" s="368"/>
      <c r="D778" s="368"/>
      <c r="E778" s="368"/>
      <c r="F778" s="368"/>
      <c r="G778" s="368"/>
      <c r="H778" s="368"/>
      <c r="I778" s="368"/>
      <c r="J778" s="368"/>
      <c r="K778" s="368"/>
      <c r="L778" s="368"/>
      <c r="M778" s="368"/>
      <c r="N778" s="368"/>
      <c r="O778" s="368"/>
      <c r="P778" s="368"/>
      <c r="Q778" s="368"/>
      <c r="R778" s="368"/>
      <c r="S778" s="368"/>
      <c r="T778" s="368"/>
      <c r="U778" s="368"/>
      <c r="V778" s="368"/>
      <c r="W778" s="26"/>
      <c r="X778" s="26"/>
      <c r="Y778" s="26"/>
      <c r="Z778" s="26"/>
    </row>
    <row r="779">
      <c r="A779" s="368"/>
      <c r="B779" s="368"/>
      <c r="C779" s="368"/>
      <c r="D779" s="368"/>
      <c r="E779" s="368"/>
      <c r="F779" s="368"/>
      <c r="G779" s="368"/>
      <c r="H779" s="368"/>
      <c r="I779" s="368"/>
      <c r="J779" s="368"/>
      <c r="K779" s="368"/>
      <c r="L779" s="368"/>
      <c r="M779" s="368"/>
      <c r="N779" s="368"/>
      <c r="O779" s="368"/>
      <c r="P779" s="368"/>
      <c r="Q779" s="368"/>
      <c r="R779" s="368"/>
      <c r="S779" s="368"/>
      <c r="T779" s="368"/>
      <c r="U779" s="368"/>
      <c r="V779" s="368"/>
      <c r="W779" s="26"/>
      <c r="X779" s="26"/>
      <c r="Y779" s="26"/>
      <c r="Z779" s="26"/>
    </row>
    <row r="780">
      <c r="A780" s="368"/>
      <c r="B780" s="368"/>
      <c r="C780" s="368"/>
      <c r="D780" s="368"/>
      <c r="E780" s="368"/>
      <c r="F780" s="368"/>
      <c r="G780" s="368"/>
      <c r="H780" s="368"/>
      <c r="I780" s="368"/>
      <c r="J780" s="368"/>
      <c r="K780" s="368"/>
      <c r="L780" s="368"/>
      <c r="M780" s="368"/>
      <c r="N780" s="368"/>
      <c r="O780" s="368"/>
      <c r="P780" s="368"/>
      <c r="Q780" s="368"/>
      <c r="R780" s="368"/>
      <c r="S780" s="368"/>
      <c r="T780" s="368"/>
      <c r="U780" s="368"/>
      <c r="V780" s="368"/>
      <c r="W780" s="26"/>
      <c r="X780" s="26"/>
      <c r="Y780" s="26"/>
      <c r="Z780" s="26"/>
    </row>
    <row r="781">
      <c r="A781" s="368"/>
      <c r="B781" s="368"/>
      <c r="C781" s="368"/>
      <c r="D781" s="368"/>
      <c r="E781" s="368"/>
      <c r="F781" s="368"/>
      <c r="G781" s="368"/>
      <c r="H781" s="368"/>
      <c r="I781" s="368"/>
      <c r="J781" s="368"/>
      <c r="K781" s="368"/>
      <c r="L781" s="368"/>
      <c r="M781" s="368"/>
      <c r="N781" s="368"/>
      <c r="O781" s="368"/>
      <c r="P781" s="368"/>
      <c r="Q781" s="368"/>
      <c r="R781" s="368"/>
      <c r="S781" s="368"/>
      <c r="T781" s="368"/>
      <c r="U781" s="368"/>
      <c r="V781" s="368"/>
      <c r="W781" s="26"/>
      <c r="X781" s="26"/>
      <c r="Y781" s="26"/>
      <c r="Z781" s="26"/>
    </row>
    <row r="782">
      <c r="A782" s="368"/>
      <c r="B782" s="368"/>
      <c r="C782" s="368"/>
      <c r="D782" s="368"/>
      <c r="E782" s="368"/>
      <c r="F782" s="368"/>
      <c r="G782" s="368"/>
      <c r="H782" s="368"/>
      <c r="I782" s="368"/>
      <c r="J782" s="368"/>
      <c r="K782" s="368"/>
      <c r="L782" s="368"/>
      <c r="M782" s="368"/>
      <c r="N782" s="368"/>
      <c r="O782" s="368"/>
      <c r="P782" s="368"/>
      <c r="Q782" s="368"/>
      <c r="R782" s="368"/>
      <c r="S782" s="368"/>
      <c r="T782" s="368"/>
      <c r="U782" s="368"/>
      <c r="V782" s="368"/>
      <c r="W782" s="26"/>
      <c r="X782" s="26"/>
      <c r="Y782" s="26"/>
      <c r="Z782" s="26"/>
    </row>
    <row r="783">
      <c r="A783" s="368"/>
      <c r="B783" s="368"/>
      <c r="C783" s="368"/>
      <c r="D783" s="368"/>
      <c r="E783" s="368"/>
      <c r="F783" s="368"/>
      <c r="G783" s="368"/>
      <c r="H783" s="368"/>
      <c r="I783" s="368"/>
      <c r="J783" s="368"/>
      <c r="K783" s="368"/>
      <c r="L783" s="368"/>
      <c r="M783" s="368"/>
      <c r="N783" s="368"/>
      <c r="O783" s="368"/>
      <c r="P783" s="368"/>
      <c r="Q783" s="368"/>
      <c r="R783" s="368"/>
      <c r="S783" s="368"/>
      <c r="T783" s="368"/>
      <c r="U783" s="368"/>
      <c r="V783" s="368"/>
      <c r="W783" s="26"/>
      <c r="X783" s="26"/>
      <c r="Y783" s="26"/>
      <c r="Z783" s="26"/>
    </row>
    <row r="784">
      <c r="A784" s="368"/>
      <c r="B784" s="368"/>
      <c r="C784" s="368"/>
      <c r="D784" s="368"/>
      <c r="E784" s="368"/>
      <c r="F784" s="368"/>
      <c r="G784" s="368"/>
      <c r="H784" s="368"/>
      <c r="I784" s="368"/>
      <c r="J784" s="368"/>
      <c r="K784" s="368"/>
      <c r="L784" s="368"/>
      <c r="M784" s="368"/>
      <c r="N784" s="368"/>
      <c r="O784" s="368"/>
      <c r="P784" s="368"/>
      <c r="Q784" s="368"/>
      <c r="R784" s="368"/>
      <c r="S784" s="368"/>
      <c r="T784" s="368"/>
      <c r="U784" s="368"/>
      <c r="V784" s="368"/>
      <c r="W784" s="26"/>
      <c r="X784" s="26"/>
      <c r="Y784" s="26"/>
      <c r="Z784" s="26"/>
    </row>
    <row r="785">
      <c r="A785" s="368"/>
      <c r="B785" s="368"/>
      <c r="C785" s="368"/>
      <c r="D785" s="368"/>
      <c r="E785" s="368"/>
      <c r="F785" s="368"/>
      <c r="G785" s="368"/>
      <c r="H785" s="368"/>
      <c r="I785" s="368"/>
      <c r="J785" s="368"/>
      <c r="K785" s="368"/>
      <c r="L785" s="368"/>
      <c r="M785" s="368"/>
      <c r="N785" s="368"/>
      <c r="O785" s="368"/>
      <c r="P785" s="368"/>
      <c r="Q785" s="368"/>
      <c r="R785" s="368"/>
      <c r="S785" s="368"/>
      <c r="T785" s="368"/>
      <c r="U785" s="368"/>
      <c r="V785" s="368"/>
      <c r="W785" s="26"/>
      <c r="X785" s="26"/>
      <c r="Y785" s="26"/>
      <c r="Z785" s="26"/>
    </row>
    <row r="786">
      <c r="A786" s="368"/>
      <c r="B786" s="368"/>
      <c r="C786" s="368"/>
      <c r="D786" s="368"/>
      <c r="E786" s="368"/>
      <c r="F786" s="368"/>
      <c r="G786" s="368"/>
      <c r="H786" s="368"/>
      <c r="I786" s="368"/>
      <c r="J786" s="368"/>
      <c r="K786" s="368"/>
      <c r="L786" s="368"/>
      <c r="M786" s="368"/>
      <c r="N786" s="368"/>
      <c r="O786" s="368"/>
      <c r="P786" s="368"/>
      <c r="Q786" s="368"/>
      <c r="R786" s="368"/>
      <c r="S786" s="368"/>
      <c r="T786" s="368"/>
      <c r="U786" s="368"/>
      <c r="V786" s="368"/>
      <c r="W786" s="26"/>
      <c r="X786" s="26"/>
      <c r="Y786" s="26"/>
      <c r="Z786" s="26"/>
    </row>
    <row r="787">
      <c r="A787" s="368"/>
      <c r="B787" s="368"/>
      <c r="C787" s="368"/>
      <c r="D787" s="368"/>
      <c r="E787" s="368"/>
      <c r="F787" s="368"/>
      <c r="G787" s="368"/>
      <c r="H787" s="368"/>
      <c r="I787" s="368"/>
      <c r="J787" s="368"/>
      <c r="K787" s="368"/>
      <c r="L787" s="368"/>
      <c r="M787" s="368"/>
      <c r="N787" s="368"/>
      <c r="O787" s="368"/>
      <c r="P787" s="368"/>
      <c r="Q787" s="368"/>
      <c r="R787" s="368"/>
      <c r="S787" s="368"/>
      <c r="T787" s="368"/>
      <c r="U787" s="368"/>
      <c r="V787" s="368"/>
      <c r="W787" s="26"/>
      <c r="X787" s="26"/>
      <c r="Y787" s="26"/>
      <c r="Z787" s="26"/>
    </row>
    <row r="788">
      <c r="A788" s="368"/>
      <c r="B788" s="368"/>
      <c r="C788" s="368"/>
      <c r="D788" s="368"/>
      <c r="E788" s="368"/>
      <c r="F788" s="368"/>
      <c r="G788" s="368"/>
      <c r="H788" s="368"/>
      <c r="I788" s="368"/>
      <c r="J788" s="368"/>
      <c r="K788" s="368"/>
      <c r="L788" s="368"/>
      <c r="M788" s="368"/>
      <c r="N788" s="368"/>
      <c r="O788" s="368"/>
      <c r="P788" s="368"/>
      <c r="Q788" s="368"/>
      <c r="R788" s="368"/>
      <c r="S788" s="368"/>
      <c r="T788" s="368"/>
      <c r="U788" s="368"/>
      <c r="V788" s="368"/>
      <c r="W788" s="26"/>
      <c r="X788" s="26"/>
      <c r="Y788" s="26"/>
      <c r="Z788" s="26"/>
    </row>
    <row r="789">
      <c r="A789" s="368"/>
      <c r="B789" s="368"/>
      <c r="C789" s="368"/>
      <c r="D789" s="368"/>
      <c r="E789" s="368"/>
      <c r="F789" s="368"/>
      <c r="G789" s="368"/>
      <c r="H789" s="368"/>
      <c r="I789" s="368"/>
      <c r="J789" s="368"/>
      <c r="K789" s="368"/>
      <c r="L789" s="368"/>
      <c r="M789" s="368"/>
      <c r="N789" s="368"/>
      <c r="O789" s="368"/>
      <c r="P789" s="368"/>
      <c r="Q789" s="368"/>
      <c r="R789" s="368"/>
      <c r="S789" s="368"/>
      <c r="T789" s="368"/>
      <c r="U789" s="368"/>
      <c r="V789" s="368"/>
      <c r="W789" s="26"/>
      <c r="X789" s="26"/>
      <c r="Y789" s="26"/>
      <c r="Z789" s="26"/>
    </row>
    <row r="790">
      <c r="A790" s="368"/>
      <c r="B790" s="368"/>
      <c r="C790" s="368"/>
      <c r="D790" s="368"/>
      <c r="E790" s="368"/>
      <c r="F790" s="368"/>
      <c r="G790" s="368"/>
      <c r="H790" s="368"/>
      <c r="I790" s="368"/>
      <c r="J790" s="368"/>
      <c r="K790" s="368"/>
      <c r="L790" s="368"/>
      <c r="M790" s="368"/>
      <c r="N790" s="368"/>
      <c r="O790" s="368"/>
      <c r="P790" s="368"/>
      <c r="Q790" s="368"/>
      <c r="R790" s="368"/>
      <c r="S790" s="368"/>
      <c r="T790" s="368"/>
      <c r="U790" s="368"/>
      <c r="V790" s="368"/>
      <c r="W790" s="26"/>
      <c r="X790" s="26"/>
      <c r="Y790" s="26"/>
      <c r="Z790" s="26"/>
    </row>
    <row r="791">
      <c r="A791" s="368"/>
      <c r="B791" s="368"/>
      <c r="C791" s="368"/>
      <c r="D791" s="368"/>
      <c r="E791" s="368"/>
      <c r="F791" s="368"/>
      <c r="G791" s="368"/>
      <c r="H791" s="368"/>
      <c r="I791" s="368"/>
      <c r="J791" s="368"/>
      <c r="K791" s="368"/>
      <c r="L791" s="368"/>
      <c r="M791" s="368"/>
      <c r="N791" s="368"/>
      <c r="O791" s="368"/>
      <c r="P791" s="368"/>
      <c r="Q791" s="368"/>
      <c r="R791" s="368"/>
      <c r="S791" s="368"/>
      <c r="T791" s="368"/>
      <c r="U791" s="368"/>
      <c r="V791" s="368"/>
      <c r="W791" s="26"/>
      <c r="X791" s="26"/>
      <c r="Y791" s="26"/>
      <c r="Z791" s="26"/>
    </row>
    <row r="792">
      <c r="A792" s="368"/>
      <c r="B792" s="368"/>
      <c r="C792" s="368"/>
      <c r="D792" s="368"/>
      <c r="E792" s="368"/>
      <c r="F792" s="368"/>
      <c r="G792" s="368"/>
      <c r="H792" s="368"/>
      <c r="I792" s="368"/>
      <c r="J792" s="368"/>
      <c r="K792" s="368"/>
      <c r="L792" s="368"/>
      <c r="M792" s="368"/>
      <c r="N792" s="368"/>
      <c r="O792" s="368"/>
      <c r="P792" s="368"/>
      <c r="Q792" s="368"/>
      <c r="R792" s="368"/>
      <c r="S792" s="368"/>
      <c r="T792" s="368"/>
      <c r="U792" s="368"/>
      <c r="V792" s="368"/>
      <c r="W792" s="26"/>
      <c r="X792" s="26"/>
      <c r="Y792" s="26"/>
      <c r="Z792" s="26"/>
    </row>
    <row r="793">
      <c r="A793" s="368"/>
      <c r="B793" s="368"/>
      <c r="C793" s="368"/>
      <c r="D793" s="368"/>
      <c r="E793" s="368"/>
      <c r="F793" s="368"/>
      <c r="G793" s="368"/>
      <c r="H793" s="368"/>
      <c r="I793" s="368"/>
      <c r="J793" s="368"/>
      <c r="K793" s="368"/>
      <c r="L793" s="368"/>
      <c r="M793" s="368"/>
      <c r="N793" s="368"/>
      <c r="O793" s="368"/>
      <c r="P793" s="368"/>
      <c r="Q793" s="368"/>
      <c r="R793" s="368"/>
      <c r="S793" s="368"/>
      <c r="T793" s="368"/>
      <c r="U793" s="368"/>
      <c r="V793" s="368"/>
      <c r="W793" s="26"/>
      <c r="X793" s="26"/>
      <c r="Y793" s="26"/>
      <c r="Z793" s="26"/>
    </row>
    <row r="794">
      <c r="A794" s="368"/>
      <c r="B794" s="368"/>
      <c r="C794" s="368"/>
      <c r="D794" s="368"/>
      <c r="E794" s="368"/>
      <c r="F794" s="368"/>
      <c r="G794" s="368"/>
      <c r="H794" s="368"/>
      <c r="I794" s="368"/>
      <c r="J794" s="368"/>
      <c r="K794" s="368"/>
      <c r="L794" s="368"/>
      <c r="M794" s="368"/>
      <c r="N794" s="368"/>
      <c r="O794" s="368"/>
      <c r="P794" s="368"/>
      <c r="Q794" s="368"/>
      <c r="R794" s="368"/>
      <c r="S794" s="368"/>
      <c r="T794" s="368"/>
      <c r="U794" s="368"/>
      <c r="V794" s="368"/>
      <c r="W794" s="26"/>
      <c r="X794" s="26"/>
      <c r="Y794" s="26"/>
      <c r="Z794" s="26"/>
    </row>
    <row r="795">
      <c r="A795" s="368"/>
      <c r="B795" s="368"/>
      <c r="C795" s="368"/>
      <c r="D795" s="368"/>
      <c r="E795" s="368"/>
      <c r="F795" s="368"/>
      <c r="G795" s="368"/>
      <c r="H795" s="368"/>
      <c r="I795" s="368"/>
      <c r="J795" s="368"/>
      <c r="K795" s="368"/>
      <c r="L795" s="368"/>
      <c r="M795" s="368"/>
      <c r="N795" s="368"/>
      <c r="O795" s="368"/>
      <c r="P795" s="368"/>
      <c r="Q795" s="368"/>
      <c r="R795" s="368"/>
      <c r="S795" s="368"/>
      <c r="T795" s="368"/>
      <c r="U795" s="368"/>
      <c r="V795" s="368"/>
      <c r="W795" s="26"/>
      <c r="X795" s="26"/>
      <c r="Y795" s="26"/>
      <c r="Z795" s="26"/>
    </row>
    <row r="796">
      <c r="A796" s="368"/>
      <c r="B796" s="368"/>
      <c r="C796" s="368"/>
      <c r="D796" s="368"/>
      <c r="E796" s="368"/>
      <c r="F796" s="368"/>
      <c r="G796" s="368"/>
      <c r="H796" s="368"/>
      <c r="I796" s="368"/>
      <c r="J796" s="368"/>
      <c r="K796" s="368"/>
      <c r="L796" s="368"/>
      <c r="M796" s="368"/>
      <c r="N796" s="368"/>
      <c r="O796" s="368"/>
      <c r="P796" s="368"/>
      <c r="Q796" s="368"/>
      <c r="R796" s="368"/>
      <c r="S796" s="368"/>
      <c r="T796" s="368"/>
      <c r="U796" s="368"/>
      <c r="V796" s="368"/>
      <c r="W796" s="26"/>
      <c r="X796" s="26"/>
      <c r="Y796" s="26"/>
      <c r="Z796" s="26"/>
    </row>
    <row r="797">
      <c r="A797" s="368"/>
      <c r="B797" s="368"/>
      <c r="C797" s="368"/>
      <c r="D797" s="368"/>
      <c r="E797" s="368"/>
      <c r="F797" s="368"/>
      <c r="G797" s="368"/>
      <c r="H797" s="368"/>
      <c r="I797" s="368"/>
      <c r="J797" s="368"/>
      <c r="K797" s="368"/>
      <c r="L797" s="368"/>
      <c r="M797" s="368"/>
      <c r="N797" s="368"/>
      <c r="O797" s="368"/>
      <c r="P797" s="368"/>
      <c r="Q797" s="368"/>
      <c r="R797" s="368"/>
      <c r="S797" s="368"/>
      <c r="T797" s="368"/>
      <c r="U797" s="368"/>
      <c r="V797" s="368"/>
      <c r="W797" s="26"/>
      <c r="X797" s="26"/>
      <c r="Y797" s="26"/>
      <c r="Z797" s="26"/>
    </row>
    <row r="798">
      <c r="A798" s="368"/>
      <c r="B798" s="368"/>
      <c r="C798" s="368"/>
      <c r="D798" s="368"/>
      <c r="E798" s="368"/>
      <c r="F798" s="368"/>
      <c r="G798" s="368"/>
      <c r="H798" s="368"/>
      <c r="I798" s="368"/>
      <c r="J798" s="368"/>
      <c r="K798" s="368"/>
      <c r="L798" s="368"/>
      <c r="M798" s="368"/>
      <c r="N798" s="368"/>
      <c r="O798" s="368"/>
      <c r="P798" s="368"/>
      <c r="Q798" s="368"/>
      <c r="R798" s="368"/>
      <c r="S798" s="368"/>
      <c r="T798" s="368"/>
      <c r="U798" s="368"/>
      <c r="V798" s="368"/>
      <c r="W798" s="26"/>
      <c r="X798" s="26"/>
      <c r="Y798" s="26"/>
      <c r="Z798" s="26"/>
    </row>
    <row r="799">
      <c r="A799" s="368"/>
      <c r="B799" s="368"/>
      <c r="C799" s="368"/>
      <c r="D799" s="368"/>
      <c r="E799" s="368"/>
      <c r="F799" s="368"/>
      <c r="G799" s="368"/>
      <c r="H799" s="368"/>
      <c r="I799" s="368"/>
      <c r="J799" s="368"/>
      <c r="K799" s="368"/>
      <c r="L799" s="368"/>
      <c r="M799" s="368"/>
      <c r="N799" s="368"/>
      <c r="O799" s="368"/>
      <c r="P799" s="368"/>
      <c r="Q799" s="368"/>
      <c r="R799" s="368"/>
      <c r="S799" s="368"/>
      <c r="T799" s="368"/>
      <c r="U799" s="368"/>
      <c r="V799" s="368"/>
      <c r="W799" s="26"/>
      <c r="X799" s="26"/>
      <c r="Y799" s="26"/>
      <c r="Z799" s="26"/>
    </row>
    <row r="800">
      <c r="A800" s="368"/>
      <c r="B800" s="368"/>
      <c r="C800" s="368"/>
      <c r="D800" s="368"/>
      <c r="E800" s="368"/>
      <c r="F800" s="368"/>
      <c r="G800" s="368"/>
      <c r="H800" s="368"/>
      <c r="I800" s="368"/>
      <c r="J800" s="368"/>
      <c r="K800" s="368"/>
      <c r="L800" s="368"/>
      <c r="M800" s="368"/>
      <c r="N800" s="368"/>
      <c r="O800" s="368"/>
      <c r="P800" s="368"/>
      <c r="Q800" s="368"/>
      <c r="R800" s="368"/>
      <c r="S800" s="368"/>
      <c r="T800" s="368"/>
      <c r="U800" s="368"/>
      <c r="V800" s="368"/>
      <c r="W800" s="26"/>
      <c r="X800" s="26"/>
      <c r="Y800" s="26"/>
      <c r="Z800" s="26"/>
    </row>
    <row r="801">
      <c r="A801" s="368"/>
      <c r="B801" s="368"/>
      <c r="C801" s="368"/>
      <c r="D801" s="368"/>
      <c r="E801" s="368"/>
      <c r="F801" s="368"/>
      <c r="G801" s="368"/>
      <c r="H801" s="368"/>
      <c r="I801" s="368"/>
      <c r="J801" s="368"/>
      <c r="K801" s="368"/>
      <c r="L801" s="368"/>
      <c r="M801" s="368"/>
      <c r="N801" s="368"/>
      <c r="O801" s="368"/>
      <c r="P801" s="368"/>
      <c r="Q801" s="368"/>
      <c r="R801" s="368"/>
      <c r="S801" s="368"/>
      <c r="T801" s="368"/>
      <c r="U801" s="368"/>
      <c r="V801" s="368"/>
      <c r="W801" s="26"/>
      <c r="X801" s="26"/>
      <c r="Y801" s="26"/>
      <c r="Z801" s="26"/>
    </row>
    <row r="802">
      <c r="A802" s="368"/>
      <c r="B802" s="368"/>
      <c r="C802" s="368"/>
      <c r="D802" s="368"/>
      <c r="E802" s="368"/>
      <c r="F802" s="368"/>
      <c r="G802" s="368"/>
      <c r="H802" s="368"/>
      <c r="I802" s="368"/>
      <c r="J802" s="368"/>
      <c r="K802" s="368"/>
      <c r="L802" s="368"/>
      <c r="M802" s="368"/>
      <c r="N802" s="368"/>
      <c r="O802" s="368"/>
      <c r="P802" s="368"/>
      <c r="Q802" s="368"/>
      <c r="R802" s="368"/>
      <c r="S802" s="368"/>
      <c r="T802" s="368"/>
      <c r="U802" s="368"/>
      <c r="V802" s="368"/>
      <c r="W802" s="26"/>
      <c r="X802" s="26"/>
      <c r="Y802" s="26"/>
      <c r="Z802" s="26"/>
    </row>
    <row r="803">
      <c r="A803" s="368"/>
      <c r="B803" s="368"/>
      <c r="C803" s="368"/>
      <c r="D803" s="368"/>
      <c r="E803" s="368"/>
      <c r="F803" s="368"/>
      <c r="G803" s="368"/>
      <c r="H803" s="368"/>
      <c r="I803" s="368"/>
      <c r="J803" s="368"/>
      <c r="K803" s="368"/>
      <c r="L803" s="368"/>
      <c r="M803" s="368"/>
      <c r="N803" s="368"/>
      <c r="O803" s="368"/>
      <c r="P803" s="368"/>
      <c r="Q803" s="368"/>
      <c r="R803" s="368"/>
      <c r="S803" s="368"/>
      <c r="T803" s="368"/>
      <c r="U803" s="368"/>
      <c r="V803" s="368"/>
      <c r="W803" s="26"/>
      <c r="X803" s="26"/>
      <c r="Y803" s="26"/>
      <c r="Z803" s="26"/>
    </row>
    <row r="804">
      <c r="A804" s="368"/>
      <c r="B804" s="368"/>
      <c r="C804" s="368"/>
      <c r="D804" s="368"/>
      <c r="E804" s="368"/>
      <c r="F804" s="368"/>
      <c r="G804" s="368"/>
      <c r="H804" s="368"/>
      <c r="I804" s="368"/>
      <c r="J804" s="368"/>
      <c r="K804" s="368"/>
      <c r="L804" s="368"/>
      <c r="M804" s="368"/>
      <c r="N804" s="368"/>
      <c r="O804" s="368"/>
      <c r="P804" s="368"/>
      <c r="Q804" s="368"/>
      <c r="R804" s="368"/>
      <c r="S804" s="368"/>
      <c r="T804" s="368"/>
      <c r="U804" s="368"/>
      <c r="V804" s="368"/>
      <c r="W804" s="26"/>
      <c r="X804" s="26"/>
      <c r="Y804" s="26"/>
      <c r="Z804" s="26"/>
    </row>
    <row r="805">
      <c r="A805" s="368"/>
      <c r="B805" s="368"/>
      <c r="C805" s="368"/>
      <c r="D805" s="368"/>
      <c r="E805" s="368"/>
      <c r="F805" s="368"/>
      <c r="G805" s="368"/>
      <c r="H805" s="368"/>
      <c r="I805" s="368"/>
      <c r="J805" s="368"/>
      <c r="K805" s="368"/>
      <c r="L805" s="368"/>
      <c r="M805" s="368"/>
      <c r="N805" s="368"/>
      <c r="O805" s="368"/>
      <c r="P805" s="368"/>
      <c r="Q805" s="368"/>
      <c r="R805" s="368"/>
      <c r="S805" s="368"/>
      <c r="T805" s="368"/>
      <c r="U805" s="368"/>
      <c r="V805" s="368"/>
      <c r="W805" s="26"/>
      <c r="X805" s="26"/>
      <c r="Y805" s="26"/>
      <c r="Z805" s="26"/>
    </row>
    <row r="806">
      <c r="A806" s="368"/>
      <c r="B806" s="368"/>
      <c r="C806" s="368"/>
      <c r="D806" s="368"/>
      <c r="E806" s="368"/>
      <c r="F806" s="368"/>
      <c r="G806" s="368"/>
      <c r="H806" s="368"/>
      <c r="I806" s="368"/>
      <c r="J806" s="368"/>
      <c r="K806" s="368"/>
      <c r="L806" s="368"/>
      <c r="M806" s="368"/>
      <c r="N806" s="368"/>
      <c r="O806" s="368"/>
      <c r="P806" s="368"/>
      <c r="Q806" s="368"/>
      <c r="R806" s="368"/>
      <c r="S806" s="368"/>
      <c r="T806" s="368"/>
      <c r="U806" s="368"/>
      <c r="V806" s="368"/>
      <c r="W806" s="26"/>
      <c r="X806" s="26"/>
      <c r="Y806" s="26"/>
      <c r="Z806" s="26"/>
    </row>
    <row r="807">
      <c r="A807" s="368"/>
      <c r="B807" s="368"/>
      <c r="C807" s="368"/>
      <c r="D807" s="368"/>
      <c r="E807" s="368"/>
      <c r="F807" s="368"/>
      <c r="G807" s="368"/>
      <c r="H807" s="368"/>
      <c r="I807" s="368"/>
      <c r="J807" s="368"/>
      <c r="K807" s="368"/>
      <c r="L807" s="368"/>
      <c r="M807" s="368"/>
      <c r="N807" s="368"/>
      <c r="O807" s="368"/>
      <c r="P807" s="368"/>
      <c r="Q807" s="368"/>
      <c r="R807" s="368"/>
      <c r="S807" s="368"/>
      <c r="T807" s="368"/>
      <c r="U807" s="368"/>
      <c r="V807" s="368"/>
      <c r="W807" s="26"/>
      <c r="X807" s="26"/>
      <c r="Y807" s="26"/>
      <c r="Z807" s="26"/>
    </row>
    <row r="808">
      <c r="A808" s="368"/>
      <c r="B808" s="368"/>
      <c r="C808" s="368"/>
      <c r="D808" s="368"/>
      <c r="E808" s="368"/>
      <c r="F808" s="368"/>
      <c r="G808" s="368"/>
      <c r="H808" s="368"/>
      <c r="I808" s="368"/>
      <c r="J808" s="368"/>
      <c r="K808" s="368"/>
      <c r="L808" s="368"/>
      <c r="M808" s="368"/>
      <c r="N808" s="368"/>
      <c r="O808" s="368"/>
      <c r="P808" s="368"/>
      <c r="Q808" s="368"/>
      <c r="R808" s="368"/>
      <c r="S808" s="368"/>
      <c r="T808" s="368"/>
      <c r="U808" s="368"/>
      <c r="V808" s="368"/>
      <c r="W808" s="26"/>
      <c r="X808" s="26"/>
      <c r="Y808" s="26"/>
      <c r="Z808" s="26"/>
    </row>
    <row r="809">
      <c r="A809" s="368"/>
      <c r="B809" s="368"/>
      <c r="C809" s="368"/>
      <c r="D809" s="368"/>
      <c r="E809" s="368"/>
      <c r="F809" s="368"/>
      <c r="G809" s="368"/>
      <c r="H809" s="368"/>
      <c r="I809" s="368"/>
      <c r="J809" s="368"/>
      <c r="K809" s="368"/>
      <c r="L809" s="368"/>
      <c r="M809" s="368"/>
      <c r="N809" s="368"/>
      <c r="O809" s="368"/>
      <c r="P809" s="368"/>
      <c r="Q809" s="368"/>
      <c r="R809" s="368"/>
      <c r="S809" s="368"/>
      <c r="T809" s="368"/>
      <c r="U809" s="368"/>
      <c r="V809" s="368"/>
      <c r="W809" s="26"/>
      <c r="X809" s="26"/>
      <c r="Y809" s="26"/>
      <c r="Z809" s="26"/>
    </row>
    <row r="810">
      <c r="A810" s="368"/>
      <c r="B810" s="368"/>
      <c r="C810" s="368"/>
      <c r="D810" s="368"/>
      <c r="E810" s="368"/>
      <c r="F810" s="368"/>
      <c r="G810" s="368"/>
      <c r="H810" s="368"/>
      <c r="I810" s="368"/>
      <c r="J810" s="368"/>
      <c r="K810" s="368"/>
      <c r="L810" s="368"/>
      <c r="M810" s="368"/>
      <c r="N810" s="368"/>
      <c r="O810" s="368"/>
      <c r="P810" s="368"/>
      <c r="Q810" s="368"/>
      <c r="R810" s="368"/>
      <c r="S810" s="368"/>
      <c r="T810" s="368"/>
      <c r="U810" s="368"/>
      <c r="V810" s="368"/>
      <c r="W810" s="26"/>
      <c r="X810" s="26"/>
      <c r="Y810" s="26"/>
      <c r="Z810" s="26"/>
    </row>
    <row r="811">
      <c r="A811" s="368"/>
      <c r="B811" s="368"/>
      <c r="C811" s="368"/>
      <c r="D811" s="368"/>
      <c r="E811" s="368"/>
      <c r="F811" s="368"/>
      <c r="G811" s="368"/>
      <c r="H811" s="368"/>
      <c r="I811" s="368"/>
      <c r="J811" s="368"/>
      <c r="K811" s="368"/>
      <c r="L811" s="368"/>
      <c r="M811" s="368"/>
      <c r="N811" s="368"/>
      <c r="O811" s="368"/>
      <c r="P811" s="368"/>
      <c r="Q811" s="368"/>
      <c r="R811" s="368"/>
      <c r="S811" s="368"/>
      <c r="T811" s="368"/>
      <c r="U811" s="368"/>
      <c r="V811" s="368"/>
      <c r="W811" s="26"/>
      <c r="X811" s="26"/>
      <c r="Y811" s="26"/>
      <c r="Z811" s="26"/>
    </row>
    <row r="812">
      <c r="A812" s="368"/>
      <c r="B812" s="368"/>
      <c r="C812" s="368"/>
      <c r="D812" s="368"/>
      <c r="E812" s="368"/>
      <c r="F812" s="368"/>
      <c r="G812" s="368"/>
      <c r="H812" s="368"/>
      <c r="I812" s="368"/>
      <c r="J812" s="368"/>
      <c r="K812" s="368"/>
      <c r="L812" s="368"/>
      <c r="M812" s="368"/>
      <c r="N812" s="368"/>
      <c r="O812" s="368"/>
      <c r="P812" s="368"/>
      <c r="Q812" s="368"/>
      <c r="R812" s="368"/>
      <c r="S812" s="368"/>
      <c r="T812" s="368"/>
      <c r="U812" s="368"/>
      <c r="V812" s="368"/>
      <c r="W812" s="26"/>
      <c r="X812" s="26"/>
      <c r="Y812" s="26"/>
      <c r="Z812" s="26"/>
    </row>
    <row r="813">
      <c r="A813" s="368"/>
      <c r="B813" s="368"/>
      <c r="C813" s="368"/>
      <c r="D813" s="368"/>
      <c r="E813" s="368"/>
      <c r="F813" s="368"/>
      <c r="G813" s="368"/>
      <c r="H813" s="368"/>
      <c r="I813" s="368"/>
      <c r="J813" s="368"/>
      <c r="K813" s="368"/>
      <c r="L813" s="368"/>
      <c r="M813" s="368"/>
      <c r="N813" s="368"/>
      <c r="O813" s="368"/>
      <c r="P813" s="368"/>
      <c r="Q813" s="368"/>
      <c r="R813" s="368"/>
      <c r="S813" s="368"/>
      <c r="T813" s="368"/>
      <c r="U813" s="368"/>
      <c r="V813" s="368"/>
      <c r="W813" s="26"/>
      <c r="X813" s="26"/>
      <c r="Y813" s="26"/>
      <c r="Z813" s="26"/>
    </row>
    <row r="814">
      <c r="A814" s="368"/>
      <c r="B814" s="368"/>
      <c r="C814" s="368"/>
      <c r="D814" s="368"/>
      <c r="E814" s="368"/>
      <c r="F814" s="368"/>
      <c r="G814" s="368"/>
      <c r="H814" s="368"/>
      <c r="I814" s="368"/>
      <c r="J814" s="368"/>
      <c r="K814" s="368"/>
      <c r="L814" s="368"/>
      <c r="M814" s="368"/>
      <c r="N814" s="368"/>
      <c r="O814" s="368"/>
      <c r="P814" s="368"/>
      <c r="Q814" s="368"/>
      <c r="R814" s="368"/>
      <c r="S814" s="368"/>
      <c r="T814" s="368"/>
      <c r="U814" s="368"/>
      <c r="V814" s="368"/>
      <c r="W814" s="26"/>
      <c r="X814" s="26"/>
      <c r="Y814" s="26"/>
      <c r="Z814" s="26"/>
    </row>
    <row r="815">
      <c r="A815" s="368"/>
      <c r="B815" s="368"/>
      <c r="C815" s="368"/>
      <c r="D815" s="368"/>
      <c r="E815" s="368"/>
      <c r="F815" s="368"/>
      <c r="G815" s="368"/>
      <c r="H815" s="368"/>
      <c r="I815" s="368"/>
      <c r="J815" s="368"/>
      <c r="K815" s="368"/>
      <c r="L815" s="368"/>
      <c r="M815" s="368"/>
      <c r="N815" s="368"/>
      <c r="O815" s="368"/>
      <c r="P815" s="368"/>
      <c r="Q815" s="368"/>
      <c r="R815" s="368"/>
      <c r="S815" s="368"/>
      <c r="T815" s="368"/>
      <c r="U815" s="368"/>
      <c r="V815" s="368"/>
      <c r="W815" s="26"/>
      <c r="X815" s="26"/>
      <c r="Y815" s="26"/>
      <c r="Z815" s="26"/>
    </row>
    <row r="816">
      <c r="A816" s="368"/>
      <c r="B816" s="368"/>
      <c r="C816" s="368"/>
      <c r="D816" s="368"/>
      <c r="E816" s="368"/>
      <c r="F816" s="368"/>
      <c r="G816" s="368"/>
      <c r="H816" s="368"/>
      <c r="I816" s="368"/>
      <c r="J816" s="368"/>
      <c r="K816" s="368"/>
      <c r="L816" s="368"/>
      <c r="M816" s="368"/>
      <c r="N816" s="368"/>
      <c r="O816" s="368"/>
      <c r="P816" s="368"/>
      <c r="Q816" s="368"/>
      <c r="R816" s="368"/>
      <c r="S816" s="368"/>
      <c r="T816" s="368"/>
      <c r="U816" s="368"/>
      <c r="V816" s="368"/>
      <c r="W816" s="26"/>
      <c r="X816" s="26"/>
      <c r="Y816" s="26"/>
      <c r="Z816" s="26"/>
    </row>
    <row r="817">
      <c r="A817" s="368"/>
      <c r="B817" s="368"/>
      <c r="C817" s="368"/>
      <c r="D817" s="368"/>
      <c r="E817" s="368"/>
      <c r="F817" s="368"/>
      <c r="G817" s="368"/>
      <c r="H817" s="368"/>
      <c r="I817" s="368"/>
      <c r="J817" s="368"/>
      <c r="K817" s="368"/>
      <c r="L817" s="368"/>
      <c r="M817" s="368"/>
      <c r="N817" s="368"/>
      <c r="O817" s="368"/>
      <c r="P817" s="368"/>
      <c r="Q817" s="368"/>
      <c r="R817" s="368"/>
      <c r="S817" s="368"/>
      <c r="T817" s="368"/>
      <c r="U817" s="368"/>
      <c r="V817" s="368"/>
      <c r="W817" s="26"/>
      <c r="X817" s="26"/>
      <c r="Y817" s="26"/>
      <c r="Z817" s="26"/>
    </row>
    <row r="818">
      <c r="A818" s="368"/>
      <c r="B818" s="368"/>
      <c r="C818" s="368"/>
      <c r="D818" s="368"/>
      <c r="E818" s="368"/>
      <c r="F818" s="368"/>
      <c r="G818" s="368"/>
      <c r="H818" s="368"/>
      <c r="I818" s="368"/>
      <c r="J818" s="368"/>
      <c r="K818" s="368"/>
      <c r="L818" s="368"/>
      <c r="M818" s="368"/>
      <c r="N818" s="368"/>
      <c r="O818" s="368"/>
      <c r="P818" s="368"/>
      <c r="Q818" s="368"/>
      <c r="R818" s="368"/>
      <c r="S818" s="368"/>
      <c r="T818" s="368"/>
      <c r="U818" s="368"/>
      <c r="V818" s="368"/>
      <c r="W818" s="26"/>
      <c r="X818" s="26"/>
      <c r="Y818" s="26"/>
      <c r="Z818" s="26"/>
    </row>
    <row r="819">
      <c r="A819" s="368"/>
      <c r="B819" s="368"/>
      <c r="C819" s="368"/>
      <c r="D819" s="368"/>
      <c r="E819" s="368"/>
      <c r="F819" s="368"/>
      <c r="G819" s="368"/>
      <c r="H819" s="368"/>
      <c r="I819" s="368"/>
      <c r="J819" s="368"/>
      <c r="K819" s="368"/>
      <c r="L819" s="368"/>
      <c r="M819" s="368"/>
      <c r="N819" s="368"/>
      <c r="O819" s="368"/>
      <c r="P819" s="368"/>
      <c r="Q819" s="368"/>
      <c r="R819" s="368"/>
      <c r="S819" s="368"/>
      <c r="T819" s="368"/>
      <c r="U819" s="368"/>
      <c r="V819" s="368"/>
      <c r="W819" s="26"/>
      <c r="X819" s="26"/>
      <c r="Y819" s="26"/>
      <c r="Z819" s="26"/>
    </row>
    <row r="820">
      <c r="A820" s="368"/>
      <c r="B820" s="368"/>
      <c r="C820" s="368"/>
      <c r="D820" s="368"/>
      <c r="E820" s="368"/>
      <c r="F820" s="368"/>
      <c r="G820" s="368"/>
      <c r="H820" s="368"/>
      <c r="I820" s="368"/>
      <c r="J820" s="368"/>
      <c r="K820" s="368"/>
      <c r="L820" s="368"/>
      <c r="M820" s="368"/>
      <c r="N820" s="368"/>
      <c r="O820" s="368"/>
      <c r="P820" s="368"/>
      <c r="Q820" s="368"/>
      <c r="R820" s="368"/>
      <c r="S820" s="368"/>
      <c r="T820" s="368"/>
      <c r="U820" s="368"/>
      <c r="V820" s="368"/>
      <c r="W820" s="26"/>
      <c r="X820" s="26"/>
      <c r="Y820" s="26"/>
      <c r="Z820" s="26"/>
    </row>
    <row r="821">
      <c r="A821" s="368"/>
      <c r="B821" s="368"/>
      <c r="C821" s="368"/>
      <c r="D821" s="368"/>
      <c r="E821" s="368"/>
      <c r="F821" s="368"/>
      <c r="G821" s="368"/>
      <c r="H821" s="368"/>
      <c r="I821" s="368"/>
      <c r="J821" s="368"/>
      <c r="K821" s="368"/>
      <c r="L821" s="368"/>
      <c r="M821" s="368"/>
      <c r="N821" s="368"/>
      <c r="O821" s="368"/>
      <c r="P821" s="368"/>
      <c r="Q821" s="368"/>
      <c r="R821" s="368"/>
      <c r="S821" s="368"/>
      <c r="T821" s="368"/>
      <c r="U821" s="368"/>
      <c r="V821" s="368"/>
      <c r="W821" s="26"/>
      <c r="X821" s="26"/>
      <c r="Y821" s="26"/>
      <c r="Z821" s="26"/>
    </row>
    <row r="822">
      <c r="A822" s="368"/>
      <c r="B822" s="368"/>
      <c r="C822" s="368"/>
      <c r="D822" s="368"/>
      <c r="E822" s="368"/>
      <c r="F822" s="368"/>
      <c r="G822" s="368"/>
      <c r="H822" s="368"/>
      <c r="I822" s="368"/>
      <c r="J822" s="368"/>
      <c r="K822" s="368"/>
      <c r="L822" s="368"/>
      <c r="M822" s="368"/>
      <c r="N822" s="368"/>
      <c r="O822" s="368"/>
      <c r="P822" s="368"/>
      <c r="Q822" s="368"/>
      <c r="R822" s="368"/>
      <c r="S822" s="368"/>
      <c r="T822" s="368"/>
      <c r="U822" s="368"/>
      <c r="V822" s="368"/>
      <c r="W822" s="26"/>
      <c r="X822" s="26"/>
      <c r="Y822" s="26"/>
      <c r="Z822" s="26"/>
    </row>
    <row r="823">
      <c r="A823" s="368"/>
      <c r="B823" s="368"/>
      <c r="C823" s="368"/>
      <c r="D823" s="368"/>
      <c r="E823" s="368"/>
      <c r="F823" s="368"/>
      <c r="G823" s="368"/>
      <c r="H823" s="368"/>
      <c r="I823" s="368"/>
      <c r="J823" s="368"/>
      <c r="K823" s="368"/>
      <c r="L823" s="368"/>
      <c r="M823" s="368"/>
      <c r="N823" s="368"/>
      <c r="O823" s="368"/>
      <c r="P823" s="368"/>
      <c r="Q823" s="368"/>
      <c r="R823" s="368"/>
      <c r="S823" s="368"/>
      <c r="T823" s="368"/>
      <c r="U823" s="368"/>
      <c r="V823" s="368"/>
      <c r="W823" s="26"/>
      <c r="X823" s="26"/>
      <c r="Y823" s="26"/>
      <c r="Z823" s="26"/>
    </row>
    <row r="824">
      <c r="A824" s="368"/>
      <c r="B824" s="368"/>
      <c r="C824" s="368"/>
      <c r="D824" s="368"/>
      <c r="E824" s="368"/>
      <c r="F824" s="368"/>
      <c r="G824" s="368"/>
      <c r="H824" s="368"/>
      <c r="I824" s="368"/>
      <c r="J824" s="368"/>
      <c r="K824" s="368"/>
      <c r="L824" s="368"/>
      <c r="M824" s="368"/>
      <c r="N824" s="368"/>
      <c r="O824" s="368"/>
      <c r="P824" s="368"/>
      <c r="Q824" s="368"/>
      <c r="R824" s="368"/>
      <c r="S824" s="368"/>
      <c r="T824" s="368"/>
      <c r="U824" s="368"/>
      <c r="V824" s="368"/>
      <c r="W824" s="26"/>
      <c r="X824" s="26"/>
      <c r="Y824" s="26"/>
      <c r="Z824" s="26"/>
    </row>
    <row r="825">
      <c r="A825" s="368"/>
      <c r="B825" s="368"/>
      <c r="C825" s="368"/>
      <c r="D825" s="368"/>
      <c r="E825" s="368"/>
      <c r="F825" s="368"/>
      <c r="G825" s="368"/>
      <c r="H825" s="368"/>
      <c r="I825" s="368"/>
      <c r="J825" s="368"/>
      <c r="K825" s="368"/>
      <c r="L825" s="368"/>
      <c r="M825" s="368"/>
      <c r="N825" s="368"/>
      <c r="O825" s="368"/>
      <c r="P825" s="368"/>
      <c r="Q825" s="368"/>
      <c r="R825" s="368"/>
      <c r="S825" s="368"/>
      <c r="T825" s="368"/>
      <c r="U825" s="368"/>
      <c r="V825" s="368"/>
      <c r="W825" s="26"/>
      <c r="X825" s="26"/>
      <c r="Y825" s="26"/>
      <c r="Z825" s="26"/>
    </row>
    <row r="826">
      <c r="A826" s="368"/>
      <c r="B826" s="368"/>
      <c r="C826" s="368"/>
      <c r="D826" s="368"/>
      <c r="E826" s="368"/>
      <c r="F826" s="368"/>
      <c r="G826" s="368"/>
      <c r="H826" s="368"/>
      <c r="I826" s="368"/>
      <c r="J826" s="368"/>
      <c r="K826" s="368"/>
      <c r="L826" s="368"/>
      <c r="M826" s="368"/>
      <c r="N826" s="368"/>
      <c r="O826" s="368"/>
      <c r="P826" s="368"/>
      <c r="Q826" s="368"/>
      <c r="R826" s="368"/>
      <c r="S826" s="368"/>
      <c r="T826" s="368"/>
      <c r="U826" s="368"/>
      <c r="V826" s="368"/>
      <c r="W826" s="26"/>
      <c r="X826" s="26"/>
      <c r="Y826" s="26"/>
      <c r="Z826" s="26"/>
    </row>
    <row r="827">
      <c r="A827" s="368"/>
      <c r="B827" s="368"/>
      <c r="C827" s="368"/>
      <c r="D827" s="368"/>
      <c r="E827" s="368"/>
      <c r="F827" s="368"/>
      <c r="G827" s="368"/>
      <c r="H827" s="368"/>
      <c r="I827" s="368"/>
      <c r="J827" s="368"/>
      <c r="K827" s="368"/>
      <c r="L827" s="368"/>
      <c r="M827" s="368"/>
      <c r="N827" s="368"/>
      <c r="O827" s="368"/>
      <c r="P827" s="368"/>
      <c r="Q827" s="368"/>
      <c r="R827" s="368"/>
      <c r="S827" s="368"/>
      <c r="T827" s="368"/>
      <c r="U827" s="368"/>
      <c r="V827" s="368"/>
      <c r="W827" s="26"/>
      <c r="X827" s="26"/>
      <c r="Y827" s="26"/>
      <c r="Z827" s="26"/>
    </row>
    <row r="828">
      <c r="A828" s="368"/>
      <c r="B828" s="368"/>
      <c r="C828" s="368"/>
      <c r="D828" s="368"/>
      <c r="E828" s="368"/>
      <c r="F828" s="368"/>
      <c r="G828" s="368"/>
      <c r="H828" s="368"/>
      <c r="I828" s="368"/>
      <c r="J828" s="368"/>
      <c r="K828" s="368"/>
      <c r="L828" s="368"/>
      <c r="M828" s="368"/>
      <c r="N828" s="368"/>
      <c r="O828" s="368"/>
      <c r="P828" s="368"/>
      <c r="Q828" s="368"/>
      <c r="R828" s="368"/>
      <c r="S828" s="368"/>
      <c r="T828" s="368"/>
      <c r="U828" s="368"/>
      <c r="V828" s="368"/>
      <c r="W828" s="26"/>
      <c r="X828" s="26"/>
      <c r="Y828" s="26"/>
      <c r="Z828" s="26"/>
    </row>
    <row r="829">
      <c r="A829" s="368"/>
      <c r="B829" s="368"/>
      <c r="C829" s="368"/>
      <c r="D829" s="368"/>
      <c r="E829" s="368"/>
      <c r="F829" s="368"/>
      <c r="G829" s="368"/>
      <c r="H829" s="368"/>
      <c r="I829" s="368"/>
      <c r="J829" s="368"/>
      <c r="K829" s="368"/>
      <c r="L829" s="368"/>
      <c r="M829" s="368"/>
      <c r="N829" s="368"/>
      <c r="O829" s="368"/>
      <c r="P829" s="368"/>
      <c r="Q829" s="368"/>
      <c r="R829" s="368"/>
      <c r="S829" s="368"/>
      <c r="T829" s="368"/>
      <c r="U829" s="368"/>
      <c r="V829" s="368"/>
      <c r="W829" s="26"/>
      <c r="X829" s="26"/>
      <c r="Y829" s="26"/>
      <c r="Z829" s="26"/>
    </row>
    <row r="830">
      <c r="A830" s="368"/>
      <c r="B830" s="368"/>
      <c r="C830" s="368"/>
      <c r="D830" s="368"/>
      <c r="E830" s="368"/>
      <c r="F830" s="368"/>
      <c r="G830" s="368"/>
      <c r="H830" s="368"/>
      <c r="I830" s="368"/>
      <c r="J830" s="368"/>
      <c r="K830" s="368"/>
      <c r="L830" s="368"/>
      <c r="M830" s="368"/>
      <c r="N830" s="368"/>
      <c r="O830" s="368"/>
      <c r="P830" s="368"/>
      <c r="Q830" s="368"/>
      <c r="R830" s="368"/>
      <c r="S830" s="368"/>
      <c r="T830" s="368"/>
      <c r="U830" s="368"/>
      <c r="V830" s="368"/>
      <c r="W830" s="26"/>
      <c r="X830" s="26"/>
      <c r="Y830" s="26"/>
      <c r="Z830" s="26"/>
    </row>
    <row r="831">
      <c r="A831" s="368"/>
      <c r="B831" s="368"/>
      <c r="C831" s="368"/>
      <c r="D831" s="368"/>
      <c r="E831" s="368"/>
      <c r="F831" s="368"/>
      <c r="G831" s="368"/>
      <c r="H831" s="368"/>
      <c r="I831" s="368"/>
      <c r="J831" s="368"/>
      <c r="K831" s="368"/>
      <c r="L831" s="368"/>
      <c r="M831" s="368"/>
      <c r="N831" s="368"/>
      <c r="O831" s="368"/>
      <c r="P831" s="368"/>
      <c r="Q831" s="368"/>
      <c r="R831" s="368"/>
      <c r="S831" s="368"/>
      <c r="T831" s="368"/>
      <c r="U831" s="368"/>
      <c r="V831" s="368"/>
      <c r="W831" s="26"/>
      <c r="X831" s="26"/>
      <c r="Y831" s="26"/>
      <c r="Z831" s="26"/>
    </row>
    <row r="832">
      <c r="A832" s="368"/>
      <c r="B832" s="368"/>
      <c r="C832" s="368"/>
      <c r="D832" s="368"/>
      <c r="E832" s="368"/>
      <c r="F832" s="368"/>
      <c r="G832" s="368"/>
      <c r="H832" s="368"/>
      <c r="I832" s="368"/>
      <c r="J832" s="368"/>
      <c r="K832" s="368"/>
      <c r="L832" s="368"/>
      <c r="M832" s="368"/>
      <c r="N832" s="368"/>
      <c r="O832" s="368"/>
      <c r="P832" s="368"/>
      <c r="Q832" s="368"/>
      <c r="R832" s="368"/>
      <c r="S832" s="368"/>
      <c r="T832" s="368"/>
      <c r="U832" s="368"/>
      <c r="V832" s="368"/>
      <c r="W832" s="26"/>
      <c r="X832" s="26"/>
      <c r="Y832" s="26"/>
      <c r="Z832" s="26"/>
    </row>
    <row r="833">
      <c r="A833" s="368"/>
      <c r="B833" s="368"/>
      <c r="C833" s="368"/>
      <c r="D833" s="368"/>
      <c r="E833" s="368"/>
      <c r="F833" s="368"/>
      <c r="G833" s="368"/>
      <c r="H833" s="368"/>
      <c r="I833" s="368"/>
      <c r="J833" s="368"/>
      <c r="K833" s="368"/>
      <c r="L833" s="368"/>
      <c r="M833" s="368"/>
      <c r="N833" s="368"/>
      <c r="O833" s="368"/>
      <c r="P833" s="368"/>
      <c r="Q833" s="368"/>
      <c r="R833" s="368"/>
      <c r="S833" s="368"/>
      <c r="T833" s="368"/>
      <c r="U833" s="368"/>
      <c r="V833" s="368"/>
      <c r="W833" s="26"/>
      <c r="X833" s="26"/>
      <c r="Y833" s="26"/>
      <c r="Z833" s="26"/>
    </row>
    <row r="834">
      <c r="A834" s="368"/>
      <c r="B834" s="368"/>
      <c r="C834" s="368"/>
      <c r="D834" s="368"/>
      <c r="E834" s="368"/>
      <c r="F834" s="368"/>
      <c r="G834" s="368"/>
      <c r="H834" s="368"/>
      <c r="I834" s="368"/>
      <c r="J834" s="368"/>
      <c r="K834" s="368"/>
      <c r="L834" s="368"/>
      <c r="M834" s="368"/>
      <c r="N834" s="368"/>
      <c r="O834" s="368"/>
      <c r="P834" s="368"/>
      <c r="Q834" s="368"/>
      <c r="R834" s="368"/>
      <c r="S834" s="368"/>
      <c r="T834" s="368"/>
      <c r="U834" s="368"/>
      <c r="V834" s="368"/>
      <c r="W834" s="26"/>
      <c r="X834" s="26"/>
      <c r="Y834" s="26"/>
      <c r="Z834" s="26"/>
    </row>
    <row r="835">
      <c r="A835" s="368"/>
      <c r="B835" s="368"/>
      <c r="C835" s="368"/>
      <c r="D835" s="368"/>
      <c r="E835" s="368"/>
      <c r="F835" s="368"/>
      <c r="G835" s="368"/>
      <c r="H835" s="368"/>
      <c r="I835" s="368"/>
      <c r="J835" s="368"/>
      <c r="K835" s="368"/>
      <c r="L835" s="368"/>
      <c r="M835" s="368"/>
      <c r="N835" s="368"/>
      <c r="O835" s="368"/>
      <c r="P835" s="368"/>
      <c r="Q835" s="368"/>
      <c r="R835" s="368"/>
      <c r="S835" s="368"/>
      <c r="T835" s="368"/>
      <c r="U835" s="368"/>
      <c r="V835" s="368"/>
      <c r="W835" s="26"/>
      <c r="X835" s="26"/>
      <c r="Y835" s="26"/>
      <c r="Z835" s="26"/>
    </row>
    <row r="836">
      <c r="A836" s="368"/>
      <c r="B836" s="368"/>
      <c r="C836" s="368"/>
      <c r="D836" s="368"/>
      <c r="E836" s="368"/>
      <c r="F836" s="368"/>
      <c r="G836" s="368"/>
      <c r="H836" s="368"/>
      <c r="I836" s="368"/>
      <c r="J836" s="368"/>
      <c r="K836" s="368"/>
      <c r="L836" s="368"/>
      <c r="M836" s="368"/>
      <c r="N836" s="368"/>
      <c r="O836" s="368"/>
      <c r="P836" s="368"/>
      <c r="Q836" s="368"/>
      <c r="R836" s="368"/>
      <c r="S836" s="368"/>
      <c r="T836" s="368"/>
      <c r="U836" s="368"/>
      <c r="V836" s="368"/>
      <c r="W836" s="26"/>
      <c r="X836" s="26"/>
      <c r="Y836" s="26"/>
      <c r="Z836" s="26"/>
    </row>
    <row r="837">
      <c r="A837" s="368"/>
      <c r="B837" s="368"/>
      <c r="C837" s="368"/>
      <c r="D837" s="368"/>
      <c r="E837" s="368"/>
      <c r="F837" s="368"/>
      <c r="G837" s="368"/>
      <c r="H837" s="368"/>
      <c r="I837" s="368"/>
      <c r="J837" s="368"/>
      <c r="K837" s="368"/>
      <c r="L837" s="368"/>
      <c r="M837" s="368"/>
      <c r="N837" s="368"/>
      <c r="O837" s="368"/>
      <c r="P837" s="368"/>
      <c r="Q837" s="368"/>
      <c r="R837" s="368"/>
      <c r="S837" s="368"/>
      <c r="T837" s="368"/>
      <c r="U837" s="368"/>
      <c r="V837" s="368"/>
      <c r="W837" s="26"/>
      <c r="X837" s="26"/>
      <c r="Y837" s="26"/>
      <c r="Z837" s="26"/>
    </row>
    <row r="838">
      <c r="A838" s="368"/>
      <c r="B838" s="368"/>
      <c r="C838" s="368"/>
      <c r="D838" s="368"/>
      <c r="E838" s="368"/>
      <c r="F838" s="368"/>
      <c r="G838" s="368"/>
      <c r="H838" s="368"/>
      <c r="I838" s="368"/>
      <c r="J838" s="368"/>
      <c r="K838" s="368"/>
      <c r="L838" s="368"/>
      <c r="M838" s="368"/>
      <c r="N838" s="368"/>
      <c r="O838" s="368"/>
      <c r="P838" s="368"/>
      <c r="Q838" s="368"/>
      <c r="R838" s="368"/>
      <c r="S838" s="368"/>
      <c r="T838" s="368"/>
      <c r="U838" s="368"/>
      <c r="V838" s="368"/>
      <c r="W838" s="26"/>
      <c r="X838" s="26"/>
      <c r="Y838" s="26"/>
      <c r="Z838" s="26"/>
    </row>
    <row r="839">
      <c r="A839" s="368"/>
      <c r="B839" s="368"/>
      <c r="C839" s="368"/>
      <c r="D839" s="368"/>
      <c r="E839" s="368"/>
      <c r="F839" s="368"/>
      <c r="G839" s="368"/>
      <c r="H839" s="368"/>
      <c r="I839" s="368"/>
      <c r="J839" s="368"/>
      <c r="K839" s="368"/>
      <c r="L839" s="368"/>
      <c r="M839" s="368"/>
      <c r="N839" s="368"/>
      <c r="O839" s="368"/>
      <c r="P839" s="368"/>
      <c r="Q839" s="368"/>
      <c r="R839" s="368"/>
      <c r="S839" s="368"/>
      <c r="T839" s="368"/>
      <c r="U839" s="368"/>
      <c r="V839" s="368"/>
      <c r="W839" s="26"/>
      <c r="X839" s="26"/>
      <c r="Y839" s="26"/>
      <c r="Z839" s="26"/>
    </row>
    <row r="840">
      <c r="A840" s="368"/>
      <c r="B840" s="368"/>
      <c r="C840" s="368"/>
      <c r="D840" s="368"/>
      <c r="E840" s="368"/>
      <c r="F840" s="368"/>
      <c r="G840" s="368"/>
      <c r="H840" s="368"/>
      <c r="I840" s="368"/>
      <c r="J840" s="368"/>
      <c r="K840" s="368"/>
      <c r="L840" s="368"/>
      <c r="M840" s="368"/>
      <c r="N840" s="368"/>
      <c r="O840" s="368"/>
      <c r="P840" s="368"/>
      <c r="Q840" s="368"/>
      <c r="R840" s="368"/>
      <c r="S840" s="368"/>
      <c r="T840" s="368"/>
      <c r="U840" s="368"/>
      <c r="V840" s="368"/>
      <c r="W840" s="26"/>
      <c r="X840" s="26"/>
      <c r="Y840" s="26"/>
      <c r="Z840" s="26"/>
    </row>
    <row r="841">
      <c r="A841" s="368"/>
      <c r="B841" s="368"/>
      <c r="C841" s="368"/>
      <c r="D841" s="368"/>
      <c r="E841" s="368"/>
      <c r="F841" s="368"/>
      <c r="G841" s="368"/>
      <c r="H841" s="368"/>
      <c r="I841" s="368"/>
      <c r="J841" s="368"/>
      <c r="K841" s="368"/>
      <c r="L841" s="368"/>
      <c r="M841" s="368"/>
      <c r="N841" s="368"/>
      <c r="O841" s="368"/>
      <c r="P841" s="368"/>
      <c r="Q841" s="368"/>
      <c r="R841" s="368"/>
      <c r="S841" s="368"/>
      <c r="T841" s="368"/>
      <c r="U841" s="368"/>
      <c r="V841" s="368"/>
      <c r="W841" s="26"/>
      <c r="X841" s="26"/>
      <c r="Y841" s="26"/>
      <c r="Z841" s="26"/>
    </row>
    <row r="842">
      <c r="A842" s="368"/>
      <c r="B842" s="368"/>
      <c r="C842" s="368"/>
      <c r="D842" s="368"/>
      <c r="E842" s="368"/>
      <c r="F842" s="368"/>
      <c r="G842" s="368"/>
      <c r="H842" s="368"/>
      <c r="I842" s="368"/>
      <c r="J842" s="368"/>
      <c r="K842" s="368"/>
      <c r="L842" s="368"/>
      <c r="M842" s="368"/>
      <c r="N842" s="368"/>
      <c r="O842" s="368"/>
      <c r="P842" s="368"/>
      <c r="Q842" s="368"/>
      <c r="R842" s="368"/>
      <c r="S842" s="368"/>
      <c r="T842" s="368"/>
      <c r="U842" s="368"/>
      <c r="V842" s="368"/>
      <c r="W842" s="26"/>
      <c r="X842" s="26"/>
      <c r="Y842" s="26"/>
      <c r="Z842" s="26"/>
    </row>
    <row r="843">
      <c r="A843" s="368"/>
      <c r="B843" s="368"/>
      <c r="C843" s="368"/>
      <c r="D843" s="368"/>
      <c r="E843" s="368"/>
      <c r="F843" s="368"/>
      <c r="G843" s="368"/>
      <c r="H843" s="368"/>
      <c r="I843" s="368"/>
      <c r="J843" s="368"/>
      <c r="K843" s="368"/>
      <c r="L843" s="368"/>
      <c r="M843" s="368"/>
      <c r="N843" s="368"/>
      <c r="O843" s="368"/>
      <c r="P843" s="368"/>
      <c r="Q843" s="368"/>
      <c r="R843" s="368"/>
      <c r="S843" s="368"/>
      <c r="T843" s="368"/>
      <c r="U843" s="368"/>
      <c r="V843" s="368"/>
      <c r="W843" s="26"/>
      <c r="X843" s="26"/>
      <c r="Y843" s="26"/>
      <c r="Z843" s="26"/>
    </row>
    <row r="844">
      <c r="A844" s="368"/>
      <c r="B844" s="368"/>
      <c r="C844" s="368"/>
      <c r="D844" s="368"/>
      <c r="E844" s="368"/>
      <c r="F844" s="368"/>
      <c r="G844" s="368"/>
      <c r="H844" s="368"/>
      <c r="I844" s="368"/>
      <c r="J844" s="368"/>
      <c r="K844" s="368"/>
      <c r="L844" s="368"/>
      <c r="M844" s="368"/>
      <c r="N844" s="368"/>
      <c r="O844" s="368"/>
      <c r="P844" s="368"/>
      <c r="Q844" s="368"/>
      <c r="R844" s="368"/>
      <c r="S844" s="368"/>
      <c r="T844" s="368"/>
      <c r="U844" s="368"/>
      <c r="V844" s="368"/>
      <c r="W844" s="26"/>
      <c r="X844" s="26"/>
      <c r="Y844" s="26"/>
      <c r="Z844" s="26"/>
    </row>
    <row r="845">
      <c r="A845" s="368"/>
      <c r="B845" s="368"/>
      <c r="C845" s="368"/>
      <c r="D845" s="368"/>
      <c r="E845" s="368"/>
      <c r="F845" s="368"/>
      <c r="G845" s="368"/>
      <c r="H845" s="368"/>
      <c r="I845" s="368"/>
      <c r="J845" s="368"/>
      <c r="K845" s="368"/>
      <c r="L845" s="368"/>
      <c r="M845" s="368"/>
      <c r="N845" s="368"/>
      <c r="O845" s="368"/>
      <c r="P845" s="368"/>
      <c r="Q845" s="368"/>
      <c r="R845" s="368"/>
      <c r="S845" s="368"/>
      <c r="T845" s="368"/>
      <c r="U845" s="368"/>
      <c r="V845" s="368"/>
      <c r="W845" s="26"/>
      <c r="X845" s="26"/>
      <c r="Y845" s="26"/>
      <c r="Z845" s="26"/>
    </row>
    <row r="846">
      <c r="A846" s="368"/>
      <c r="B846" s="368"/>
      <c r="C846" s="368"/>
      <c r="D846" s="368"/>
      <c r="E846" s="368"/>
      <c r="F846" s="368"/>
      <c r="G846" s="368"/>
      <c r="H846" s="368"/>
      <c r="I846" s="368"/>
      <c r="J846" s="368"/>
      <c r="K846" s="368"/>
      <c r="L846" s="368"/>
      <c r="M846" s="368"/>
      <c r="N846" s="368"/>
      <c r="O846" s="368"/>
      <c r="P846" s="368"/>
      <c r="Q846" s="368"/>
      <c r="R846" s="368"/>
      <c r="S846" s="368"/>
      <c r="T846" s="368"/>
      <c r="U846" s="368"/>
      <c r="V846" s="368"/>
      <c r="W846" s="26"/>
      <c r="X846" s="26"/>
      <c r="Y846" s="26"/>
      <c r="Z846" s="26"/>
    </row>
    <row r="847">
      <c r="A847" s="368"/>
      <c r="B847" s="368"/>
      <c r="C847" s="368"/>
      <c r="D847" s="368"/>
      <c r="E847" s="368"/>
      <c r="F847" s="368"/>
      <c r="G847" s="368"/>
      <c r="H847" s="368"/>
      <c r="I847" s="368"/>
      <c r="J847" s="368"/>
      <c r="K847" s="368"/>
      <c r="L847" s="368"/>
      <c r="M847" s="368"/>
      <c r="N847" s="368"/>
      <c r="O847" s="368"/>
      <c r="P847" s="368"/>
      <c r="Q847" s="368"/>
      <c r="R847" s="368"/>
      <c r="S847" s="368"/>
      <c r="T847" s="368"/>
      <c r="U847" s="368"/>
      <c r="V847" s="368"/>
      <c r="W847" s="26"/>
      <c r="X847" s="26"/>
      <c r="Y847" s="26"/>
      <c r="Z847" s="26"/>
    </row>
    <row r="848">
      <c r="A848" s="368"/>
      <c r="B848" s="368"/>
      <c r="C848" s="368"/>
      <c r="D848" s="368"/>
      <c r="E848" s="368"/>
      <c r="F848" s="368"/>
      <c r="G848" s="368"/>
      <c r="H848" s="368"/>
      <c r="I848" s="368"/>
      <c r="J848" s="368"/>
      <c r="K848" s="368"/>
      <c r="L848" s="368"/>
      <c r="M848" s="368"/>
      <c r="N848" s="368"/>
      <c r="O848" s="368"/>
      <c r="P848" s="368"/>
      <c r="Q848" s="368"/>
      <c r="R848" s="368"/>
      <c r="S848" s="368"/>
      <c r="T848" s="368"/>
      <c r="U848" s="368"/>
      <c r="V848" s="368"/>
      <c r="W848" s="26"/>
      <c r="X848" s="26"/>
      <c r="Y848" s="26"/>
      <c r="Z848" s="26"/>
    </row>
    <row r="849">
      <c r="A849" s="368"/>
      <c r="B849" s="368"/>
      <c r="C849" s="368"/>
      <c r="D849" s="368"/>
      <c r="E849" s="368"/>
      <c r="F849" s="368"/>
      <c r="G849" s="368"/>
      <c r="H849" s="368"/>
      <c r="I849" s="368"/>
      <c r="J849" s="368"/>
      <c r="K849" s="368"/>
      <c r="L849" s="368"/>
      <c r="M849" s="368"/>
      <c r="N849" s="368"/>
      <c r="O849" s="368"/>
      <c r="P849" s="368"/>
      <c r="Q849" s="368"/>
      <c r="R849" s="368"/>
      <c r="S849" s="368"/>
      <c r="T849" s="368"/>
      <c r="U849" s="368"/>
      <c r="V849" s="368"/>
      <c r="W849" s="26"/>
      <c r="X849" s="26"/>
      <c r="Y849" s="26"/>
      <c r="Z849" s="26"/>
    </row>
    <row r="850">
      <c r="A850" s="368"/>
      <c r="B850" s="368"/>
      <c r="C850" s="368"/>
      <c r="D850" s="368"/>
      <c r="E850" s="368"/>
      <c r="F850" s="368"/>
      <c r="G850" s="368"/>
      <c r="H850" s="368"/>
      <c r="I850" s="368"/>
      <c r="J850" s="368"/>
      <c r="K850" s="368"/>
      <c r="L850" s="368"/>
      <c r="M850" s="368"/>
      <c r="N850" s="368"/>
      <c r="O850" s="368"/>
      <c r="P850" s="368"/>
      <c r="Q850" s="368"/>
      <c r="R850" s="368"/>
      <c r="S850" s="368"/>
      <c r="T850" s="368"/>
      <c r="U850" s="368"/>
      <c r="V850" s="368"/>
      <c r="W850" s="26"/>
      <c r="X850" s="26"/>
      <c r="Y850" s="26"/>
      <c r="Z850" s="26"/>
    </row>
    <row r="851">
      <c r="A851" s="368"/>
      <c r="B851" s="368"/>
      <c r="C851" s="368"/>
      <c r="D851" s="368"/>
      <c r="E851" s="368"/>
      <c r="F851" s="368"/>
      <c r="G851" s="368"/>
      <c r="H851" s="368"/>
      <c r="I851" s="368"/>
      <c r="J851" s="368"/>
      <c r="K851" s="368"/>
      <c r="L851" s="368"/>
      <c r="M851" s="368"/>
      <c r="N851" s="368"/>
      <c r="O851" s="368"/>
      <c r="P851" s="368"/>
      <c r="Q851" s="368"/>
      <c r="R851" s="368"/>
      <c r="S851" s="368"/>
      <c r="T851" s="368"/>
      <c r="U851" s="368"/>
      <c r="V851" s="368"/>
      <c r="W851" s="26"/>
      <c r="X851" s="26"/>
      <c r="Y851" s="26"/>
      <c r="Z851" s="26"/>
    </row>
    <row r="852">
      <c r="A852" s="368"/>
      <c r="B852" s="368"/>
      <c r="C852" s="368"/>
      <c r="D852" s="368"/>
      <c r="E852" s="368"/>
      <c r="F852" s="368"/>
      <c r="G852" s="368"/>
      <c r="H852" s="368"/>
      <c r="I852" s="368"/>
      <c r="J852" s="368"/>
      <c r="K852" s="368"/>
      <c r="L852" s="368"/>
      <c r="M852" s="368"/>
      <c r="N852" s="368"/>
      <c r="O852" s="368"/>
      <c r="P852" s="368"/>
      <c r="Q852" s="368"/>
      <c r="R852" s="368"/>
      <c r="S852" s="368"/>
      <c r="T852" s="368"/>
      <c r="U852" s="368"/>
      <c r="V852" s="368"/>
      <c r="W852" s="26"/>
      <c r="X852" s="26"/>
      <c r="Y852" s="26"/>
      <c r="Z852" s="26"/>
    </row>
    <row r="853">
      <c r="A853" s="368"/>
      <c r="B853" s="368"/>
      <c r="C853" s="368"/>
      <c r="D853" s="368"/>
      <c r="E853" s="368"/>
      <c r="F853" s="368"/>
      <c r="G853" s="368"/>
      <c r="H853" s="368"/>
      <c r="I853" s="368"/>
      <c r="J853" s="368"/>
      <c r="K853" s="368"/>
      <c r="L853" s="368"/>
      <c r="M853" s="368"/>
      <c r="N853" s="368"/>
      <c r="O853" s="368"/>
      <c r="P853" s="368"/>
      <c r="Q853" s="368"/>
      <c r="R853" s="368"/>
      <c r="S853" s="368"/>
      <c r="T853" s="368"/>
      <c r="U853" s="368"/>
      <c r="V853" s="368"/>
      <c r="W853" s="26"/>
      <c r="X853" s="26"/>
      <c r="Y853" s="26"/>
      <c r="Z853" s="26"/>
    </row>
    <row r="854">
      <c r="A854" s="368"/>
      <c r="B854" s="368"/>
      <c r="C854" s="368"/>
      <c r="D854" s="368"/>
      <c r="E854" s="368"/>
      <c r="F854" s="368"/>
      <c r="G854" s="368"/>
      <c r="H854" s="368"/>
      <c r="I854" s="368"/>
      <c r="J854" s="368"/>
      <c r="K854" s="368"/>
      <c r="L854" s="368"/>
      <c r="M854" s="368"/>
      <c r="N854" s="368"/>
      <c r="O854" s="368"/>
      <c r="P854" s="368"/>
      <c r="Q854" s="368"/>
      <c r="R854" s="368"/>
      <c r="S854" s="368"/>
      <c r="T854" s="368"/>
      <c r="U854" s="368"/>
      <c r="V854" s="368"/>
      <c r="W854" s="26"/>
      <c r="X854" s="26"/>
      <c r="Y854" s="26"/>
      <c r="Z854" s="26"/>
    </row>
    <row r="855">
      <c r="A855" s="368"/>
      <c r="B855" s="368"/>
      <c r="C855" s="368"/>
      <c r="D855" s="368"/>
      <c r="E855" s="368"/>
      <c r="F855" s="368"/>
      <c r="G855" s="368"/>
      <c r="H855" s="368"/>
      <c r="I855" s="368"/>
      <c r="J855" s="368"/>
      <c r="K855" s="368"/>
      <c r="L855" s="368"/>
      <c r="M855" s="368"/>
      <c r="N855" s="368"/>
      <c r="O855" s="368"/>
      <c r="P855" s="368"/>
      <c r="Q855" s="368"/>
      <c r="R855" s="368"/>
      <c r="S855" s="368"/>
      <c r="T855" s="368"/>
      <c r="U855" s="368"/>
      <c r="V855" s="368"/>
      <c r="W855" s="26"/>
      <c r="X855" s="26"/>
      <c r="Y855" s="26"/>
      <c r="Z855" s="26"/>
    </row>
    <row r="856">
      <c r="A856" s="368"/>
      <c r="B856" s="368"/>
      <c r="C856" s="368"/>
      <c r="D856" s="368"/>
      <c r="E856" s="368"/>
      <c r="F856" s="368"/>
      <c r="G856" s="368"/>
      <c r="H856" s="368"/>
      <c r="I856" s="368"/>
      <c r="J856" s="368"/>
      <c r="K856" s="368"/>
      <c r="L856" s="368"/>
      <c r="M856" s="368"/>
      <c r="N856" s="368"/>
      <c r="O856" s="368"/>
      <c r="P856" s="368"/>
      <c r="Q856" s="368"/>
      <c r="R856" s="368"/>
      <c r="S856" s="368"/>
      <c r="T856" s="368"/>
      <c r="U856" s="368"/>
      <c r="V856" s="368"/>
      <c r="W856" s="26"/>
      <c r="X856" s="26"/>
      <c r="Y856" s="26"/>
      <c r="Z856" s="26"/>
    </row>
    <row r="857">
      <c r="A857" s="368"/>
      <c r="B857" s="368"/>
      <c r="C857" s="368"/>
      <c r="D857" s="368"/>
      <c r="E857" s="368"/>
      <c r="F857" s="368"/>
      <c r="G857" s="368"/>
      <c r="H857" s="368"/>
      <c r="I857" s="368"/>
      <c r="J857" s="368"/>
      <c r="K857" s="368"/>
      <c r="L857" s="368"/>
      <c r="M857" s="368"/>
      <c r="N857" s="368"/>
      <c r="O857" s="368"/>
      <c r="P857" s="368"/>
      <c r="Q857" s="368"/>
      <c r="R857" s="368"/>
      <c r="S857" s="368"/>
      <c r="T857" s="368"/>
      <c r="U857" s="368"/>
      <c r="V857" s="368"/>
      <c r="W857" s="26"/>
      <c r="X857" s="26"/>
      <c r="Y857" s="26"/>
      <c r="Z857" s="26"/>
    </row>
    <row r="858">
      <c r="A858" s="368"/>
      <c r="B858" s="368"/>
      <c r="C858" s="368"/>
      <c r="D858" s="368"/>
      <c r="E858" s="368"/>
      <c r="F858" s="368"/>
      <c r="G858" s="368"/>
      <c r="H858" s="368"/>
      <c r="I858" s="368"/>
      <c r="J858" s="368"/>
      <c r="K858" s="368"/>
      <c r="L858" s="368"/>
      <c r="M858" s="368"/>
      <c r="N858" s="368"/>
      <c r="O858" s="368"/>
      <c r="P858" s="368"/>
      <c r="Q858" s="368"/>
      <c r="R858" s="368"/>
      <c r="S858" s="368"/>
      <c r="T858" s="368"/>
      <c r="U858" s="368"/>
      <c r="V858" s="368"/>
      <c r="W858" s="26"/>
      <c r="X858" s="26"/>
      <c r="Y858" s="26"/>
      <c r="Z858" s="26"/>
    </row>
    <row r="859">
      <c r="A859" s="368"/>
      <c r="B859" s="368"/>
      <c r="C859" s="368"/>
      <c r="D859" s="368"/>
      <c r="E859" s="368"/>
      <c r="F859" s="368"/>
      <c r="G859" s="368"/>
      <c r="H859" s="368"/>
      <c r="I859" s="368"/>
      <c r="J859" s="368"/>
      <c r="K859" s="368"/>
      <c r="L859" s="368"/>
      <c r="M859" s="368"/>
      <c r="N859" s="368"/>
      <c r="O859" s="368"/>
      <c r="P859" s="368"/>
      <c r="Q859" s="368"/>
      <c r="R859" s="368"/>
      <c r="S859" s="368"/>
      <c r="T859" s="368"/>
      <c r="U859" s="368"/>
      <c r="V859" s="368"/>
      <c r="W859" s="26"/>
      <c r="X859" s="26"/>
      <c r="Y859" s="26"/>
      <c r="Z859" s="26"/>
    </row>
    <row r="860">
      <c r="A860" s="368"/>
      <c r="B860" s="368"/>
      <c r="C860" s="368"/>
      <c r="D860" s="368"/>
      <c r="E860" s="368"/>
      <c r="F860" s="368"/>
      <c r="G860" s="368"/>
      <c r="H860" s="368"/>
      <c r="I860" s="368"/>
      <c r="J860" s="368"/>
      <c r="K860" s="368"/>
      <c r="L860" s="368"/>
      <c r="M860" s="368"/>
      <c r="N860" s="368"/>
      <c r="O860" s="368"/>
      <c r="P860" s="368"/>
      <c r="Q860" s="368"/>
      <c r="R860" s="368"/>
      <c r="S860" s="368"/>
      <c r="T860" s="368"/>
      <c r="U860" s="368"/>
      <c r="V860" s="368"/>
      <c r="W860" s="26"/>
      <c r="X860" s="26"/>
      <c r="Y860" s="26"/>
      <c r="Z860" s="26"/>
    </row>
    <row r="861">
      <c r="A861" s="368"/>
      <c r="B861" s="368"/>
      <c r="C861" s="368"/>
      <c r="D861" s="368"/>
      <c r="E861" s="368"/>
      <c r="F861" s="368"/>
      <c r="G861" s="368"/>
      <c r="H861" s="368"/>
      <c r="I861" s="368"/>
      <c r="J861" s="368"/>
      <c r="K861" s="368"/>
      <c r="L861" s="368"/>
      <c r="M861" s="368"/>
      <c r="N861" s="368"/>
      <c r="O861" s="368"/>
      <c r="P861" s="368"/>
      <c r="Q861" s="368"/>
      <c r="R861" s="368"/>
      <c r="S861" s="368"/>
      <c r="T861" s="368"/>
      <c r="U861" s="368"/>
      <c r="V861" s="368"/>
      <c r="W861" s="26"/>
      <c r="X861" s="26"/>
      <c r="Y861" s="26"/>
      <c r="Z861" s="26"/>
    </row>
    <row r="862">
      <c r="A862" s="368"/>
      <c r="B862" s="368"/>
      <c r="C862" s="368"/>
      <c r="D862" s="368"/>
      <c r="E862" s="368"/>
      <c r="F862" s="368"/>
      <c r="G862" s="368"/>
      <c r="H862" s="368"/>
      <c r="I862" s="368"/>
      <c r="J862" s="368"/>
      <c r="K862" s="368"/>
      <c r="L862" s="368"/>
      <c r="M862" s="368"/>
      <c r="N862" s="368"/>
      <c r="O862" s="368"/>
      <c r="P862" s="368"/>
      <c r="Q862" s="368"/>
      <c r="R862" s="368"/>
      <c r="S862" s="368"/>
      <c r="T862" s="368"/>
      <c r="U862" s="368"/>
      <c r="V862" s="368"/>
      <c r="W862" s="26"/>
      <c r="X862" s="26"/>
      <c r="Y862" s="26"/>
      <c r="Z862" s="26"/>
    </row>
    <row r="863">
      <c r="A863" s="368"/>
      <c r="B863" s="368"/>
      <c r="C863" s="368"/>
      <c r="D863" s="368"/>
      <c r="E863" s="368"/>
      <c r="F863" s="368"/>
      <c r="G863" s="368"/>
      <c r="H863" s="368"/>
      <c r="I863" s="368"/>
      <c r="J863" s="368"/>
      <c r="K863" s="368"/>
      <c r="L863" s="368"/>
      <c r="M863" s="368"/>
      <c r="N863" s="368"/>
      <c r="O863" s="368"/>
      <c r="P863" s="368"/>
      <c r="Q863" s="368"/>
      <c r="R863" s="368"/>
      <c r="S863" s="368"/>
      <c r="T863" s="368"/>
      <c r="U863" s="368"/>
      <c r="V863" s="368"/>
      <c r="W863" s="26"/>
      <c r="X863" s="26"/>
      <c r="Y863" s="26"/>
      <c r="Z863" s="26"/>
    </row>
    <row r="864">
      <c r="A864" s="368"/>
      <c r="B864" s="368"/>
      <c r="C864" s="368"/>
      <c r="D864" s="368"/>
      <c r="E864" s="368"/>
      <c r="F864" s="368"/>
      <c r="G864" s="368"/>
      <c r="H864" s="368"/>
      <c r="I864" s="368"/>
      <c r="J864" s="368"/>
      <c r="K864" s="368"/>
      <c r="L864" s="368"/>
      <c r="M864" s="368"/>
      <c r="N864" s="368"/>
      <c r="O864" s="368"/>
      <c r="P864" s="368"/>
      <c r="Q864" s="368"/>
      <c r="R864" s="368"/>
      <c r="S864" s="368"/>
      <c r="T864" s="368"/>
      <c r="U864" s="368"/>
      <c r="V864" s="368"/>
      <c r="W864" s="26"/>
      <c r="X864" s="26"/>
      <c r="Y864" s="26"/>
      <c r="Z864" s="26"/>
    </row>
    <row r="865">
      <c r="A865" s="368"/>
      <c r="B865" s="368"/>
      <c r="C865" s="368"/>
      <c r="D865" s="368"/>
      <c r="E865" s="368"/>
      <c r="F865" s="368"/>
      <c r="G865" s="368"/>
      <c r="H865" s="368"/>
      <c r="I865" s="368"/>
      <c r="J865" s="368"/>
      <c r="K865" s="368"/>
      <c r="L865" s="368"/>
      <c r="M865" s="368"/>
      <c r="N865" s="368"/>
      <c r="O865" s="368"/>
      <c r="P865" s="368"/>
      <c r="Q865" s="368"/>
      <c r="R865" s="368"/>
      <c r="S865" s="368"/>
      <c r="T865" s="368"/>
      <c r="U865" s="368"/>
      <c r="V865" s="368"/>
      <c r="W865" s="26"/>
      <c r="X865" s="26"/>
      <c r="Y865" s="26"/>
      <c r="Z865" s="26"/>
    </row>
    <row r="866">
      <c r="A866" s="368"/>
      <c r="B866" s="368"/>
      <c r="C866" s="368"/>
      <c r="D866" s="368"/>
      <c r="E866" s="368"/>
      <c r="F866" s="368"/>
      <c r="G866" s="368"/>
      <c r="H866" s="368"/>
      <c r="I866" s="368"/>
      <c r="J866" s="368"/>
      <c r="K866" s="368"/>
      <c r="L866" s="368"/>
      <c r="M866" s="368"/>
      <c r="N866" s="368"/>
      <c r="O866" s="368"/>
      <c r="P866" s="368"/>
      <c r="Q866" s="368"/>
      <c r="R866" s="368"/>
      <c r="S866" s="368"/>
      <c r="T866" s="368"/>
      <c r="U866" s="368"/>
      <c r="V866" s="368"/>
      <c r="W866" s="26"/>
      <c r="X866" s="26"/>
      <c r="Y866" s="26"/>
      <c r="Z866" s="26"/>
    </row>
    <row r="867">
      <c r="A867" s="368"/>
      <c r="B867" s="368"/>
      <c r="C867" s="368"/>
      <c r="D867" s="368"/>
      <c r="E867" s="368"/>
      <c r="F867" s="368"/>
      <c r="G867" s="368"/>
      <c r="H867" s="368"/>
      <c r="I867" s="368"/>
      <c r="J867" s="368"/>
      <c r="K867" s="368"/>
      <c r="L867" s="368"/>
      <c r="M867" s="368"/>
      <c r="N867" s="368"/>
      <c r="O867" s="368"/>
      <c r="P867" s="368"/>
      <c r="Q867" s="368"/>
      <c r="R867" s="368"/>
      <c r="S867" s="368"/>
      <c r="T867" s="368"/>
      <c r="U867" s="368"/>
      <c r="V867" s="368"/>
      <c r="W867" s="26"/>
      <c r="X867" s="26"/>
      <c r="Y867" s="26"/>
      <c r="Z867" s="26"/>
    </row>
    <row r="868">
      <c r="A868" s="368"/>
      <c r="B868" s="368"/>
      <c r="C868" s="368"/>
      <c r="D868" s="368"/>
      <c r="E868" s="368"/>
      <c r="F868" s="368"/>
      <c r="G868" s="368"/>
      <c r="H868" s="368"/>
      <c r="I868" s="368"/>
      <c r="J868" s="368"/>
      <c r="K868" s="368"/>
      <c r="L868" s="368"/>
      <c r="M868" s="368"/>
      <c r="N868" s="368"/>
      <c r="O868" s="368"/>
      <c r="P868" s="368"/>
      <c r="Q868" s="368"/>
      <c r="R868" s="368"/>
      <c r="S868" s="368"/>
      <c r="T868" s="368"/>
      <c r="U868" s="368"/>
      <c r="V868" s="368"/>
      <c r="W868" s="26"/>
      <c r="X868" s="26"/>
      <c r="Y868" s="26"/>
      <c r="Z868" s="26"/>
    </row>
    <row r="869">
      <c r="A869" s="368"/>
      <c r="B869" s="368"/>
      <c r="C869" s="368"/>
      <c r="D869" s="368"/>
      <c r="E869" s="368"/>
      <c r="F869" s="368"/>
      <c r="G869" s="368"/>
      <c r="H869" s="368"/>
      <c r="I869" s="368"/>
      <c r="J869" s="368"/>
      <c r="K869" s="368"/>
      <c r="L869" s="368"/>
      <c r="M869" s="368"/>
      <c r="N869" s="368"/>
      <c r="O869" s="368"/>
      <c r="P869" s="368"/>
      <c r="Q869" s="368"/>
      <c r="R869" s="368"/>
      <c r="S869" s="368"/>
      <c r="T869" s="368"/>
      <c r="U869" s="368"/>
      <c r="V869" s="368"/>
      <c r="W869" s="26"/>
      <c r="X869" s="26"/>
      <c r="Y869" s="26"/>
      <c r="Z869" s="26"/>
    </row>
    <row r="870">
      <c r="A870" s="368"/>
      <c r="B870" s="368"/>
      <c r="C870" s="368"/>
      <c r="D870" s="368"/>
      <c r="E870" s="368"/>
      <c r="F870" s="368"/>
      <c r="G870" s="368"/>
      <c r="H870" s="368"/>
      <c r="I870" s="368"/>
      <c r="J870" s="368"/>
      <c r="K870" s="368"/>
      <c r="L870" s="368"/>
      <c r="M870" s="368"/>
      <c r="N870" s="368"/>
      <c r="O870" s="368"/>
      <c r="P870" s="368"/>
      <c r="Q870" s="368"/>
      <c r="R870" s="368"/>
      <c r="S870" s="368"/>
      <c r="T870" s="368"/>
      <c r="U870" s="368"/>
      <c r="V870" s="368"/>
      <c r="W870" s="26"/>
      <c r="X870" s="26"/>
      <c r="Y870" s="26"/>
      <c r="Z870" s="26"/>
    </row>
    <row r="871">
      <c r="A871" s="368"/>
      <c r="B871" s="368"/>
      <c r="C871" s="368"/>
      <c r="D871" s="368"/>
      <c r="E871" s="368"/>
      <c r="F871" s="368"/>
      <c r="G871" s="368"/>
      <c r="H871" s="368"/>
      <c r="I871" s="368"/>
      <c r="J871" s="368"/>
      <c r="K871" s="368"/>
      <c r="L871" s="368"/>
      <c r="M871" s="368"/>
      <c r="N871" s="368"/>
      <c r="O871" s="368"/>
      <c r="P871" s="368"/>
      <c r="Q871" s="368"/>
      <c r="R871" s="368"/>
      <c r="S871" s="368"/>
      <c r="T871" s="368"/>
      <c r="U871" s="368"/>
      <c r="V871" s="368"/>
      <c r="W871" s="26"/>
      <c r="X871" s="26"/>
      <c r="Y871" s="26"/>
      <c r="Z871" s="26"/>
    </row>
    <row r="872">
      <c r="A872" s="368"/>
      <c r="B872" s="368"/>
      <c r="C872" s="368"/>
      <c r="D872" s="368"/>
      <c r="E872" s="368"/>
      <c r="F872" s="368"/>
      <c r="G872" s="368"/>
      <c r="H872" s="368"/>
      <c r="I872" s="368"/>
      <c r="J872" s="368"/>
      <c r="K872" s="368"/>
      <c r="L872" s="368"/>
      <c r="M872" s="368"/>
      <c r="N872" s="368"/>
      <c r="O872" s="368"/>
      <c r="P872" s="368"/>
      <c r="Q872" s="368"/>
      <c r="R872" s="368"/>
      <c r="S872" s="368"/>
      <c r="T872" s="368"/>
      <c r="U872" s="368"/>
      <c r="V872" s="368"/>
      <c r="W872" s="26"/>
      <c r="X872" s="26"/>
      <c r="Y872" s="26"/>
      <c r="Z872" s="26"/>
    </row>
    <row r="873">
      <c r="A873" s="368"/>
      <c r="B873" s="368"/>
      <c r="C873" s="368"/>
      <c r="D873" s="368"/>
      <c r="E873" s="368"/>
      <c r="F873" s="368"/>
      <c r="G873" s="368"/>
      <c r="H873" s="368"/>
      <c r="I873" s="368"/>
      <c r="J873" s="368"/>
      <c r="K873" s="368"/>
      <c r="L873" s="368"/>
      <c r="M873" s="368"/>
      <c r="N873" s="368"/>
      <c r="O873" s="368"/>
      <c r="P873" s="368"/>
      <c r="Q873" s="368"/>
      <c r="R873" s="368"/>
      <c r="S873" s="368"/>
      <c r="T873" s="368"/>
      <c r="U873" s="368"/>
      <c r="V873" s="368"/>
      <c r="W873" s="26"/>
      <c r="X873" s="26"/>
      <c r="Y873" s="26"/>
      <c r="Z873" s="26"/>
    </row>
    <row r="874">
      <c r="A874" s="368"/>
      <c r="B874" s="368"/>
      <c r="C874" s="368"/>
      <c r="D874" s="368"/>
      <c r="E874" s="368"/>
      <c r="F874" s="368"/>
      <c r="G874" s="368"/>
      <c r="H874" s="368"/>
      <c r="I874" s="368"/>
      <c r="J874" s="368"/>
      <c r="K874" s="368"/>
      <c r="L874" s="368"/>
      <c r="M874" s="368"/>
      <c r="N874" s="368"/>
      <c r="O874" s="368"/>
      <c r="P874" s="368"/>
      <c r="Q874" s="368"/>
      <c r="R874" s="368"/>
      <c r="S874" s="368"/>
      <c r="T874" s="368"/>
      <c r="U874" s="368"/>
      <c r="V874" s="368"/>
      <c r="W874" s="26"/>
      <c r="X874" s="26"/>
      <c r="Y874" s="26"/>
      <c r="Z874" s="26"/>
    </row>
    <row r="875">
      <c r="A875" s="368"/>
      <c r="B875" s="368"/>
      <c r="C875" s="368"/>
      <c r="D875" s="368"/>
      <c r="E875" s="368"/>
      <c r="F875" s="368"/>
      <c r="G875" s="368"/>
      <c r="H875" s="368"/>
      <c r="I875" s="368"/>
      <c r="J875" s="368"/>
      <c r="K875" s="368"/>
      <c r="L875" s="368"/>
      <c r="M875" s="368"/>
      <c r="N875" s="368"/>
      <c r="O875" s="368"/>
      <c r="P875" s="368"/>
      <c r="Q875" s="368"/>
      <c r="R875" s="368"/>
      <c r="S875" s="368"/>
      <c r="T875" s="368"/>
      <c r="U875" s="368"/>
      <c r="V875" s="368"/>
      <c r="W875" s="26"/>
      <c r="X875" s="26"/>
      <c r="Y875" s="26"/>
      <c r="Z875" s="26"/>
    </row>
    <row r="876">
      <c r="A876" s="368"/>
      <c r="B876" s="368"/>
      <c r="C876" s="368"/>
      <c r="D876" s="368"/>
      <c r="E876" s="368"/>
      <c r="F876" s="368"/>
      <c r="G876" s="368"/>
      <c r="H876" s="368"/>
      <c r="I876" s="368"/>
      <c r="J876" s="368"/>
      <c r="K876" s="368"/>
      <c r="L876" s="368"/>
      <c r="M876" s="368"/>
      <c r="N876" s="368"/>
      <c r="O876" s="368"/>
      <c r="P876" s="368"/>
      <c r="Q876" s="368"/>
      <c r="R876" s="368"/>
      <c r="S876" s="368"/>
      <c r="T876" s="368"/>
      <c r="U876" s="368"/>
      <c r="V876" s="368"/>
      <c r="W876" s="26"/>
      <c r="X876" s="26"/>
      <c r="Y876" s="26"/>
      <c r="Z876" s="26"/>
    </row>
    <row r="877">
      <c r="A877" s="368"/>
      <c r="B877" s="368"/>
      <c r="C877" s="368"/>
      <c r="D877" s="368"/>
      <c r="E877" s="368"/>
      <c r="F877" s="368"/>
      <c r="G877" s="368"/>
      <c r="H877" s="368"/>
      <c r="I877" s="368"/>
      <c r="J877" s="368"/>
      <c r="K877" s="368"/>
      <c r="L877" s="368"/>
      <c r="M877" s="368"/>
      <c r="N877" s="368"/>
      <c r="O877" s="368"/>
      <c r="P877" s="368"/>
      <c r="Q877" s="368"/>
      <c r="R877" s="368"/>
      <c r="S877" s="368"/>
      <c r="T877" s="368"/>
      <c r="U877" s="368"/>
      <c r="V877" s="368"/>
      <c r="W877" s="26"/>
      <c r="X877" s="26"/>
      <c r="Y877" s="26"/>
      <c r="Z877" s="26"/>
    </row>
    <row r="878">
      <c r="A878" s="368"/>
      <c r="B878" s="368"/>
      <c r="C878" s="368"/>
      <c r="D878" s="368"/>
      <c r="E878" s="368"/>
      <c r="F878" s="368"/>
      <c r="G878" s="368"/>
      <c r="H878" s="368"/>
      <c r="I878" s="368"/>
      <c r="J878" s="368"/>
      <c r="K878" s="368"/>
      <c r="L878" s="368"/>
      <c r="M878" s="368"/>
      <c r="N878" s="368"/>
      <c r="O878" s="368"/>
      <c r="P878" s="368"/>
      <c r="Q878" s="368"/>
      <c r="R878" s="368"/>
      <c r="S878" s="368"/>
      <c r="T878" s="368"/>
      <c r="U878" s="368"/>
      <c r="V878" s="368"/>
      <c r="W878" s="26"/>
      <c r="X878" s="26"/>
      <c r="Y878" s="26"/>
      <c r="Z878" s="26"/>
    </row>
    <row r="879">
      <c r="A879" s="368"/>
      <c r="B879" s="368"/>
      <c r="C879" s="368"/>
      <c r="D879" s="368"/>
      <c r="E879" s="368"/>
      <c r="F879" s="368"/>
      <c r="G879" s="368"/>
      <c r="H879" s="368"/>
      <c r="I879" s="368"/>
      <c r="J879" s="368"/>
      <c r="K879" s="368"/>
      <c r="L879" s="368"/>
      <c r="M879" s="368"/>
      <c r="N879" s="368"/>
      <c r="O879" s="368"/>
      <c r="P879" s="368"/>
      <c r="Q879" s="368"/>
      <c r="R879" s="368"/>
      <c r="S879" s="368"/>
      <c r="T879" s="368"/>
      <c r="U879" s="368"/>
      <c r="V879" s="368"/>
      <c r="W879" s="26"/>
      <c r="X879" s="26"/>
      <c r="Y879" s="26"/>
      <c r="Z879" s="26"/>
    </row>
    <row r="880">
      <c r="A880" s="368"/>
      <c r="B880" s="368"/>
      <c r="C880" s="368"/>
      <c r="D880" s="368"/>
      <c r="E880" s="368"/>
      <c r="F880" s="368"/>
      <c r="G880" s="368"/>
      <c r="H880" s="368"/>
      <c r="I880" s="368"/>
      <c r="J880" s="368"/>
      <c r="K880" s="368"/>
      <c r="L880" s="368"/>
      <c r="M880" s="368"/>
      <c r="N880" s="368"/>
      <c r="O880" s="368"/>
      <c r="P880" s="368"/>
      <c r="Q880" s="368"/>
      <c r="R880" s="368"/>
      <c r="S880" s="368"/>
      <c r="T880" s="368"/>
      <c r="U880" s="368"/>
      <c r="V880" s="368"/>
      <c r="W880" s="26"/>
      <c r="X880" s="26"/>
      <c r="Y880" s="26"/>
      <c r="Z880" s="26"/>
    </row>
    <row r="881">
      <c r="A881" s="368"/>
      <c r="B881" s="368"/>
      <c r="C881" s="368"/>
      <c r="D881" s="368"/>
      <c r="E881" s="368"/>
      <c r="F881" s="368"/>
      <c r="G881" s="368"/>
      <c r="H881" s="368"/>
      <c r="I881" s="368"/>
      <c r="J881" s="368"/>
      <c r="K881" s="368"/>
      <c r="L881" s="368"/>
      <c r="M881" s="368"/>
      <c r="N881" s="368"/>
      <c r="O881" s="368"/>
      <c r="P881" s="368"/>
      <c r="Q881" s="368"/>
      <c r="R881" s="368"/>
      <c r="S881" s="368"/>
      <c r="T881" s="368"/>
      <c r="U881" s="368"/>
      <c r="V881" s="368"/>
      <c r="W881" s="26"/>
      <c r="X881" s="26"/>
      <c r="Y881" s="26"/>
      <c r="Z881" s="26"/>
    </row>
    <row r="882">
      <c r="A882" s="368"/>
      <c r="B882" s="368"/>
      <c r="C882" s="368"/>
      <c r="D882" s="368"/>
      <c r="E882" s="368"/>
      <c r="F882" s="368"/>
      <c r="G882" s="368"/>
      <c r="H882" s="368"/>
      <c r="I882" s="368"/>
      <c r="J882" s="368"/>
      <c r="K882" s="368"/>
      <c r="L882" s="368"/>
      <c r="M882" s="368"/>
      <c r="N882" s="368"/>
      <c r="O882" s="368"/>
      <c r="P882" s="368"/>
      <c r="Q882" s="368"/>
      <c r="R882" s="368"/>
      <c r="S882" s="368"/>
      <c r="T882" s="368"/>
      <c r="U882" s="368"/>
      <c r="V882" s="368"/>
      <c r="W882" s="26"/>
      <c r="X882" s="26"/>
      <c r="Y882" s="26"/>
      <c r="Z882" s="26"/>
    </row>
    <row r="883">
      <c r="A883" s="368"/>
      <c r="B883" s="368"/>
      <c r="C883" s="368"/>
      <c r="D883" s="368"/>
      <c r="E883" s="368"/>
      <c r="F883" s="368"/>
      <c r="G883" s="368"/>
      <c r="H883" s="368"/>
      <c r="I883" s="368"/>
      <c r="J883" s="368"/>
      <c r="K883" s="368"/>
      <c r="L883" s="368"/>
      <c r="M883" s="368"/>
      <c r="N883" s="368"/>
      <c r="O883" s="368"/>
      <c r="P883" s="368"/>
      <c r="Q883" s="368"/>
      <c r="R883" s="368"/>
      <c r="S883" s="368"/>
      <c r="T883" s="368"/>
      <c r="U883" s="368"/>
      <c r="V883" s="368"/>
      <c r="W883" s="26"/>
      <c r="X883" s="26"/>
      <c r="Y883" s="26"/>
      <c r="Z883" s="26"/>
    </row>
    <row r="884">
      <c r="A884" s="368"/>
      <c r="B884" s="368"/>
      <c r="C884" s="368"/>
      <c r="D884" s="368"/>
      <c r="E884" s="368"/>
      <c r="F884" s="368"/>
      <c r="G884" s="368"/>
      <c r="H884" s="368"/>
      <c r="I884" s="368"/>
      <c r="J884" s="368"/>
      <c r="K884" s="368"/>
      <c r="L884" s="368"/>
      <c r="M884" s="368"/>
      <c r="N884" s="368"/>
      <c r="O884" s="368"/>
      <c r="P884" s="368"/>
      <c r="Q884" s="368"/>
      <c r="R884" s="368"/>
      <c r="S884" s="368"/>
      <c r="T884" s="368"/>
      <c r="U884" s="368"/>
      <c r="V884" s="368"/>
      <c r="W884" s="26"/>
      <c r="X884" s="26"/>
      <c r="Y884" s="26"/>
      <c r="Z884" s="26"/>
    </row>
    <row r="885">
      <c r="A885" s="368"/>
      <c r="B885" s="368"/>
      <c r="C885" s="368"/>
      <c r="D885" s="368"/>
      <c r="E885" s="368"/>
      <c r="F885" s="368"/>
      <c r="G885" s="368"/>
      <c r="H885" s="368"/>
      <c r="I885" s="368"/>
      <c r="J885" s="368"/>
      <c r="K885" s="368"/>
      <c r="L885" s="368"/>
      <c r="M885" s="368"/>
      <c r="N885" s="368"/>
      <c r="O885" s="368"/>
      <c r="P885" s="368"/>
      <c r="Q885" s="368"/>
      <c r="R885" s="368"/>
      <c r="S885" s="368"/>
      <c r="T885" s="368"/>
      <c r="U885" s="368"/>
      <c r="V885" s="368"/>
      <c r="W885" s="26"/>
      <c r="X885" s="26"/>
      <c r="Y885" s="26"/>
      <c r="Z885" s="26"/>
    </row>
    <row r="886">
      <c r="A886" s="368"/>
      <c r="B886" s="368"/>
      <c r="C886" s="368"/>
      <c r="D886" s="368"/>
      <c r="E886" s="368"/>
      <c r="F886" s="368"/>
      <c r="G886" s="368"/>
      <c r="H886" s="368"/>
      <c r="I886" s="368"/>
      <c r="J886" s="368"/>
      <c r="K886" s="368"/>
      <c r="L886" s="368"/>
      <c r="M886" s="368"/>
      <c r="N886" s="368"/>
      <c r="O886" s="368"/>
      <c r="P886" s="368"/>
      <c r="Q886" s="368"/>
      <c r="R886" s="368"/>
      <c r="S886" s="368"/>
      <c r="T886" s="368"/>
      <c r="U886" s="368"/>
      <c r="V886" s="368"/>
      <c r="W886" s="26"/>
      <c r="X886" s="26"/>
      <c r="Y886" s="26"/>
      <c r="Z886" s="26"/>
    </row>
    <row r="887">
      <c r="A887" s="368"/>
      <c r="B887" s="368"/>
      <c r="C887" s="368"/>
      <c r="D887" s="368"/>
      <c r="E887" s="368"/>
      <c r="F887" s="368"/>
      <c r="G887" s="368"/>
      <c r="H887" s="368"/>
      <c r="I887" s="368"/>
      <c r="J887" s="368"/>
      <c r="K887" s="368"/>
      <c r="L887" s="368"/>
      <c r="M887" s="368"/>
      <c r="N887" s="368"/>
      <c r="O887" s="368"/>
      <c r="P887" s="368"/>
      <c r="Q887" s="368"/>
      <c r="R887" s="368"/>
      <c r="S887" s="368"/>
      <c r="T887" s="368"/>
      <c r="U887" s="368"/>
      <c r="V887" s="368"/>
      <c r="W887" s="26"/>
      <c r="X887" s="26"/>
      <c r="Y887" s="26"/>
      <c r="Z887" s="26"/>
    </row>
    <row r="888">
      <c r="A888" s="368"/>
      <c r="B888" s="368"/>
      <c r="C888" s="368"/>
      <c r="D888" s="368"/>
      <c r="E888" s="368"/>
      <c r="F888" s="368"/>
      <c r="G888" s="368"/>
      <c r="H888" s="368"/>
      <c r="I888" s="368"/>
      <c r="J888" s="368"/>
      <c r="K888" s="368"/>
      <c r="L888" s="368"/>
      <c r="M888" s="368"/>
      <c r="N888" s="368"/>
      <c r="O888" s="368"/>
      <c r="P888" s="368"/>
      <c r="Q888" s="368"/>
      <c r="R888" s="368"/>
      <c r="S888" s="368"/>
      <c r="T888" s="368"/>
      <c r="U888" s="368"/>
      <c r="V888" s="368"/>
      <c r="W888" s="26"/>
      <c r="X888" s="26"/>
      <c r="Y888" s="26"/>
      <c r="Z888" s="26"/>
    </row>
    <row r="889">
      <c r="A889" s="368"/>
      <c r="B889" s="368"/>
      <c r="C889" s="368"/>
      <c r="D889" s="368"/>
      <c r="E889" s="368"/>
      <c r="F889" s="368"/>
      <c r="G889" s="368"/>
      <c r="H889" s="368"/>
      <c r="I889" s="368"/>
      <c r="J889" s="368"/>
      <c r="K889" s="368"/>
      <c r="L889" s="368"/>
      <c r="M889" s="368"/>
      <c r="N889" s="368"/>
      <c r="O889" s="368"/>
      <c r="P889" s="368"/>
      <c r="Q889" s="368"/>
      <c r="R889" s="368"/>
      <c r="S889" s="368"/>
      <c r="T889" s="368"/>
      <c r="U889" s="368"/>
      <c r="V889" s="368"/>
      <c r="W889" s="26"/>
      <c r="X889" s="26"/>
      <c r="Y889" s="26"/>
      <c r="Z889" s="26"/>
    </row>
    <row r="890">
      <c r="A890" s="368"/>
      <c r="B890" s="368"/>
      <c r="C890" s="368"/>
      <c r="D890" s="368"/>
      <c r="E890" s="368"/>
      <c r="F890" s="368"/>
      <c r="G890" s="368"/>
      <c r="H890" s="368"/>
      <c r="I890" s="368"/>
      <c r="J890" s="368"/>
      <c r="K890" s="368"/>
      <c r="L890" s="368"/>
      <c r="M890" s="368"/>
      <c r="N890" s="368"/>
      <c r="O890" s="368"/>
      <c r="P890" s="368"/>
      <c r="Q890" s="368"/>
      <c r="R890" s="368"/>
      <c r="S890" s="368"/>
      <c r="T890" s="368"/>
      <c r="U890" s="368"/>
      <c r="V890" s="368"/>
      <c r="W890" s="26"/>
      <c r="X890" s="26"/>
      <c r="Y890" s="26"/>
      <c r="Z890" s="26"/>
    </row>
    <row r="891">
      <c r="A891" s="368"/>
      <c r="B891" s="368"/>
      <c r="C891" s="368"/>
      <c r="D891" s="368"/>
      <c r="E891" s="368"/>
      <c r="F891" s="368"/>
      <c r="G891" s="368"/>
      <c r="H891" s="368"/>
      <c r="I891" s="368"/>
      <c r="J891" s="368"/>
      <c r="K891" s="368"/>
      <c r="L891" s="368"/>
      <c r="M891" s="368"/>
      <c r="N891" s="368"/>
      <c r="O891" s="368"/>
      <c r="P891" s="368"/>
      <c r="Q891" s="368"/>
      <c r="R891" s="368"/>
      <c r="S891" s="368"/>
      <c r="T891" s="368"/>
      <c r="U891" s="368"/>
      <c r="V891" s="368"/>
      <c r="W891" s="26"/>
      <c r="X891" s="26"/>
      <c r="Y891" s="26"/>
      <c r="Z891" s="26"/>
    </row>
    <row r="892">
      <c r="A892" s="368"/>
      <c r="B892" s="368"/>
      <c r="C892" s="368"/>
      <c r="D892" s="368"/>
      <c r="E892" s="368"/>
      <c r="F892" s="368"/>
      <c r="G892" s="368"/>
      <c r="H892" s="368"/>
      <c r="I892" s="368"/>
      <c r="J892" s="368"/>
      <c r="K892" s="368"/>
      <c r="L892" s="368"/>
      <c r="M892" s="368"/>
      <c r="N892" s="368"/>
      <c r="O892" s="368"/>
      <c r="P892" s="368"/>
      <c r="Q892" s="368"/>
      <c r="R892" s="368"/>
      <c r="S892" s="368"/>
      <c r="T892" s="368"/>
      <c r="U892" s="368"/>
      <c r="V892" s="368"/>
      <c r="W892" s="26"/>
      <c r="X892" s="26"/>
      <c r="Y892" s="26"/>
      <c r="Z892" s="26"/>
    </row>
    <row r="893">
      <c r="A893" s="368"/>
      <c r="B893" s="368"/>
      <c r="C893" s="368"/>
      <c r="D893" s="368"/>
      <c r="E893" s="368"/>
      <c r="F893" s="368"/>
      <c r="G893" s="368"/>
      <c r="H893" s="368"/>
      <c r="I893" s="368"/>
      <c r="J893" s="368"/>
      <c r="K893" s="368"/>
      <c r="L893" s="368"/>
      <c r="M893" s="368"/>
      <c r="N893" s="368"/>
      <c r="O893" s="368"/>
      <c r="P893" s="368"/>
      <c r="Q893" s="368"/>
      <c r="R893" s="368"/>
      <c r="S893" s="368"/>
      <c r="T893" s="368"/>
      <c r="U893" s="368"/>
      <c r="V893" s="368"/>
      <c r="W893" s="26"/>
      <c r="X893" s="26"/>
      <c r="Y893" s="26"/>
      <c r="Z893" s="26"/>
    </row>
    <row r="894">
      <c r="A894" s="368"/>
      <c r="B894" s="368"/>
      <c r="C894" s="368"/>
      <c r="D894" s="368"/>
      <c r="E894" s="368"/>
      <c r="F894" s="368"/>
      <c r="G894" s="368"/>
      <c r="H894" s="368"/>
      <c r="I894" s="368"/>
      <c r="J894" s="368"/>
      <c r="K894" s="368"/>
      <c r="L894" s="368"/>
      <c r="M894" s="368"/>
      <c r="N894" s="368"/>
      <c r="O894" s="368"/>
      <c r="P894" s="368"/>
      <c r="Q894" s="368"/>
      <c r="R894" s="368"/>
      <c r="S894" s="368"/>
      <c r="T894" s="368"/>
      <c r="U894" s="368"/>
      <c r="V894" s="368"/>
      <c r="W894" s="26"/>
      <c r="X894" s="26"/>
      <c r="Y894" s="26"/>
      <c r="Z894" s="26"/>
    </row>
    <row r="895">
      <c r="A895" s="368"/>
      <c r="B895" s="368"/>
      <c r="C895" s="368"/>
      <c r="D895" s="368"/>
      <c r="E895" s="368"/>
      <c r="F895" s="368"/>
      <c r="G895" s="368"/>
      <c r="H895" s="368"/>
      <c r="I895" s="368"/>
      <c r="J895" s="368"/>
      <c r="K895" s="368"/>
      <c r="L895" s="368"/>
      <c r="M895" s="368"/>
      <c r="N895" s="368"/>
      <c r="O895" s="368"/>
      <c r="P895" s="368"/>
      <c r="Q895" s="368"/>
      <c r="R895" s="368"/>
      <c r="S895" s="368"/>
      <c r="T895" s="368"/>
      <c r="U895" s="368"/>
      <c r="V895" s="368"/>
      <c r="W895" s="26"/>
      <c r="X895" s="26"/>
      <c r="Y895" s="26"/>
      <c r="Z895" s="26"/>
    </row>
    <row r="896">
      <c r="A896" s="368"/>
      <c r="B896" s="368"/>
      <c r="C896" s="368"/>
      <c r="D896" s="368"/>
      <c r="E896" s="368"/>
      <c r="F896" s="368"/>
      <c r="G896" s="368"/>
      <c r="H896" s="368"/>
      <c r="I896" s="368"/>
      <c r="J896" s="368"/>
      <c r="K896" s="368"/>
      <c r="L896" s="368"/>
      <c r="M896" s="368"/>
      <c r="N896" s="368"/>
      <c r="O896" s="368"/>
      <c r="P896" s="368"/>
      <c r="Q896" s="368"/>
      <c r="R896" s="368"/>
      <c r="S896" s="368"/>
      <c r="T896" s="368"/>
      <c r="U896" s="368"/>
      <c r="V896" s="368"/>
      <c r="W896" s="26"/>
      <c r="X896" s="26"/>
      <c r="Y896" s="26"/>
      <c r="Z896" s="26"/>
    </row>
    <row r="897">
      <c r="A897" s="368"/>
      <c r="B897" s="368"/>
      <c r="C897" s="368"/>
      <c r="D897" s="368"/>
      <c r="E897" s="368"/>
      <c r="F897" s="368"/>
      <c r="G897" s="368"/>
      <c r="H897" s="368"/>
      <c r="I897" s="368"/>
      <c r="J897" s="368"/>
      <c r="K897" s="368"/>
      <c r="L897" s="368"/>
      <c r="M897" s="368"/>
      <c r="N897" s="368"/>
      <c r="O897" s="368"/>
      <c r="P897" s="368"/>
      <c r="Q897" s="368"/>
      <c r="R897" s="368"/>
      <c r="S897" s="368"/>
      <c r="T897" s="368"/>
      <c r="U897" s="368"/>
      <c r="V897" s="368"/>
      <c r="W897" s="26"/>
      <c r="X897" s="26"/>
      <c r="Y897" s="26"/>
      <c r="Z897" s="26"/>
    </row>
    <row r="898">
      <c r="A898" s="368"/>
      <c r="B898" s="368"/>
      <c r="C898" s="368"/>
      <c r="D898" s="368"/>
      <c r="E898" s="368"/>
      <c r="F898" s="368"/>
      <c r="G898" s="368"/>
      <c r="H898" s="368"/>
      <c r="I898" s="368"/>
      <c r="J898" s="368"/>
      <c r="K898" s="368"/>
      <c r="L898" s="368"/>
      <c r="M898" s="368"/>
      <c r="N898" s="368"/>
      <c r="O898" s="368"/>
      <c r="P898" s="368"/>
      <c r="Q898" s="368"/>
      <c r="R898" s="368"/>
      <c r="S898" s="368"/>
      <c r="T898" s="368"/>
      <c r="U898" s="368"/>
      <c r="V898" s="368"/>
      <c r="W898" s="26"/>
      <c r="X898" s="26"/>
      <c r="Y898" s="26"/>
      <c r="Z898" s="26"/>
    </row>
    <row r="899">
      <c r="A899" s="368"/>
      <c r="B899" s="368"/>
      <c r="C899" s="368"/>
      <c r="D899" s="368"/>
      <c r="E899" s="368"/>
      <c r="F899" s="368"/>
      <c r="G899" s="368"/>
      <c r="H899" s="368"/>
      <c r="I899" s="368"/>
      <c r="J899" s="368"/>
      <c r="K899" s="368"/>
      <c r="L899" s="368"/>
      <c r="M899" s="368"/>
      <c r="N899" s="368"/>
      <c r="O899" s="368"/>
      <c r="P899" s="368"/>
      <c r="Q899" s="368"/>
      <c r="R899" s="368"/>
      <c r="S899" s="368"/>
      <c r="T899" s="368"/>
      <c r="U899" s="368"/>
      <c r="V899" s="368"/>
      <c r="W899" s="26"/>
      <c r="X899" s="26"/>
      <c r="Y899" s="26"/>
      <c r="Z899" s="26"/>
    </row>
    <row r="900">
      <c r="A900" s="368"/>
      <c r="B900" s="368"/>
      <c r="C900" s="368"/>
      <c r="D900" s="368"/>
      <c r="E900" s="368"/>
      <c r="F900" s="368"/>
      <c r="G900" s="368"/>
      <c r="H900" s="368"/>
      <c r="I900" s="368"/>
      <c r="J900" s="368"/>
      <c r="K900" s="368"/>
      <c r="L900" s="368"/>
      <c r="M900" s="368"/>
      <c r="N900" s="368"/>
      <c r="O900" s="368"/>
      <c r="P900" s="368"/>
      <c r="Q900" s="368"/>
      <c r="R900" s="368"/>
      <c r="S900" s="368"/>
      <c r="T900" s="368"/>
      <c r="U900" s="368"/>
      <c r="V900" s="368"/>
      <c r="W900" s="26"/>
      <c r="X900" s="26"/>
      <c r="Y900" s="26"/>
      <c r="Z900" s="26"/>
    </row>
    <row r="901">
      <c r="A901" s="368"/>
      <c r="B901" s="368"/>
      <c r="C901" s="368"/>
      <c r="D901" s="368"/>
      <c r="E901" s="368"/>
      <c r="F901" s="368"/>
      <c r="G901" s="368"/>
      <c r="H901" s="368"/>
      <c r="I901" s="368"/>
      <c r="J901" s="368"/>
      <c r="K901" s="368"/>
      <c r="L901" s="368"/>
      <c r="M901" s="368"/>
      <c r="N901" s="368"/>
      <c r="O901" s="368"/>
      <c r="P901" s="368"/>
      <c r="Q901" s="368"/>
      <c r="R901" s="368"/>
      <c r="S901" s="368"/>
      <c r="T901" s="368"/>
      <c r="U901" s="368"/>
      <c r="V901" s="368"/>
      <c r="W901" s="26"/>
      <c r="X901" s="26"/>
      <c r="Y901" s="26"/>
      <c r="Z901" s="26"/>
    </row>
    <row r="902">
      <c r="A902" s="368"/>
      <c r="B902" s="368"/>
      <c r="C902" s="368"/>
      <c r="D902" s="368"/>
      <c r="E902" s="368"/>
      <c r="F902" s="368"/>
      <c r="G902" s="368"/>
      <c r="H902" s="368"/>
      <c r="I902" s="368"/>
      <c r="J902" s="368"/>
      <c r="K902" s="368"/>
      <c r="L902" s="368"/>
      <c r="M902" s="368"/>
      <c r="N902" s="368"/>
      <c r="O902" s="368"/>
      <c r="P902" s="368"/>
      <c r="Q902" s="368"/>
      <c r="R902" s="368"/>
      <c r="S902" s="368"/>
      <c r="T902" s="368"/>
      <c r="U902" s="368"/>
      <c r="V902" s="368"/>
      <c r="W902" s="26"/>
      <c r="X902" s="26"/>
      <c r="Y902" s="26"/>
      <c r="Z902" s="26"/>
    </row>
    <row r="903">
      <c r="A903" s="368"/>
      <c r="B903" s="368"/>
      <c r="C903" s="368"/>
      <c r="D903" s="368"/>
      <c r="E903" s="368"/>
      <c r="F903" s="368"/>
      <c r="G903" s="368"/>
      <c r="H903" s="368"/>
      <c r="I903" s="368"/>
      <c r="J903" s="368"/>
      <c r="K903" s="368"/>
      <c r="L903" s="368"/>
      <c r="M903" s="368"/>
      <c r="N903" s="368"/>
      <c r="O903" s="368"/>
      <c r="P903" s="368"/>
      <c r="Q903" s="368"/>
      <c r="R903" s="368"/>
      <c r="S903" s="368"/>
      <c r="T903" s="368"/>
      <c r="U903" s="368"/>
      <c r="V903" s="368"/>
      <c r="W903" s="26"/>
      <c r="X903" s="26"/>
      <c r="Y903" s="26"/>
      <c r="Z903" s="26"/>
    </row>
    <row r="904">
      <c r="A904" s="368"/>
      <c r="B904" s="368"/>
      <c r="C904" s="368"/>
      <c r="D904" s="368"/>
      <c r="E904" s="368"/>
      <c r="F904" s="368"/>
      <c r="G904" s="368"/>
      <c r="H904" s="368"/>
      <c r="I904" s="368"/>
      <c r="J904" s="368"/>
      <c r="K904" s="368"/>
      <c r="L904" s="368"/>
      <c r="M904" s="368"/>
      <c r="N904" s="368"/>
      <c r="O904" s="368"/>
      <c r="P904" s="368"/>
      <c r="Q904" s="368"/>
      <c r="R904" s="368"/>
      <c r="S904" s="368"/>
      <c r="T904" s="368"/>
      <c r="U904" s="368"/>
      <c r="V904" s="368"/>
      <c r="W904" s="26"/>
      <c r="X904" s="26"/>
      <c r="Y904" s="26"/>
      <c r="Z904" s="26"/>
    </row>
    <row r="905">
      <c r="A905" s="368"/>
      <c r="B905" s="368"/>
      <c r="C905" s="368"/>
      <c r="D905" s="368"/>
      <c r="E905" s="368"/>
      <c r="F905" s="368"/>
      <c r="G905" s="368"/>
      <c r="H905" s="368"/>
      <c r="I905" s="368"/>
      <c r="J905" s="368"/>
      <c r="K905" s="368"/>
      <c r="L905" s="368"/>
      <c r="M905" s="368"/>
      <c r="N905" s="368"/>
      <c r="O905" s="368"/>
      <c r="P905" s="368"/>
      <c r="Q905" s="368"/>
      <c r="R905" s="368"/>
      <c r="S905" s="368"/>
      <c r="T905" s="368"/>
      <c r="U905" s="368"/>
      <c r="V905" s="368"/>
      <c r="W905" s="26"/>
      <c r="X905" s="26"/>
      <c r="Y905" s="26"/>
      <c r="Z905" s="26"/>
    </row>
    <row r="906">
      <c r="A906" s="368"/>
      <c r="B906" s="368"/>
      <c r="C906" s="368"/>
      <c r="D906" s="368"/>
      <c r="E906" s="368"/>
      <c r="F906" s="368"/>
      <c r="G906" s="368"/>
      <c r="H906" s="368"/>
      <c r="I906" s="368"/>
      <c r="J906" s="368"/>
      <c r="K906" s="368"/>
      <c r="L906" s="368"/>
      <c r="M906" s="368"/>
      <c r="N906" s="368"/>
      <c r="O906" s="368"/>
      <c r="P906" s="368"/>
      <c r="Q906" s="368"/>
      <c r="R906" s="368"/>
      <c r="S906" s="368"/>
      <c r="T906" s="368"/>
      <c r="U906" s="368"/>
      <c r="V906" s="368"/>
      <c r="W906" s="26"/>
      <c r="X906" s="26"/>
      <c r="Y906" s="26"/>
      <c r="Z906" s="26"/>
    </row>
    <row r="907">
      <c r="A907" s="368"/>
      <c r="B907" s="368"/>
      <c r="C907" s="368"/>
      <c r="D907" s="368"/>
      <c r="E907" s="368"/>
      <c r="F907" s="368"/>
      <c r="G907" s="368"/>
      <c r="H907" s="368"/>
      <c r="I907" s="368"/>
      <c r="J907" s="368"/>
      <c r="K907" s="368"/>
      <c r="L907" s="368"/>
      <c r="M907" s="368"/>
      <c r="N907" s="368"/>
      <c r="O907" s="368"/>
      <c r="P907" s="368"/>
      <c r="Q907" s="368"/>
      <c r="R907" s="368"/>
      <c r="S907" s="368"/>
      <c r="T907" s="368"/>
      <c r="U907" s="368"/>
      <c r="V907" s="368"/>
      <c r="W907" s="26"/>
      <c r="X907" s="26"/>
      <c r="Y907" s="26"/>
      <c r="Z907" s="26"/>
    </row>
    <row r="908">
      <c r="A908" s="368"/>
      <c r="B908" s="368"/>
      <c r="C908" s="368"/>
      <c r="D908" s="368"/>
      <c r="E908" s="368"/>
      <c r="F908" s="368"/>
      <c r="G908" s="368"/>
      <c r="H908" s="368"/>
      <c r="I908" s="368"/>
      <c r="J908" s="368"/>
      <c r="K908" s="368"/>
      <c r="L908" s="368"/>
      <c r="M908" s="368"/>
      <c r="N908" s="368"/>
      <c r="O908" s="368"/>
      <c r="P908" s="368"/>
      <c r="Q908" s="368"/>
      <c r="R908" s="368"/>
      <c r="S908" s="368"/>
      <c r="T908" s="368"/>
      <c r="U908" s="368"/>
      <c r="V908" s="368"/>
      <c r="W908" s="26"/>
      <c r="X908" s="26"/>
      <c r="Y908" s="26"/>
      <c r="Z908" s="26"/>
    </row>
    <row r="909">
      <c r="A909" s="368"/>
      <c r="B909" s="368"/>
      <c r="C909" s="368"/>
      <c r="D909" s="368"/>
      <c r="E909" s="368"/>
      <c r="F909" s="368"/>
      <c r="G909" s="368"/>
      <c r="H909" s="368"/>
      <c r="I909" s="368"/>
      <c r="J909" s="368"/>
      <c r="K909" s="368"/>
      <c r="L909" s="368"/>
      <c r="M909" s="368"/>
      <c r="N909" s="368"/>
      <c r="O909" s="368"/>
      <c r="P909" s="368"/>
      <c r="Q909" s="368"/>
      <c r="R909" s="368"/>
      <c r="S909" s="368"/>
      <c r="T909" s="368"/>
      <c r="U909" s="368"/>
      <c r="V909" s="368"/>
      <c r="W909" s="26"/>
      <c r="X909" s="26"/>
      <c r="Y909" s="26"/>
      <c r="Z909" s="26"/>
    </row>
    <row r="910">
      <c r="A910" s="368"/>
      <c r="B910" s="368"/>
      <c r="C910" s="368"/>
      <c r="D910" s="368"/>
      <c r="E910" s="368"/>
      <c r="F910" s="368"/>
      <c r="G910" s="368"/>
      <c r="H910" s="368"/>
      <c r="I910" s="368"/>
      <c r="J910" s="368"/>
      <c r="K910" s="368"/>
      <c r="L910" s="368"/>
      <c r="M910" s="368"/>
      <c r="N910" s="368"/>
      <c r="O910" s="368"/>
      <c r="P910" s="368"/>
      <c r="Q910" s="368"/>
      <c r="R910" s="368"/>
      <c r="S910" s="368"/>
      <c r="T910" s="368"/>
      <c r="U910" s="368"/>
      <c r="V910" s="368"/>
      <c r="W910" s="26"/>
      <c r="X910" s="26"/>
      <c r="Y910" s="26"/>
      <c r="Z910" s="26"/>
    </row>
    <row r="911">
      <c r="A911" s="368"/>
      <c r="B911" s="368"/>
      <c r="C911" s="368"/>
      <c r="D911" s="368"/>
      <c r="E911" s="368"/>
      <c r="F911" s="368"/>
      <c r="G911" s="368"/>
      <c r="H911" s="368"/>
      <c r="I911" s="368"/>
      <c r="J911" s="368"/>
      <c r="K911" s="368"/>
      <c r="L911" s="368"/>
      <c r="M911" s="368"/>
      <c r="N911" s="368"/>
      <c r="O911" s="368"/>
      <c r="P911" s="368"/>
      <c r="Q911" s="368"/>
      <c r="R911" s="368"/>
      <c r="S911" s="368"/>
      <c r="T911" s="368"/>
      <c r="U911" s="368"/>
      <c r="V911" s="368"/>
      <c r="W911" s="26"/>
      <c r="X911" s="26"/>
      <c r="Y911" s="26"/>
      <c r="Z911" s="26"/>
    </row>
    <row r="912">
      <c r="A912" s="368"/>
      <c r="B912" s="368"/>
      <c r="C912" s="368"/>
      <c r="D912" s="368"/>
      <c r="E912" s="368"/>
      <c r="F912" s="368"/>
      <c r="G912" s="368"/>
      <c r="H912" s="368"/>
      <c r="I912" s="368"/>
      <c r="J912" s="368"/>
      <c r="K912" s="368"/>
      <c r="L912" s="368"/>
      <c r="M912" s="368"/>
      <c r="N912" s="368"/>
      <c r="O912" s="368"/>
      <c r="P912" s="368"/>
      <c r="Q912" s="368"/>
      <c r="R912" s="368"/>
      <c r="S912" s="368"/>
      <c r="T912" s="368"/>
      <c r="U912" s="368"/>
      <c r="V912" s="368"/>
      <c r="W912" s="26"/>
      <c r="X912" s="26"/>
      <c r="Y912" s="26"/>
      <c r="Z912" s="26"/>
    </row>
    <row r="913">
      <c r="A913" s="368"/>
      <c r="B913" s="368"/>
      <c r="C913" s="368"/>
      <c r="D913" s="368"/>
      <c r="E913" s="368"/>
      <c r="F913" s="368"/>
      <c r="G913" s="368"/>
      <c r="H913" s="368"/>
      <c r="I913" s="368"/>
      <c r="J913" s="368"/>
      <c r="K913" s="368"/>
      <c r="L913" s="368"/>
      <c r="M913" s="368"/>
      <c r="N913" s="368"/>
      <c r="O913" s="368"/>
      <c r="P913" s="368"/>
      <c r="Q913" s="368"/>
      <c r="R913" s="368"/>
      <c r="S913" s="368"/>
      <c r="T913" s="368"/>
      <c r="U913" s="368"/>
      <c r="V913" s="368"/>
      <c r="W913" s="26"/>
      <c r="X913" s="26"/>
      <c r="Y913" s="26"/>
      <c r="Z913" s="26"/>
    </row>
    <row r="914">
      <c r="A914" s="368"/>
      <c r="B914" s="368"/>
      <c r="C914" s="368"/>
      <c r="D914" s="368"/>
      <c r="E914" s="368"/>
      <c r="F914" s="368"/>
      <c r="G914" s="368"/>
      <c r="H914" s="368"/>
      <c r="I914" s="368"/>
      <c r="J914" s="368"/>
      <c r="K914" s="368"/>
      <c r="L914" s="368"/>
      <c r="M914" s="368"/>
      <c r="N914" s="368"/>
      <c r="O914" s="368"/>
      <c r="P914" s="368"/>
      <c r="Q914" s="368"/>
      <c r="R914" s="368"/>
      <c r="S914" s="368"/>
      <c r="T914" s="368"/>
      <c r="U914" s="368"/>
      <c r="V914" s="368"/>
      <c r="W914" s="26"/>
      <c r="X914" s="26"/>
      <c r="Y914" s="26"/>
      <c r="Z914" s="26"/>
    </row>
    <row r="915">
      <c r="A915" s="368"/>
      <c r="B915" s="368"/>
      <c r="C915" s="368"/>
      <c r="D915" s="368"/>
      <c r="E915" s="368"/>
      <c r="F915" s="368"/>
      <c r="G915" s="368"/>
      <c r="H915" s="368"/>
      <c r="I915" s="368"/>
      <c r="J915" s="368"/>
      <c r="K915" s="368"/>
      <c r="L915" s="368"/>
      <c r="M915" s="368"/>
      <c r="N915" s="368"/>
      <c r="O915" s="368"/>
      <c r="P915" s="368"/>
      <c r="Q915" s="368"/>
      <c r="R915" s="368"/>
      <c r="S915" s="368"/>
      <c r="T915" s="368"/>
      <c r="U915" s="368"/>
      <c r="V915" s="368"/>
      <c r="W915" s="26"/>
      <c r="X915" s="26"/>
      <c r="Y915" s="26"/>
      <c r="Z915" s="26"/>
    </row>
    <row r="916">
      <c r="A916" s="368"/>
      <c r="B916" s="368"/>
      <c r="C916" s="368"/>
      <c r="D916" s="368"/>
      <c r="E916" s="368"/>
      <c r="F916" s="368"/>
      <c r="G916" s="368"/>
      <c r="H916" s="368"/>
      <c r="I916" s="368"/>
      <c r="J916" s="368"/>
      <c r="K916" s="368"/>
      <c r="L916" s="368"/>
      <c r="M916" s="368"/>
      <c r="N916" s="368"/>
      <c r="O916" s="368"/>
      <c r="P916" s="368"/>
      <c r="Q916" s="368"/>
      <c r="R916" s="368"/>
      <c r="S916" s="368"/>
      <c r="T916" s="368"/>
      <c r="U916" s="368"/>
      <c r="V916" s="368"/>
      <c r="W916" s="26"/>
      <c r="X916" s="26"/>
      <c r="Y916" s="26"/>
      <c r="Z916" s="26"/>
    </row>
    <row r="917">
      <c r="A917" s="368"/>
      <c r="B917" s="368"/>
      <c r="C917" s="368"/>
      <c r="D917" s="368"/>
      <c r="E917" s="368"/>
      <c r="F917" s="368"/>
      <c r="G917" s="368"/>
      <c r="H917" s="368"/>
      <c r="I917" s="368"/>
      <c r="J917" s="368"/>
      <c r="K917" s="368"/>
      <c r="L917" s="368"/>
      <c r="M917" s="368"/>
      <c r="N917" s="368"/>
      <c r="O917" s="368"/>
      <c r="P917" s="368"/>
      <c r="Q917" s="368"/>
      <c r="R917" s="368"/>
      <c r="S917" s="368"/>
      <c r="T917" s="368"/>
      <c r="U917" s="368"/>
      <c r="V917" s="368"/>
      <c r="W917" s="26"/>
      <c r="X917" s="26"/>
      <c r="Y917" s="26"/>
      <c r="Z917" s="26"/>
    </row>
    <row r="918">
      <c r="A918" s="368"/>
      <c r="B918" s="368"/>
      <c r="C918" s="368"/>
      <c r="D918" s="368"/>
      <c r="E918" s="368"/>
      <c r="F918" s="368"/>
      <c r="G918" s="368"/>
      <c r="H918" s="368"/>
      <c r="I918" s="368"/>
      <c r="J918" s="368"/>
      <c r="K918" s="368"/>
      <c r="L918" s="368"/>
      <c r="M918" s="368"/>
      <c r="N918" s="368"/>
      <c r="O918" s="368"/>
      <c r="P918" s="368"/>
      <c r="Q918" s="368"/>
      <c r="R918" s="368"/>
      <c r="S918" s="368"/>
      <c r="T918" s="368"/>
      <c r="U918" s="368"/>
      <c r="V918" s="368"/>
      <c r="W918" s="26"/>
      <c r="X918" s="26"/>
      <c r="Y918" s="26"/>
      <c r="Z918" s="26"/>
    </row>
    <row r="919">
      <c r="A919" s="368"/>
      <c r="B919" s="368"/>
      <c r="C919" s="368"/>
      <c r="D919" s="368"/>
      <c r="E919" s="368"/>
      <c r="F919" s="368"/>
      <c r="G919" s="368"/>
      <c r="H919" s="368"/>
      <c r="I919" s="368"/>
      <c r="J919" s="368"/>
      <c r="K919" s="368"/>
      <c r="L919" s="368"/>
      <c r="M919" s="368"/>
      <c r="N919" s="368"/>
      <c r="O919" s="368"/>
      <c r="P919" s="368"/>
      <c r="Q919" s="368"/>
      <c r="R919" s="368"/>
      <c r="S919" s="368"/>
      <c r="T919" s="368"/>
      <c r="U919" s="368"/>
      <c r="V919" s="368"/>
      <c r="W919" s="26"/>
      <c r="X919" s="26"/>
      <c r="Y919" s="26"/>
      <c r="Z919" s="26"/>
    </row>
    <row r="920">
      <c r="A920" s="368"/>
      <c r="B920" s="368"/>
      <c r="C920" s="368"/>
      <c r="D920" s="368"/>
      <c r="E920" s="368"/>
      <c r="F920" s="368"/>
      <c r="G920" s="368"/>
      <c r="H920" s="368"/>
      <c r="I920" s="368"/>
      <c r="J920" s="368"/>
      <c r="K920" s="368"/>
      <c r="L920" s="368"/>
      <c r="M920" s="368"/>
      <c r="N920" s="368"/>
      <c r="O920" s="368"/>
      <c r="P920" s="368"/>
      <c r="Q920" s="368"/>
      <c r="R920" s="368"/>
      <c r="S920" s="368"/>
      <c r="T920" s="368"/>
      <c r="U920" s="368"/>
      <c r="V920" s="368"/>
      <c r="W920" s="26"/>
      <c r="X920" s="26"/>
      <c r="Y920" s="26"/>
      <c r="Z920" s="26"/>
    </row>
    <row r="921">
      <c r="A921" s="368"/>
      <c r="B921" s="368"/>
      <c r="C921" s="368"/>
      <c r="D921" s="368"/>
      <c r="E921" s="368"/>
      <c r="F921" s="368"/>
      <c r="G921" s="368"/>
      <c r="H921" s="368"/>
      <c r="I921" s="368"/>
      <c r="J921" s="368"/>
      <c r="K921" s="368"/>
      <c r="L921" s="368"/>
      <c r="M921" s="368"/>
      <c r="N921" s="368"/>
      <c r="O921" s="368"/>
      <c r="P921" s="368"/>
      <c r="Q921" s="368"/>
      <c r="R921" s="368"/>
      <c r="S921" s="368"/>
      <c r="T921" s="368"/>
      <c r="U921" s="368"/>
      <c r="V921" s="368"/>
      <c r="W921" s="26"/>
      <c r="X921" s="26"/>
      <c r="Y921" s="26"/>
      <c r="Z921" s="26"/>
    </row>
    <row r="922">
      <c r="A922" s="368"/>
      <c r="B922" s="368"/>
      <c r="C922" s="368"/>
      <c r="D922" s="368"/>
      <c r="E922" s="368"/>
      <c r="F922" s="368"/>
      <c r="G922" s="368"/>
      <c r="H922" s="368"/>
      <c r="I922" s="368"/>
      <c r="J922" s="368"/>
      <c r="K922" s="368"/>
      <c r="L922" s="368"/>
      <c r="M922" s="368"/>
      <c r="N922" s="368"/>
      <c r="O922" s="368"/>
      <c r="P922" s="368"/>
      <c r="Q922" s="368"/>
      <c r="R922" s="368"/>
      <c r="S922" s="368"/>
      <c r="T922" s="368"/>
      <c r="U922" s="368"/>
      <c r="V922" s="368"/>
      <c r="W922" s="26"/>
      <c r="X922" s="26"/>
      <c r="Y922" s="26"/>
      <c r="Z922" s="26"/>
    </row>
    <row r="923">
      <c r="A923" s="368"/>
      <c r="B923" s="368"/>
      <c r="C923" s="368"/>
      <c r="D923" s="368"/>
      <c r="E923" s="368"/>
      <c r="F923" s="368"/>
      <c r="G923" s="368"/>
      <c r="H923" s="368"/>
      <c r="I923" s="368"/>
      <c r="J923" s="368"/>
      <c r="K923" s="368"/>
      <c r="L923" s="368"/>
      <c r="M923" s="368"/>
      <c r="N923" s="368"/>
      <c r="O923" s="368"/>
      <c r="P923" s="368"/>
      <c r="Q923" s="368"/>
      <c r="R923" s="368"/>
      <c r="S923" s="368"/>
      <c r="T923" s="368"/>
      <c r="U923" s="368"/>
      <c r="V923" s="368"/>
      <c r="W923" s="26"/>
      <c r="X923" s="26"/>
      <c r="Y923" s="26"/>
      <c r="Z923" s="26"/>
    </row>
    <row r="924">
      <c r="A924" s="368"/>
      <c r="B924" s="368"/>
      <c r="C924" s="368"/>
      <c r="D924" s="368"/>
      <c r="E924" s="368"/>
      <c r="F924" s="368"/>
      <c r="G924" s="368"/>
      <c r="H924" s="368"/>
      <c r="I924" s="368"/>
      <c r="J924" s="368"/>
      <c r="K924" s="368"/>
      <c r="L924" s="368"/>
      <c r="M924" s="368"/>
      <c r="N924" s="368"/>
      <c r="O924" s="368"/>
      <c r="P924" s="368"/>
      <c r="Q924" s="368"/>
      <c r="R924" s="368"/>
      <c r="S924" s="368"/>
      <c r="T924" s="368"/>
      <c r="U924" s="368"/>
      <c r="V924" s="368"/>
      <c r="W924" s="26"/>
      <c r="X924" s="26"/>
      <c r="Y924" s="26"/>
      <c r="Z924" s="26"/>
    </row>
    <row r="925">
      <c r="A925" s="368"/>
      <c r="B925" s="368"/>
      <c r="C925" s="368"/>
      <c r="D925" s="368"/>
      <c r="E925" s="368"/>
      <c r="F925" s="368"/>
      <c r="G925" s="368"/>
      <c r="H925" s="368"/>
      <c r="I925" s="368"/>
      <c r="J925" s="368"/>
      <c r="K925" s="368"/>
      <c r="L925" s="368"/>
      <c r="M925" s="368"/>
      <c r="N925" s="368"/>
      <c r="O925" s="368"/>
      <c r="P925" s="368"/>
      <c r="Q925" s="368"/>
      <c r="R925" s="368"/>
      <c r="S925" s="368"/>
      <c r="T925" s="368"/>
      <c r="U925" s="368"/>
      <c r="V925" s="368"/>
      <c r="W925" s="26"/>
      <c r="X925" s="26"/>
      <c r="Y925" s="26"/>
      <c r="Z925" s="26"/>
    </row>
    <row r="926">
      <c r="A926" s="368"/>
      <c r="B926" s="368"/>
      <c r="C926" s="368"/>
      <c r="D926" s="368"/>
      <c r="E926" s="368"/>
      <c r="F926" s="368"/>
      <c r="G926" s="368"/>
      <c r="H926" s="368"/>
      <c r="I926" s="368"/>
      <c r="J926" s="368"/>
      <c r="K926" s="368"/>
      <c r="L926" s="368"/>
      <c r="M926" s="368"/>
      <c r="N926" s="368"/>
      <c r="O926" s="368"/>
      <c r="P926" s="368"/>
      <c r="Q926" s="368"/>
      <c r="R926" s="368"/>
      <c r="S926" s="368"/>
      <c r="T926" s="368"/>
      <c r="U926" s="368"/>
      <c r="V926" s="368"/>
      <c r="W926" s="26"/>
      <c r="X926" s="26"/>
      <c r="Y926" s="26"/>
      <c r="Z926" s="26"/>
    </row>
    <row r="927">
      <c r="A927" s="368"/>
      <c r="B927" s="368"/>
      <c r="C927" s="368"/>
      <c r="D927" s="368"/>
      <c r="E927" s="368"/>
      <c r="F927" s="368"/>
      <c r="G927" s="368"/>
      <c r="H927" s="368"/>
      <c r="I927" s="368"/>
      <c r="J927" s="368"/>
      <c r="K927" s="368"/>
      <c r="L927" s="368"/>
      <c r="M927" s="368"/>
      <c r="N927" s="368"/>
      <c r="O927" s="368"/>
      <c r="P927" s="368"/>
      <c r="Q927" s="368"/>
      <c r="R927" s="368"/>
      <c r="S927" s="368"/>
      <c r="T927" s="368"/>
      <c r="U927" s="368"/>
      <c r="V927" s="368"/>
      <c r="W927" s="26"/>
      <c r="X927" s="26"/>
      <c r="Y927" s="26"/>
      <c r="Z927" s="26"/>
    </row>
    <row r="928">
      <c r="A928" s="368"/>
      <c r="B928" s="368"/>
      <c r="C928" s="368"/>
      <c r="D928" s="368"/>
      <c r="E928" s="368"/>
      <c r="F928" s="368"/>
      <c r="G928" s="368"/>
      <c r="H928" s="368"/>
      <c r="I928" s="368"/>
      <c r="J928" s="368"/>
      <c r="K928" s="368"/>
      <c r="L928" s="368"/>
      <c r="M928" s="368"/>
      <c r="N928" s="368"/>
      <c r="O928" s="368"/>
      <c r="P928" s="368"/>
      <c r="Q928" s="368"/>
      <c r="R928" s="368"/>
      <c r="S928" s="368"/>
      <c r="T928" s="368"/>
      <c r="U928" s="368"/>
      <c r="V928" s="368"/>
      <c r="W928" s="26"/>
      <c r="X928" s="26"/>
      <c r="Y928" s="26"/>
      <c r="Z928" s="26"/>
    </row>
    <row r="929">
      <c r="A929" s="368"/>
      <c r="B929" s="368"/>
      <c r="C929" s="368"/>
      <c r="D929" s="368"/>
      <c r="E929" s="368"/>
      <c r="F929" s="368"/>
      <c r="G929" s="368"/>
      <c r="H929" s="368"/>
      <c r="I929" s="368"/>
      <c r="J929" s="368"/>
      <c r="K929" s="368"/>
      <c r="L929" s="368"/>
      <c r="M929" s="368"/>
      <c r="N929" s="368"/>
      <c r="O929" s="368"/>
      <c r="P929" s="368"/>
      <c r="Q929" s="368"/>
      <c r="R929" s="368"/>
      <c r="S929" s="368"/>
      <c r="T929" s="368"/>
      <c r="U929" s="368"/>
      <c r="V929" s="368"/>
      <c r="W929" s="26"/>
      <c r="X929" s="26"/>
      <c r="Y929" s="26"/>
      <c r="Z929" s="26"/>
    </row>
    <row r="930">
      <c r="A930" s="368"/>
      <c r="B930" s="368"/>
      <c r="C930" s="368"/>
      <c r="D930" s="368"/>
      <c r="E930" s="368"/>
      <c r="F930" s="368"/>
      <c r="G930" s="368"/>
      <c r="H930" s="368"/>
      <c r="I930" s="368"/>
      <c r="J930" s="368"/>
      <c r="K930" s="368"/>
      <c r="L930" s="368"/>
      <c r="M930" s="368"/>
      <c r="N930" s="368"/>
      <c r="O930" s="368"/>
      <c r="P930" s="368"/>
      <c r="Q930" s="368"/>
      <c r="R930" s="368"/>
      <c r="S930" s="368"/>
      <c r="T930" s="368"/>
      <c r="U930" s="368"/>
      <c r="V930" s="368"/>
      <c r="W930" s="26"/>
      <c r="X930" s="26"/>
      <c r="Y930" s="26"/>
      <c r="Z930" s="26"/>
    </row>
    <row r="931">
      <c r="A931" s="368"/>
      <c r="B931" s="368"/>
      <c r="C931" s="368"/>
      <c r="D931" s="368"/>
      <c r="E931" s="368"/>
      <c r="F931" s="368"/>
      <c r="G931" s="368"/>
      <c r="H931" s="368"/>
      <c r="I931" s="368"/>
      <c r="J931" s="368"/>
      <c r="K931" s="368"/>
      <c r="L931" s="368"/>
      <c r="M931" s="368"/>
      <c r="N931" s="368"/>
      <c r="O931" s="368"/>
      <c r="P931" s="368"/>
      <c r="Q931" s="368"/>
      <c r="R931" s="368"/>
      <c r="S931" s="368"/>
      <c r="T931" s="368"/>
      <c r="U931" s="368"/>
      <c r="V931" s="368"/>
      <c r="W931" s="26"/>
      <c r="X931" s="26"/>
      <c r="Y931" s="26"/>
      <c r="Z931" s="26"/>
    </row>
    <row r="932">
      <c r="A932" s="368"/>
      <c r="B932" s="368"/>
      <c r="C932" s="368"/>
      <c r="D932" s="368"/>
      <c r="E932" s="368"/>
      <c r="F932" s="368"/>
      <c r="G932" s="368"/>
      <c r="H932" s="368"/>
      <c r="I932" s="368"/>
      <c r="J932" s="368"/>
      <c r="K932" s="368"/>
      <c r="L932" s="368"/>
      <c r="M932" s="368"/>
      <c r="N932" s="368"/>
      <c r="O932" s="368"/>
      <c r="P932" s="368"/>
      <c r="Q932" s="368"/>
      <c r="R932" s="368"/>
      <c r="S932" s="368"/>
      <c r="T932" s="368"/>
      <c r="U932" s="368"/>
      <c r="V932" s="368"/>
      <c r="W932" s="26"/>
      <c r="X932" s="26"/>
      <c r="Y932" s="26"/>
      <c r="Z932" s="26"/>
    </row>
    <row r="933">
      <c r="A933" s="368"/>
      <c r="B933" s="368"/>
      <c r="C933" s="368"/>
      <c r="D933" s="368"/>
      <c r="E933" s="368"/>
      <c r="F933" s="368"/>
      <c r="G933" s="368"/>
      <c r="H933" s="368"/>
      <c r="I933" s="368"/>
      <c r="J933" s="368"/>
      <c r="K933" s="368"/>
      <c r="L933" s="368"/>
      <c r="M933" s="368"/>
      <c r="N933" s="368"/>
      <c r="O933" s="368"/>
      <c r="P933" s="368"/>
      <c r="Q933" s="368"/>
      <c r="R933" s="368"/>
      <c r="S933" s="368"/>
      <c r="T933" s="368"/>
      <c r="U933" s="368"/>
      <c r="V933" s="368"/>
      <c r="W933" s="26"/>
      <c r="X933" s="26"/>
      <c r="Y933" s="26"/>
      <c r="Z933" s="26"/>
    </row>
    <row r="934">
      <c r="A934" s="368"/>
      <c r="B934" s="368"/>
      <c r="C934" s="368"/>
      <c r="D934" s="368"/>
      <c r="E934" s="368"/>
      <c r="F934" s="368"/>
      <c r="G934" s="368"/>
      <c r="H934" s="368"/>
      <c r="I934" s="368"/>
      <c r="J934" s="368"/>
      <c r="K934" s="368"/>
      <c r="L934" s="368"/>
      <c r="M934" s="368"/>
      <c r="N934" s="368"/>
      <c r="O934" s="368"/>
      <c r="P934" s="368"/>
      <c r="Q934" s="368"/>
      <c r="R934" s="368"/>
      <c r="S934" s="368"/>
      <c r="T934" s="368"/>
      <c r="U934" s="368"/>
      <c r="V934" s="368"/>
      <c r="W934" s="26"/>
      <c r="X934" s="26"/>
      <c r="Y934" s="26"/>
      <c r="Z934" s="26"/>
    </row>
    <row r="935">
      <c r="A935" s="368"/>
      <c r="B935" s="368"/>
      <c r="C935" s="368"/>
      <c r="D935" s="368"/>
      <c r="E935" s="368"/>
      <c r="F935" s="368"/>
      <c r="G935" s="368"/>
      <c r="H935" s="368"/>
      <c r="I935" s="368"/>
      <c r="J935" s="368"/>
      <c r="K935" s="368"/>
      <c r="L935" s="368"/>
      <c r="M935" s="368"/>
      <c r="N935" s="368"/>
      <c r="O935" s="368"/>
      <c r="P935" s="368"/>
      <c r="Q935" s="368"/>
      <c r="R935" s="368"/>
      <c r="S935" s="368"/>
      <c r="T935" s="368"/>
      <c r="U935" s="368"/>
      <c r="V935" s="368"/>
      <c r="W935" s="26"/>
      <c r="X935" s="26"/>
      <c r="Y935" s="26"/>
      <c r="Z935" s="26"/>
    </row>
    <row r="936">
      <c r="A936" s="368"/>
      <c r="B936" s="368"/>
      <c r="C936" s="368"/>
      <c r="D936" s="368"/>
      <c r="E936" s="368"/>
      <c r="F936" s="368"/>
      <c r="G936" s="368"/>
      <c r="H936" s="368"/>
      <c r="I936" s="368"/>
      <c r="J936" s="368"/>
      <c r="K936" s="368"/>
      <c r="L936" s="368"/>
      <c r="M936" s="368"/>
      <c r="N936" s="368"/>
      <c r="O936" s="368"/>
      <c r="P936" s="368"/>
      <c r="Q936" s="368"/>
      <c r="R936" s="368"/>
      <c r="S936" s="368"/>
      <c r="T936" s="368"/>
      <c r="U936" s="368"/>
      <c r="V936" s="368"/>
      <c r="W936" s="26"/>
      <c r="X936" s="26"/>
      <c r="Y936" s="26"/>
      <c r="Z936" s="26"/>
    </row>
    <row r="937">
      <c r="A937" s="368"/>
      <c r="B937" s="368"/>
      <c r="C937" s="368"/>
      <c r="D937" s="368"/>
      <c r="E937" s="368"/>
      <c r="F937" s="368"/>
      <c r="G937" s="368"/>
      <c r="H937" s="368"/>
      <c r="I937" s="368"/>
      <c r="J937" s="368"/>
      <c r="K937" s="368"/>
      <c r="L937" s="368"/>
      <c r="M937" s="368"/>
      <c r="N937" s="368"/>
      <c r="O937" s="368"/>
      <c r="P937" s="368"/>
      <c r="Q937" s="368"/>
      <c r="R937" s="368"/>
      <c r="S937" s="368"/>
      <c r="T937" s="368"/>
      <c r="U937" s="368"/>
      <c r="V937" s="368"/>
      <c r="W937" s="26"/>
      <c r="X937" s="26"/>
      <c r="Y937" s="26"/>
      <c r="Z937" s="26"/>
    </row>
    <row r="938">
      <c r="A938" s="368"/>
      <c r="B938" s="368"/>
      <c r="C938" s="368"/>
      <c r="D938" s="368"/>
      <c r="E938" s="368"/>
      <c r="F938" s="368"/>
      <c r="G938" s="368"/>
      <c r="H938" s="368"/>
      <c r="I938" s="368"/>
      <c r="J938" s="368"/>
      <c r="K938" s="368"/>
      <c r="L938" s="368"/>
      <c r="M938" s="368"/>
      <c r="N938" s="368"/>
      <c r="O938" s="368"/>
      <c r="P938" s="368"/>
      <c r="Q938" s="368"/>
      <c r="R938" s="368"/>
      <c r="S938" s="368"/>
      <c r="T938" s="368"/>
      <c r="U938" s="368"/>
      <c r="V938" s="368"/>
      <c r="W938" s="26"/>
      <c r="X938" s="26"/>
      <c r="Y938" s="26"/>
      <c r="Z938" s="26"/>
    </row>
    <row r="939">
      <c r="A939" s="368"/>
      <c r="B939" s="368"/>
      <c r="C939" s="368"/>
      <c r="D939" s="368"/>
      <c r="E939" s="368"/>
      <c r="F939" s="368"/>
      <c r="G939" s="368"/>
      <c r="H939" s="368"/>
      <c r="I939" s="368"/>
      <c r="J939" s="368"/>
      <c r="K939" s="368"/>
      <c r="L939" s="368"/>
      <c r="M939" s="368"/>
      <c r="N939" s="368"/>
      <c r="O939" s="368"/>
      <c r="P939" s="368"/>
      <c r="Q939" s="368"/>
      <c r="R939" s="368"/>
      <c r="S939" s="368"/>
      <c r="T939" s="368"/>
      <c r="U939" s="368"/>
      <c r="V939" s="368"/>
      <c r="W939" s="26"/>
      <c r="X939" s="26"/>
      <c r="Y939" s="26"/>
      <c r="Z939" s="26"/>
    </row>
    <row r="940">
      <c r="A940" s="368"/>
      <c r="B940" s="368"/>
      <c r="C940" s="368"/>
      <c r="D940" s="368"/>
      <c r="E940" s="368"/>
      <c r="F940" s="368"/>
      <c r="G940" s="368"/>
      <c r="H940" s="368"/>
      <c r="I940" s="368"/>
      <c r="J940" s="368"/>
      <c r="K940" s="368"/>
      <c r="L940" s="368"/>
      <c r="M940" s="368"/>
      <c r="N940" s="368"/>
      <c r="O940" s="368"/>
      <c r="P940" s="368"/>
      <c r="Q940" s="368"/>
      <c r="R940" s="368"/>
      <c r="S940" s="368"/>
      <c r="T940" s="368"/>
      <c r="U940" s="368"/>
      <c r="V940" s="368"/>
      <c r="W940" s="26"/>
      <c r="X940" s="26"/>
      <c r="Y940" s="26"/>
      <c r="Z940" s="26"/>
    </row>
    <row r="941">
      <c r="A941" s="368"/>
      <c r="B941" s="368"/>
      <c r="C941" s="368"/>
      <c r="D941" s="368"/>
      <c r="E941" s="368"/>
      <c r="F941" s="368"/>
      <c r="G941" s="368"/>
      <c r="H941" s="368"/>
      <c r="I941" s="368"/>
      <c r="J941" s="368"/>
      <c r="K941" s="368"/>
      <c r="L941" s="368"/>
      <c r="M941" s="368"/>
      <c r="N941" s="368"/>
      <c r="O941" s="368"/>
      <c r="P941" s="368"/>
      <c r="Q941" s="368"/>
      <c r="R941" s="368"/>
      <c r="S941" s="368"/>
      <c r="T941" s="368"/>
      <c r="U941" s="368"/>
      <c r="V941" s="368"/>
      <c r="W941" s="26"/>
      <c r="X941" s="26"/>
      <c r="Y941" s="26"/>
      <c r="Z941" s="26"/>
    </row>
    <row r="942">
      <c r="A942" s="368"/>
      <c r="B942" s="368"/>
      <c r="C942" s="368"/>
      <c r="D942" s="368"/>
      <c r="E942" s="368"/>
      <c r="F942" s="368"/>
      <c r="G942" s="368"/>
      <c r="H942" s="368"/>
      <c r="I942" s="368"/>
      <c r="J942" s="368"/>
      <c r="K942" s="368"/>
      <c r="L942" s="368"/>
      <c r="M942" s="368"/>
      <c r="N942" s="368"/>
      <c r="O942" s="368"/>
      <c r="P942" s="368"/>
      <c r="Q942" s="368"/>
      <c r="R942" s="368"/>
      <c r="S942" s="368"/>
      <c r="T942" s="368"/>
      <c r="U942" s="368"/>
      <c r="V942" s="368"/>
      <c r="W942" s="26"/>
      <c r="X942" s="26"/>
      <c r="Y942" s="26"/>
      <c r="Z942" s="26"/>
    </row>
    <row r="943">
      <c r="A943" s="368"/>
      <c r="B943" s="368"/>
      <c r="C943" s="368"/>
      <c r="D943" s="368"/>
      <c r="E943" s="368"/>
      <c r="F943" s="368"/>
      <c r="G943" s="368"/>
      <c r="H943" s="368"/>
      <c r="I943" s="368"/>
      <c r="J943" s="368"/>
      <c r="K943" s="368"/>
      <c r="L943" s="368"/>
      <c r="M943" s="368"/>
      <c r="N943" s="368"/>
      <c r="O943" s="368"/>
      <c r="P943" s="368"/>
      <c r="Q943" s="368"/>
      <c r="R943" s="368"/>
      <c r="S943" s="368"/>
      <c r="T943" s="368"/>
      <c r="U943" s="368"/>
      <c r="V943" s="368"/>
      <c r="W943" s="26"/>
      <c r="X943" s="26"/>
      <c r="Y943" s="26"/>
      <c r="Z943" s="26"/>
    </row>
    <row r="944">
      <c r="A944" s="368"/>
      <c r="B944" s="368"/>
      <c r="C944" s="368"/>
      <c r="D944" s="368"/>
      <c r="E944" s="368"/>
      <c r="F944" s="368"/>
      <c r="G944" s="368"/>
      <c r="H944" s="368"/>
      <c r="I944" s="368"/>
      <c r="J944" s="368"/>
      <c r="K944" s="368"/>
      <c r="L944" s="368"/>
      <c r="M944" s="368"/>
      <c r="N944" s="368"/>
      <c r="O944" s="368"/>
      <c r="P944" s="368"/>
      <c r="Q944" s="368"/>
      <c r="R944" s="368"/>
      <c r="S944" s="368"/>
      <c r="T944" s="368"/>
      <c r="U944" s="368"/>
      <c r="V944" s="368"/>
      <c r="W944" s="26"/>
      <c r="X944" s="26"/>
      <c r="Y944" s="26"/>
      <c r="Z944" s="26"/>
    </row>
    <row r="945">
      <c r="A945" s="368"/>
      <c r="B945" s="368"/>
      <c r="C945" s="368"/>
      <c r="D945" s="368"/>
      <c r="E945" s="368"/>
      <c r="F945" s="368"/>
      <c r="G945" s="368"/>
      <c r="H945" s="368"/>
      <c r="I945" s="368"/>
      <c r="J945" s="368"/>
      <c r="K945" s="368"/>
      <c r="L945" s="368"/>
      <c r="M945" s="368"/>
      <c r="N945" s="368"/>
      <c r="O945" s="368"/>
      <c r="P945" s="368"/>
      <c r="Q945" s="368"/>
      <c r="R945" s="368"/>
      <c r="S945" s="368"/>
      <c r="T945" s="368"/>
      <c r="U945" s="368"/>
      <c r="V945" s="368"/>
      <c r="W945" s="26"/>
      <c r="X945" s="26"/>
      <c r="Y945" s="26"/>
      <c r="Z945" s="26"/>
    </row>
    <row r="946">
      <c r="A946" s="368"/>
      <c r="B946" s="368"/>
      <c r="C946" s="368"/>
      <c r="D946" s="368"/>
      <c r="E946" s="368"/>
      <c r="F946" s="368"/>
      <c r="G946" s="368"/>
      <c r="H946" s="368"/>
      <c r="I946" s="368"/>
      <c r="J946" s="368"/>
      <c r="K946" s="368"/>
      <c r="L946" s="368"/>
      <c r="M946" s="368"/>
      <c r="N946" s="368"/>
      <c r="O946" s="368"/>
      <c r="P946" s="368"/>
      <c r="Q946" s="368"/>
      <c r="R946" s="368"/>
      <c r="S946" s="368"/>
      <c r="T946" s="368"/>
      <c r="U946" s="368"/>
      <c r="V946" s="368"/>
      <c r="W946" s="26"/>
      <c r="X946" s="26"/>
      <c r="Y946" s="26"/>
      <c r="Z946" s="26"/>
    </row>
    <row r="947">
      <c r="A947" s="368"/>
      <c r="B947" s="368"/>
      <c r="C947" s="368"/>
      <c r="D947" s="368"/>
      <c r="E947" s="368"/>
      <c r="F947" s="368"/>
      <c r="G947" s="368"/>
      <c r="H947" s="368"/>
      <c r="I947" s="368"/>
      <c r="J947" s="368"/>
      <c r="K947" s="368"/>
      <c r="L947" s="368"/>
      <c r="M947" s="368"/>
      <c r="N947" s="368"/>
      <c r="O947" s="368"/>
      <c r="P947" s="368"/>
      <c r="Q947" s="368"/>
      <c r="R947" s="368"/>
      <c r="S947" s="368"/>
      <c r="T947" s="368"/>
      <c r="U947" s="368"/>
      <c r="V947" s="368"/>
      <c r="W947" s="26"/>
      <c r="X947" s="26"/>
      <c r="Y947" s="26"/>
      <c r="Z947" s="26"/>
    </row>
    <row r="948">
      <c r="A948" s="368"/>
      <c r="B948" s="368"/>
      <c r="C948" s="368"/>
      <c r="D948" s="368"/>
      <c r="E948" s="368"/>
      <c r="F948" s="368"/>
      <c r="G948" s="368"/>
      <c r="H948" s="368"/>
      <c r="I948" s="368"/>
      <c r="J948" s="368"/>
      <c r="K948" s="368"/>
      <c r="L948" s="368"/>
      <c r="M948" s="368"/>
      <c r="N948" s="368"/>
      <c r="O948" s="368"/>
      <c r="P948" s="368"/>
      <c r="Q948" s="368"/>
      <c r="R948" s="368"/>
      <c r="S948" s="368"/>
      <c r="T948" s="368"/>
      <c r="U948" s="368"/>
      <c r="V948" s="368"/>
      <c r="W948" s="26"/>
      <c r="X948" s="26"/>
      <c r="Y948" s="26"/>
      <c r="Z948" s="26"/>
    </row>
    <row r="949">
      <c r="A949" s="368"/>
      <c r="B949" s="368"/>
      <c r="C949" s="368"/>
      <c r="D949" s="368"/>
      <c r="E949" s="368"/>
      <c r="F949" s="368"/>
      <c r="G949" s="368"/>
      <c r="H949" s="368"/>
      <c r="I949" s="368"/>
      <c r="J949" s="368"/>
      <c r="K949" s="368"/>
      <c r="L949" s="368"/>
      <c r="M949" s="368"/>
      <c r="N949" s="368"/>
      <c r="O949" s="368"/>
      <c r="P949" s="368"/>
      <c r="Q949" s="368"/>
      <c r="R949" s="368"/>
      <c r="S949" s="368"/>
      <c r="T949" s="368"/>
      <c r="U949" s="368"/>
      <c r="V949" s="368"/>
      <c r="W949" s="26"/>
      <c r="X949" s="26"/>
      <c r="Y949" s="26"/>
      <c r="Z949" s="26"/>
    </row>
    <row r="950">
      <c r="A950" s="368"/>
      <c r="B950" s="368"/>
      <c r="C950" s="368"/>
      <c r="D950" s="368"/>
      <c r="E950" s="368"/>
      <c r="F950" s="368"/>
      <c r="G950" s="368"/>
      <c r="H950" s="368"/>
      <c r="I950" s="368"/>
      <c r="J950" s="368"/>
      <c r="K950" s="368"/>
      <c r="L950" s="368"/>
      <c r="M950" s="368"/>
      <c r="N950" s="368"/>
      <c r="O950" s="368"/>
      <c r="P950" s="368"/>
      <c r="Q950" s="368"/>
      <c r="R950" s="368"/>
      <c r="S950" s="368"/>
      <c r="T950" s="368"/>
      <c r="U950" s="368"/>
      <c r="V950" s="368"/>
      <c r="W950" s="26"/>
      <c r="X950" s="26"/>
      <c r="Y950" s="26"/>
      <c r="Z950" s="26"/>
    </row>
    <row r="951">
      <c r="A951" s="368"/>
      <c r="B951" s="368"/>
      <c r="C951" s="368"/>
      <c r="D951" s="368"/>
      <c r="E951" s="368"/>
      <c r="F951" s="368"/>
      <c r="G951" s="368"/>
      <c r="H951" s="368"/>
      <c r="I951" s="368"/>
      <c r="J951" s="368"/>
      <c r="K951" s="368"/>
      <c r="L951" s="368"/>
      <c r="M951" s="368"/>
      <c r="N951" s="368"/>
      <c r="O951" s="368"/>
      <c r="P951" s="368"/>
      <c r="Q951" s="368"/>
      <c r="R951" s="368"/>
      <c r="S951" s="368"/>
      <c r="T951" s="368"/>
      <c r="U951" s="368"/>
      <c r="V951" s="368"/>
      <c r="W951" s="26"/>
      <c r="X951" s="26"/>
      <c r="Y951" s="26"/>
      <c r="Z951" s="26"/>
    </row>
    <row r="952">
      <c r="A952" s="368"/>
      <c r="B952" s="368"/>
      <c r="C952" s="368"/>
      <c r="D952" s="368"/>
      <c r="E952" s="368"/>
      <c r="F952" s="368"/>
      <c r="G952" s="368"/>
      <c r="H952" s="368"/>
      <c r="I952" s="368"/>
      <c r="J952" s="368"/>
      <c r="K952" s="368"/>
      <c r="L952" s="368"/>
      <c r="M952" s="368"/>
      <c r="N952" s="368"/>
      <c r="O952" s="368"/>
      <c r="P952" s="368"/>
      <c r="Q952" s="368"/>
      <c r="R952" s="368"/>
      <c r="S952" s="368"/>
      <c r="T952" s="368"/>
      <c r="U952" s="368"/>
      <c r="V952" s="368"/>
      <c r="W952" s="26"/>
      <c r="X952" s="26"/>
      <c r="Y952" s="26"/>
      <c r="Z952" s="26"/>
    </row>
    <row r="953">
      <c r="A953" s="368"/>
      <c r="B953" s="368"/>
      <c r="C953" s="368"/>
      <c r="D953" s="368"/>
      <c r="E953" s="368"/>
      <c r="F953" s="368"/>
      <c r="G953" s="368"/>
      <c r="H953" s="368"/>
      <c r="I953" s="368"/>
      <c r="J953" s="368"/>
      <c r="K953" s="368"/>
      <c r="L953" s="368"/>
      <c r="M953" s="368"/>
      <c r="N953" s="368"/>
      <c r="O953" s="368"/>
      <c r="P953" s="368"/>
      <c r="Q953" s="368"/>
      <c r="R953" s="368"/>
      <c r="S953" s="368"/>
      <c r="T953" s="368"/>
      <c r="U953" s="368"/>
      <c r="V953" s="368"/>
      <c r="W953" s="26"/>
      <c r="X953" s="26"/>
      <c r="Y953" s="26"/>
      <c r="Z953" s="26"/>
    </row>
    <row r="954">
      <c r="A954" s="368"/>
      <c r="B954" s="368"/>
      <c r="C954" s="368"/>
      <c r="D954" s="368"/>
      <c r="E954" s="368"/>
      <c r="F954" s="368"/>
      <c r="G954" s="368"/>
      <c r="H954" s="368"/>
      <c r="I954" s="368"/>
      <c r="J954" s="368"/>
      <c r="K954" s="368"/>
      <c r="L954" s="368"/>
      <c r="M954" s="368"/>
      <c r="N954" s="368"/>
      <c r="O954" s="368"/>
      <c r="P954" s="368"/>
      <c r="Q954" s="368"/>
      <c r="R954" s="368"/>
      <c r="S954" s="368"/>
      <c r="T954" s="368"/>
      <c r="U954" s="368"/>
      <c r="V954" s="368"/>
      <c r="W954" s="26"/>
      <c r="X954" s="26"/>
      <c r="Y954" s="26"/>
      <c r="Z954" s="26"/>
    </row>
    <row r="955">
      <c r="A955" s="368"/>
      <c r="B955" s="368"/>
      <c r="C955" s="368"/>
      <c r="D955" s="368"/>
      <c r="E955" s="368"/>
      <c r="F955" s="368"/>
      <c r="G955" s="368"/>
      <c r="H955" s="368"/>
      <c r="I955" s="368"/>
      <c r="J955" s="368"/>
      <c r="K955" s="368"/>
      <c r="L955" s="368"/>
      <c r="M955" s="368"/>
      <c r="N955" s="368"/>
      <c r="O955" s="368"/>
      <c r="P955" s="368"/>
      <c r="Q955" s="368"/>
      <c r="R955" s="368"/>
      <c r="S955" s="368"/>
      <c r="T955" s="368"/>
      <c r="U955" s="368"/>
      <c r="V955" s="368"/>
      <c r="W955" s="26"/>
      <c r="X955" s="26"/>
      <c r="Y955" s="26"/>
      <c r="Z955" s="26"/>
    </row>
    <row r="956">
      <c r="A956" s="368"/>
      <c r="B956" s="368"/>
      <c r="C956" s="368"/>
      <c r="D956" s="368"/>
      <c r="E956" s="368"/>
      <c r="F956" s="368"/>
      <c r="G956" s="368"/>
      <c r="H956" s="368"/>
      <c r="I956" s="368"/>
      <c r="J956" s="368"/>
      <c r="K956" s="368"/>
      <c r="L956" s="368"/>
      <c r="M956" s="368"/>
      <c r="N956" s="368"/>
      <c r="O956" s="368"/>
      <c r="P956" s="368"/>
      <c r="Q956" s="368"/>
      <c r="R956" s="368"/>
      <c r="S956" s="368"/>
      <c r="T956" s="368"/>
      <c r="U956" s="368"/>
      <c r="V956" s="368"/>
      <c r="W956" s="26"/>
      <c r="X956" s="26"/>
      <c r="Y956" s="26"/>
      <c r="Z956" s="26"/>
    </row>
    <row r="957">
      <c r="A957" s="368"/>
      <c r="B957" s="368"/>
      <c r="C957" s="368"/>
      <c r="D957" s="368"/>
      <c r="E957" s="368"/>
      <c r="F957" s="368"/>
      <c r="G957" s="368"/>
      <c r="H957" s="368"/>
      <c r="I957" s="368"/>
      <c r="J957" s="368"/>
      <c r="K957" s="368"/>
      <c r="L957" s="368"/>
      <c r="M957" s="368"/>
      <c r="N957" s="368"/>
      <c r="O957" s="368"/>
      <c r="P957" s="368"/>
      <c r="Q957" s="368"/>
      <c r="R957" s="368"/>
      <c r="S957" s="368"/>
      <c r="T957" s="368"/>
      <c r="U957" s="368"/>
      <c r="V957" s="368"/>
      <c r="W957" s="26"/>
      <c r="X957" s="26"/>
      <c r="Y957" s="26"/>
      <c r="Z957" s="26"/>
    </row>
    <row r="958">
      <c r="A958" s="368"/>
      <c r="B958" s="368"/>
      <c r="C958" s="368"/>
      <c r="D958" s="368"/>
      <c r="E958" s="368"/>
      <c r="F958" s="368"/>
      <c r="G958" s="368"/>
      <c r="H958" s="368"/>
      <c r="I958" s="368"/>
      <c r="J958" s="368"/>
      <c r="K958" s="368"/>
      <c r="L958" s="368"/>
      <c r="M958" s="368"/>
      <c r="N958" s="368"/>
      <c r="O958" s="368"/>
      <c r="P958" s="368"/>
      <c r="Q958" s="368"/>
      <c r="R958" s="368"/>
      <c r="S958" s="368"/>
      <c r="T958" s="368"/>
      <c r="U958" s="368"/>
      <c r="V958" s="368"/>
      <c r="W958" s="26"/>
      <c r="X958" s="26"/>
      <c r="Y958" s="26"/>
      <c r="Z958" s="26"/>
    </row>
    <row r="959">
      <c r="A959" s="368"/>
      <c r="B959" s="368"/>
      <c r="C959" s="368"/>
      <c r="D959" s="368"/>
      <c r="E959" s="368"/>
      <c r="F959" s="368"/>
      <c r="G959" s="368"/>
      <c r="H959" s="368"/>
      <c r="I959" s="368"/>
      <c r="J959" s="368"/>
      <c r="K959" s="368"/>
      <c r="L959" s="368"/>
      <c r="M959" s="368"/>
      <c r="N959" s="368"/>
      <c r="O959" s="368"/>
      <c r="P959" s="368"/>
      <c r="Q959" s="368"/>
      <c r="R959" s="368"/>
      <c r="S959" s="368"/>
      <c r="T959" s="368"/>
      <c r="U959" s="368"/>
      <c r="V959" s="368"/>
      <c r="W959" s="26"/>
      <c r="X959" s="26"/>
      <c r="Y959" s="26"/>
      <c r="Z959" s="26"/>
    </row>
    <row r="960">
      <c r="A960" s="368"/>
      <c r="B960" s="368"/>
      <c r="C960" s="368"/>
      <c r="D960" s="368"/>
      <c r="E960" s="368"/>
      <c r="F960" s="368"/>
      <c r="G960" s="368"/>
      <c r="H960" s="368"/>
      <c r="I960" s="368"/>
      <c r="J960" s="368"/>
      <c r="K960" s="368"/>
      <c r="L960" s="368"/>
      <c r="M960" s="368"/>
      <c r="N960" s="368"/>
      <c r="O960" s="368"/>
      <c r="P960" s="368"/>
      <c r="Q960" s="368"/>
      <c r="R960" s="368"/>
      <c r="S960" s="368"/>
      <c r="T960" s="368"/>
      <c r="U960" s="368"/>
      <c r="V960" s="368"/>
      <c r="W960" s="26"/>
      <c r="X960" s="26"/>
      <c r="Y960" s="26"/>
      <c r="Z960" s="26"/>
    </row>
    <row r="961">
      <c r="A961" s="368"/>
      <c r="B961" s="368"/>
      <c r="C961" s="368"/>
      <c r="D961" s="368"/>
      <c r="E961" s="368"/>
      <c r="F961" s="368"/>
      <c r="G961" s="368"/>
      <c r="H961" s="368"/>
      <c r="I961" s="368"/>
      <c r="J961" s="368"/>
      <c r="K961" s="368"/>
      <c r="L961" s="368"/>
      <c r="M961" s="368"/>
      <c r="N961" s="368"/>
      <c r="O961" s="368"/>
      <c r="P961" s="368"/>
      <c r="Q961" s="368"/>
      <c r="R961" s="368"/>
      <c r="S961" s="368"/>
      <c r="T961" s="368"/>
      <c r="U961" s="368"/>
      <c r="V961" s="368"/>
      <c r="W961" s="26"/>
      <c r="X961" s="26"/>
      <c r="Y961" s="26"/>
      <c r="Z961" s="26"/>
    </row>
    <row r="962">
      <c r="A962" s="368"/>
      <c r="B962" s="368"/>
      <c r="C962" s="368"/>
      <c r="D962" s="368"/>
      <c r="E962" s="368"/>
      <c r="F962" s="368"/>
      <c r="G962" s="368"/>
      <c r="H962" s="368"/>
      <c r="I962" s="368"/>
      <c r="J962" s="368"/>
      <c r="K962" s="368"/>
      <c r="L962" s="368"/>
      <c r="M962" s="368"/>
      <c r="N962" s="368"/>
      <c r="O962" s="368"/>
      <c r="P962" s="368"/>
      <c r="Q962" s="368"/>
      <c r="R962" s="368"/>
      <c r="S962" s="368"/>
      <c r="T962" s="368"/>
      <c r="U962" s="368"/>
      <c r="V962" s="368"/>
      <c r="W962" s="26"/>
      <c r="X962" s="26"/>
      <c r="Y962" s="26"/>
      <c r="Z962" s="26"/>
    </row>
    <row r="963">
      <c r="A963" s="368"/>
      <c r="B963" s="368"/>
      <c r="C963" s="368"/>
      <c r="D963" s="368"/>
      <c r="E963" s="368"/>
      <c r="F963" s="368"/>
      <c r="G963" s="368"/>
      <c r="H963" s="368"/>
      <c r="I963" s="368"/>
      <c r="J963" s="368"/>
      <c r="K963" s="368"/>
      <c r="L963" s="368"/>
      <c r="M963" s="368"/>
      <c r="N963" s="368"/>
      <c r="O963" s="368"/>
      <c r="P963" s="368"/>
      <c r="Q963" s="368"/>
      <c r="R963" s="368"/>
      <c r="S963" s="368"/>
      <c r="T963" s="368"/>
      <c r="U963" s="368"/>
      <c r="V963" s="368"/>
      <c r="W963" s="26"/>
      <c r="X963" s="26"/>
      <c r="Y963" s="26"/>
      <c r="Z963" s="26"/>
    </row>
    <row r="964">
      <c r="A964" s="368"/>
      <c r="B964" s="368"/>
      <c r="C964" s="368"/>
      <c r="D964" s="368"/>
      <c r="E964" s="368"/>
      <c r="F964" s="368"/>
      <c r="G964" s="368"/>
      <c r="H964" s="368"/>
      <c r="I964" s="368"/>
      <c r="J964" s="368"/>
      <c r="K964" s="368"/>
      <c r="L964" s="368"/>
      <c r="M964" s="368"/>
      <c r="N964" s="368"/>
      <c r="O964" s="368"/>
      <c r="P964" s="368"/>
      <c r="Q964" s="368"/>
      <c r="R964" s="368"/>
      <c r="S964" s="368"/>
      <c r="T964" s="368"/>
      <c r="U964" s="368"/>
      <c r="V964" s="368"/>
      <c r="W964" s="26"/>
      <c r="X964" s="26"/>
      <c r="Y964" s="26"/>
      <c r="Z964" s="26"/>
    </row>
    <row r="965">
      <c r="A965" s="368"/>
      <c r="B965" s="368"/>
      <c r="C965" s="368"/>
      <c r="D965" s="368"/>
      <c r="E965" s="368"/>
      <c r="F965" s="368"/>
      <c r="G965" s="368"/>
      <c r="H965" s="368"/>
      <c r="I965" s="368"/>
      <c r="J965" s="368"/>
      <c r="K965" s="368"/>
      <c r="L965" s="368"/>
      <c r="M965" s="368"/>
      <c r="N965" s="368"/>
      <c r="O965" s="368"/>
      <c r="P965" s="368"/>
      <c r="Q965" s="368"/>
      <c r="R965" s="368"/>
      <c r="S965" s="368"/>
      <c r="T965" s="368"/>
      <c r="U965" s="368"/>
      <c r="V965" s="368"/>
      <c r="W965" s="26"/>
      <c r="X965" s="26"/>
      <c r="Y965" s="26"/>
      <c r="Z965" s="26"/>
    </row>
    <row r="966">
      <c r="A966" s="368"/>
      <c r="B966" s="368"/>
      <c r="C966" s="368"/>
      <c r="D966" s="368"/>
      <c r="E966" s="368"/>
      <c r="F966" s="368"/>
      <c r="G966" s="368"/>
      <c r="H966" s="368"/>
      <c r="I966" s="368"/>
      <c r="J966" s="368"/>
      <c r="K966" s="368"/>
      <c r="L966" s="368"/>
      <c r="M966" s="368"/>
      <c r="N966" s="368"/>
      <c r="O966" s="368"/>
      <c r="P966" s="368"/>
      <c r="Q966" s="368"/>
      <c r="R966" s="368"/>
      <c r="S966" s="368"/>
      <c r="T966" s="368"/>
      <c r="U966" s="368"/>
      <c r="V966" s="368"/>
      <c r="W966" s="26"/>
      <c r="X966" s="26"/>
      <c r="Y966" s="26"/>
      <c r="Z966" s="26"/>
    </row>
    <row r="967">
      <c r="A967" s="368"/>
      <c r="B967" s="368"/>
      <c r="C967" s="368"/>
      <c r="D967" s="368"/>
      <c r="E967" s="368"/>
      <c r="F967" s="368"/>
      <c r="G967" s="368"/>
      <c r="H967" s="368"/>
      <c r="I967" s="368"/>
      <c r="J967" s="368"/>
      <c r="K967" s="368"/>
      <c r="L967" s="368"/>
      <c r="M967" s="368"/>
      <c r="N967" s="368"/>
      <c r="O967" s="368"/>
      <c r="P967" s="368"/>
      <c r="Q967" s="368"/>
      <c r="R967" s="368"/>
      <c r="S967" s="368"/>
      <c r="T967" s="368"/>
      <c r="U967" s="368"/>
      <c r="V967" s="368"/>
      <c r="W967" s="26"/>
      <c r="X967" s="26"/>
      <c r="Y967" s="26"/>
      <c r="Z967" s="26"/>
    </row>
    <row r="968">
      <c r="A968" s="368"/>
      <c r="B968" s="368"/>
      <c r="C968" s="368"/>
      <c r="D968" s="368"/>
      <c r="E968" s="368"/>
      <c r="F968" s="368"/>
      <c r="G968" s="368"/>
      <c r="H968" s="368"/>
      <c r="I968" s="368"/>
      <c r="J968" s="368"/>
      <c r="K968" s="368"/>
      <c r="L968" s="368"/>
      <c r="M968" s="368"/>
      <c r="N968" s="368"/>
      <c r="O968" s="368"/>
      <c r="P968" s="368"/>
      <c r="Q968" s="368"/>
      <c r="R968" s="368"/>
      <c r="S968" s="368"/>
      <c r="T968" s="368"/>
      <c r="U968" s="368"/>
      <c r="V968" s="368"/>
      <c r="W968" s="26"/>
      <c r="X968" s="26"/>
      <c r="Y968" s="26"/>
      <c r="Z968" s="26"/>
    </row>
    <row r="969">
      <c r="A969" s="368"/>
      <c r="B969" s="368"/>
      <c r="C969" s="368"/>
      <c r="D969" s="368"/>
      <c r="E969" s="368"/>
      <c r="F969" s="368"/>
      <c r="G969" s="368"/>
      <c r="H969" s="368"/>
      <c r="I969" s="368"/>
      <c r="J969" s="368"/>
      <c r="K969" s="368"/>
      <c r="L969" s="368"/>
      <c r="M969" s="368"/>
      <c r="N969" s="368"/>
      <c r="O969" s="368"/>
      <c r="P969" s="368"/>
      <c r="Q969" s="368"/>
      <c r="R969" s="368"/>
      <c r="S969" s="368"/>
      <c r="T969" s="368"/>
      <c r="U969" s="368"/>
      <c r="V969" s="368"/>
      <c r="W969" s="26"/>
      <c r="X969" s="26"/>
      <c r="Y969" s="26"/>
      <c r="Z969" s="26"/>
    </row>
    <row r="970">
      <c r="A970" s="368"/>
      <c r="B970" s="368"/>
      <c r="C970" s="368"/>
      <c r="D970" s="368"/>
      <c r="E970" s="368"/>
      <c r="F970" s="368"/>
      <c r="G970" s="368"/>
      <c r="H970" s="368"/>
      <c r="I970" s="368"/>
      <c r="J970" s="368"/>
      <c r="K970" s="368"/>
      <c r="L970" s="368"/>
      <c r="M970" s="368"/>
      <c r="N970" s="368"/>
      <c r="O970" s="368"/>
      <c r="P970" s="368"/>
      <c r="Q970" s="368"/>
      <c r="R970" s="368"/>
      <c r="S970" s="368"/>
      <c r="T970" s="368"/>
      <c r="U970" s="368"/>
      <c r="V970" s="368"/>
      <c r="W970" s="26"/>
      <c r="X970" s="26"/>
      <c r="Y970" s="26"/>
      <c r="Z970" s="26"/>
    </row>
    <row r="971">
      <c r="A971" s="368"/>
      <c r="B971" s="368"/>
      <c r="C971" s="368"/>
      <c r="D971" s="368"/>
      <c r="E971" s="368"/>
      <c r="F971" s="368"/>
      <c r="G971" s="368"/>
      <c r="H971" s="368"/>
      <c r="I971" s="368"/>
      <c r="J971" s="368"/>
      <c r="K971" s="368"/>
      <c r="L971" s="368"/>
      <c r="M971" s="368"/>
      <c r="N971" s="368"/>
      <c r="O971" s="368"/>
      <c r="P971" s="368"/>
      <c r="Q971" s="368"/>
      <c r="R971" s="368"/>
      <c r="S971" s="368"/>
      <c r="T971" s="368"/>
      <c r="U971" s="368"/>
      <c r="V971" s="368"/>
      <c r="W971" s="26"/>
      <c r="X971" s="26"/>
      <c r="Y971" s="26"/>
      <c r="Z971" s="26"/>
    </row>
    <row r="972">
      <c r="A972" s="368"/>
      <c r="B972" s="368"/>
      <c r="C972" s="368"/>
      <c r="D972" s="368"/>
      <c r="E972" s="368"/>
      <c r="F972" s="368"/>
      <c r="G972" s="368"/>
      <c r="H972" s="368"/>
      <c r="I972" s="368"/>
      <c r="J972" s="368"/>
      <c r="K972" s="368"/>
      <c r="L972" s="368"/>
      <c r="M972" s="368"/>
      <c r="N972" s="368"/>
      <c r="O972" s="368"/>
      <c r="P972" s="368"/>
      <c r="Q972" s="368"/>
      <c r="R972" s="368"/>
      <c r="S972" s="368"/>
      <c r="T972" s="368"/>
      <c r="U972" s="368"/>
      <c r="V972" s="368"/>
      <c r="W972" s="26"/>
      <c r="X972" s="26"/>
      <c r="Y972" s="26"/>
      <c r="Z972" s="26"/>
    </row>
    <row r="973">
      <c r="A973" s="368"/>
      <c r="B973" s="368"/>
      <c r="C973" s="368"/>
      <c r="D973" s="368"/>
      <c r="E973" s="368"/>
      <c r="F973" s="368"/>
      <c r="G973" s="368"/>
      <c r="H973" s="368"/>
      <c r="I973" s="368"/>
      <c r="J973" s="368"/>
      <c r="K973" s="368"/>
      <c r="L973" s="368"/>
      <c r="M973" s="368"/>
      <c r="N973" s="368"/>
      <c r="O973" s="368"/>
      <c r="P973" s="368"/>
      <c r="Q973" s="368"/>
      <c r="R973" s="368"/>
      <c r="S973" s="368"/>
      <c r="T973" s="368"/>
      <c r="U973" s="368"/>
      <c r="V973" s="368"/>
      <c r="W973" s="26"/>
      <c r="X973" s="26"/>
      <c r="Y973" s="26"/>
      <c r="Z973" s="26"/>
    </row>
    <row r="974">
      <c r="A974" s="368"/>
      <c r="B974" s="368"/>
      <c r="C974" s="368"/>
      <c r="D974" s="368"/>
      <c r="E974" s="368"/>
      <c r="F974" s="368"/>
      <c r="G974" s="368"/>
      <c r="H974" s="368"/>
      <c r="I974" s="368"/>
      <c r="J974" s="368"/>
      <c r="K974" s="368"/>
      <c r="L974" s="368"/>
      <c r="M974" s="368"/>
      <c r="N974" s="368"/>
      <c r="O974" s="368"/>
      <c r="P974" s="368"/>
      <c r="Q974" s="368"/>
      <c r="R974" s="368"/>
      <c r="S974" s="368"/>
      <c r="T974" s="368"/>
      <c r="U974" s="368"/>
      <c r="V974" s="368"/>
      <c r="W974" s="26"/>
      <c r="X974" s="26"/>
      <c r="Y974" s="26"/>
      <c r="Z974" s="26"/>
    </row>
    <row r="975">
      <c r="A975" s="368"/>
      <c r="B975" s="368"/>
      <c r="C975" s="368"/>
      <c r="D975" s="368"/>
      <c r="E975" s="368"/>
      <c r="F975" s="368"/>
      <c r="G975" s="368"/>
      <c r="H975" s="368"/>
      <c r="I975" s="368"/>
      <c r="J975" s="368"/>
      <c r="K975" s="368"/>
      <c r="L975" s="368"/>
      <c r="M975" s="368"/>
      <c r="N975" s="368"/>
      <c r="O975" s="368"/>
      <c r="P975" s="368"/>
      <c r="Q975" s="368"/>
      <c r="R975" s="368"/>
      <c r="S975" s="368"/>
      <c r="T975" s="368"/>
      <c r="U975" s="368"/>
      <c r="V975" s="368"/>
      <c r="W975" s="26"/>
      <c r="X975" s="26"/>
      <c r="Y975" s="26"/>
      <c r="Z975" s="26"/>
    </row>
    <row r="976">
      <c r="A976" s="368"/>
      <c r="B976" s="368"/>
      <c r="C976" s="368"/>
      <c r="D976" s="368"/>
      <c r="E976" s="368"/>
      <c r="F976" s="368"/>
      <c r="G976" s="368"/>
      <c r="H976" s="368"/>
      <c r="I976" s="368"/>
      <c r="J976" s="368"/>
      <c r="K976" s="368"/>
      <c r="L976" s="368"/>
      <c r="M976" s="368"/>
      <c r="N976" s="368"/>
      <c r="O976" s="368"/>
      <c r="P976" s="368"/>
      <c r="Q976" s="368"/>
      <c r="R976" s="368"/>
      <c r="S976" s="368"/>
      <c r="T976" s="368"/>
      <c r="U976" s="368"/>
      <c r="V976" s="368"/>
      <c r="W976" s="26"/>
      <c r="X976" s="26"/>
      <c r="Y976" s="26"/>
      <c r="Z976" s="26"/>
    </row>
    <row r="977">
      <c r="A977" s="368"/>
      <c r="B977" s="368"/>
      <c r="C977" s="368"/>
      <c r="D977" s="368"/>
      <c r="E977" s="368"/>
      <c r="F977" s="368"/>
      <c r="G977" s="368"/>
      <c r="H977" s="368"/>
      <c r="I977" s="368"/>
      <c r="J977" s="368"/>
      <c r="K977" s="368"/>
      <c r="L977" s="368"/>
      <c r="M977" s="368"/>
      <c r="N977" s="368"/>
      <c r="O977" s="368"/>
      <c r="P977" s="368"/>
      <c r="Q977" s="368"/>
      <c r="R977" s="368"/>
      <c r="S977" s="368"/>
      <c r="T977" s="368"/>
      <c r="U977" s="368"/>
      <c r="V977" s="368"/>
      <c r="W977" s="26"/>
      <c r="X977" s="26"/>
      <c r="Y977" s="26"/>
      <c r="Z977" s="26"/>
    </row>
    <row r="978">
      <c r="A978" s="368"/>
      <c r="B978" s="368"/>
      <c r="C978" s="368"/>
      <c r="D978" s="368"/>
      <c r="E978" s="368"/>
      <c r="F978" s="368"/>
      <c r="G978" s="368"/>
      <c r="H978" s="368"/>
      <c r="I978" s="368"/>
      <c r="J978" s="368"/>
      <c r="K978" s="368"/>
      <c r="L978" s="368"/>
      <c r="M978" s="368"/>
      <c r="N978" s="368"/>
      <c r="O978" s="368"/>
      <c r="P978" s="368"/>
      <c r="Q978" s="368"/>
      <c r="R978" s="368"/>
      <c r="S978" s="368"/>
      <c r="T978" s="368"/>
      <c r="U978" s="368"/>
      <c r="V978" s="368"/>
      <c r="W978" s="26"/>
      <c r="X978" s="26"/>
      <c r="Y978" s="26"/>
      <c r="Z978" s="26"/>
    </row>
    <row r="979">
      <c r="A979" s="368"/>
      <c r="B979" s="368"/>
      <c r="C979" s="368"/>
      <c r="D979" s="368"/>
      <c r="E979" s="368"/>
      <c r="F979" s="368"/>
      <c r="G979" s="368"/>
      <c r="H979" s="368"/>
      <c r="I979" s="368"/>
      <c r="J979" s="368"/>
      <c r="K979" s="368"/>
      <c r="L979" s="368"/>
      <c r="M979" s="368"/>
      <c r="N979" s="368"/>
      <c r="O979" s="368"/>
      <c r="P979" s="368"/>
      <c r="Q979" s="368"/>
      <c r="R979" s="368"/>
      <c r="S979" s="368"/>
      <c r="T979" s="368"/>
      <c r="U979" s="368"/>
      <c r="V979" s="368"/>
      <c r="W979" s="26"/>
      <c r="X979" s="26"/>
      <c r="Y979" s="26"/>
      <c r="Z979" s="26"/>
    </row>
    <row r="980">
      <c r="A980" s="368"/>
      <c r="B980" s="368"/>
      <c r="C980" s="368"/>
      <c r="D980" s="368"/>
      <c r="E980" s="368"/>
      <c r="F980" s="368"/>
      <c r="G980" s="368"/>
      <c r="H980" s="368"/>
      <c r="I980" s="368"/>
      <c r="J980" s="368"/>
      <c r="K980" s="368"/>
      <c r="L980" s="368"/>
      <c r="M980" s="368"/>
      <c r="N980" s="368"/>
      <c r="O980" s="368"/>
      <c r="P980" s="368"/>
      <c r="Q980" s="368"/>
      <c r="R980" s="368"/>
      <c r="S980" s="368"/>
      <c r="T980" s="368"/>
      <c r="U980" s="368"/>
      <c r="V980" s="368"/>
      <c r="W980" s="26"/>
      <c r="X980" s="26"/>
      <c r="Y980" s="26"/>
      <c r="Z980" s="26"/>
    </row>
    <row r="981">
      <c r="A981" s="368"/>
      <c r="B981" s="368"/>
      <c r="C981" s="368"/>
      <c r="D981" s="368"/>
      <c r="E981" s="368"/>
      <c r="F981" s="368"/>
      <c r="G981" s="368"/>
      <c r="H981" s="368"/>
      <c r="I981" s="368"/>
      <c r="J981" s="368"/>
      <c r="K981" s="368"/>
      <c r="L981" s="368"/>
      <c r="M981" s="368"/>
      <c r="N981" s="368"/>
      <c r="O981" s="368"/>
      <c r="P981" s="368"/>
      <c r="Q981" s="368"/>
      <c r="R981" s="368"/>
      <c r="S981" s="368"/>
      <c r="T981" s="368"/>
      <c r="U981" s="368"/>
      <c r="V981" s="368"/>
      <c r="W981" s="26"/>
      <c r="X981" s="26"/>
      <c r="Y981" s="26"/>
      <c r="Z981" s="26"/>
    </row>
    <row r="982">
      <c r="A982" s="368"/>
      <c r="B982" s="368"/>
      <c r="C982" s="368"/>
      <c r="D982" s="368"/>
      <c r="E982" s="368"/>
      <c r="F982" s="368"/>
      <c r="G982" s="368"/>
      <c r="H982" s="368"/>
      <c r="I982" s="368"/>
      <c r="J982" s="368"/>
      <c r="K982" s="368"/>
      <c r="L982" s="368"/>
      <c r="M982" s="368"/>
      <c r="N982" s="368"/>
      <c r="O982" s="368"/>
      <c r="P982" s="368"/>
      <c r="Q982" s="368"/>
      <c r="R982" s="368"/>
      <c r="S982" s="368"/>
      <c r="T982" s="368"/>
      <c r="U982" s="368"/>
      <c r="V982" s="368"/>
      <c r="W982" s="26"/>
      <c r="X982" s="26"/>
      <c r="Y982" s="26"/>
      <c r="Z982" s="26"/>
    </row>
    <row r="983">
      <c r="A983" s="368"/>
      <c r="B983" s="368"/>
      <c r="C983" s="368"/>
      <c r="D983" s="368"/>
      <c r="E983" s="368"/>
      <c r="F983" s="368"/>
      <c r="G983" s="368"/>
      <c r="H983" s="368"/>
      <c r="I983" s="368"/>
      <c r="J983" s="368"/>
      <c r="K983" s="368"/>
      <c r="L983" s="368"/>
      <c r="M983" s="368"/>
      <c r="N983" s="368"/>
      <c r="O983" s="368"/>
      <c r="P983" s="368"/>
      <c r="Q983" s="368"/>
      <c r="R983" s="368"/>
      <c r="S983" s="368"/>
      <c r="T983" s="368"/>
      <c r="U983" s="368"/>
      <c r="V983" s="368"/>
      <c r="W983" s="26"/>
      <c r="X983" s="26"/>
      <c r="Y983" s="26"/>
      <c r="Z983" s="26"/>
    </row>
    <row r="984">
      <c r="A984" s="368"/>
      <c r="B984" s="368"/>
      <c r="C984" s="368"/>
      <c r="D984" s="368"/>
      <c r="E984" s="368"/>
      <c r="F984" s="368"/>
      <c r="G984" s="368"/>
      <c r="H984" s="368"/>
      <c r="I984" s="368"/>
      <c r="J984" s="368"/>
      <c r="K984" s="368"/>
      <c r="L984" s="368"/>
      <c r="M984" s="368"/>
      <c r="N984" s="368"/>
      <c r="O984" s="368"/>
      <c r="P984" s="368"/>
      <c r="Q984" s="368"/>
      <c r="R984" s="368"/>
      <c r="S984" s="368"/>
      <c r="T984" s="368"/>
      <c r="U984" s="368"/>
      <c r="V984" s="368"/>
      <c r="W984" s="26"/>
      <c r="X984" s="26"/>
      <c r="Y984" s="26"/>
      <c r="Z984" s="26"/>
    </row>
    <row r="985">
      <c r="A985" s="368"/>
      <c r="B985" s="368"/>
      <c r="C985" s="368"/>
      <c r="D985" s="368"/>
      <c r="E985" s="368"/>
      <c r="F985" s="368"/>
      <c r="G985" s="368"/>
      <c r="H985" s="368"/>
      <c r="I985" s="368"/>
      <c r="J985" s="368"/>
      <c r="K985" s="368"/>
      <c r="L985" s="368"/>
      <c r="M985" s="368"/>
      <c r="N985" s="368"/>
      <c r="O985" s="368"/>
      <c r="P985" s="368"/>
      <c r="Q985" s="368"/>
      <c r="R985" s="368"/>
      <c r="S985" s="368"/>
      <c r="T985" s="368"/>
      <c r="U985" s="368"/>
      <c r="V985" s="368"/>
      <c r="W985" s="26"/>
      <c r="X985" s="26"/>
      <c r="Y985" s="26"/>
      <c r="Z985" s="26"/>
    </row>
    <row r="986">
      <c r="A986" s="368"/>
      <c r="B986" s="368"/>
      <c r="C986" s="368"/>
      <c r="D986" s="368"/>
      <c r="E986" s="368"/>
      <c r="F986" s="368"/>
      <c r="G986" s="368"/>
      <c r="H986" s="368"/>
      <c r="I986" s="368"/>
      <c r="J986" s="368"/>
      <c r="K986" s="368"/>
      <c r="L986" s="368"/>
      <c r="M986" s="368"/>
      <c r="N986" s="368"/>
      <c r="O986" s="368"/>
      <c r="P986" s="368"/>
      <c r="Q986" s="368"/>
      <c r="R986" s="368"/>
      <c r="S986" s="368"/>
      <c r="T986" s="368"/>
      <c r="U986" s="368"/>
      <c r="V986" s="368"/>
      <c r="W986" s="26"/>
      <c r="X986" s="26"/>
      <c r="Y986" s="26"/>
      <c r="Z986" s="26"/>
    </row>
    <row r="987">
      <c r="A987" s="368"/>
      <c r="B987" s="368"/>
      <c r="C987" s="368"/>
      <c r="D987" s="368"/>
      <c r="E987" s="368"/>
      <c r="F987" s="368"/>
      <c r="G987" s="368"/>
      <c r="H987" s="368"/>
      <c r="I987" s="368"/>
      <c r="J987" s="368"/>
      <c r="K987" s="368"/>
      <c r="L987" s="368"/>
      <c r="M987" s="368"/>
      <c r="N987" s="368"/>
      <c r="O987" s="368"/>
      <c r="P987" s="368"/>
      <c r="Q987" s="368"/>
      <c r="R987" s="368"/>
      <c r="S987" s="368"/>
      <c r="T987" s="368"/>
      <c r="U987" s="368"/>
      <c r="V987" s="368"/>
      <c r="W987" s="26"/>
      <c r="X987" s="26"/>
      <c r="Y987" s="26"/>
      <c r="Z987" s="26"/>
    </row>
    <row r="988">
      <c r="A988" s="368"/>
      <c r="B988" s="368"/>
      <c r="C988" s="368"/>
      <c r="D988" s="368"/>
      <c r="E988" s="368"/>
      <c r="F988" s="368"/>
      <c r="G988" s="368"/>
      <c r="H988" s="368"/>
      <c r="I988" s="368"/>
      <c r="J988" s="368"/>
      <c r="K988" s="368"/>
      <c r="L988" s="368"/>
      <c r="M988" s="368"/>
      <c r="N988" s="368"/>
      <c r="O988" s="368"/>
      <c r="P988" s="368"/>
      <c r="Q988" s="368"/>
      <c r="R988" s="368"/>
      <c r="S988" s="368"/>
      <c r="T988" s="368"/>
      <c r="U988" s="368"/>
      <c r="V988" s="368"/>
      <c r="W988" s="26"/>
      <c r="X988" s="26"/>
      <c r="Y988" s="26"/>
      <c r="Z988" s="26"/>
    </row>
    <row r="989">
      <c r="A989" s="368"/>
      <c r="B989" s="368"/>
      <c r="C989" s="368"/>
      <c r="D989" s="368"/>
      <c r="E989" s="368"/>
      <c r="F989" s="368"/>
      <c r="G989" s="368"/>
      <c r="H989" s="368"/>
      <c r="I989" s="368"/>
      <c r="J989" s="368"/>
      <c r="K989" s="368"/>
      <c r="L989" s="368"/>
      <c r="M989" s="368"/>
      <c r="N989" s="368"/>
      <c r="O989" s="368"/>
      <c r="P989" s="368"/>
      <c r="Q989" s="368"/>
      <c r="R989" s="368"/>
      <c r="S989" s="368"/>
      <c r="T989" s="368"/>
      <c r="U989" s="368"/>
      <c r="V989" s="368"/>
      <c r="W989" s="26"/>
      <c r="X989" s="26"/>
      <c r="Y989" s="26"/>
      <c r="Z989" s="26"/>
    </row>
    <row r="990">
      <c r="A990" s="368"/>
      <c r="B990" s="368"/>
      <c r="C990" s="368"/>
      <c r="D990" s="368"/>
      <c r="E990" s="368"/>
      <c r="F990" s="368"/>
      <c r="G990" s="368"/>
      <c r="H990" s="368"/>
      <c r="I990" s="368"/>
      <c r="J990" s="368"/>
      <c r="K990" s="368"/>
      <c r="L990" s="368"/>
      <c r="M990" s="368"/>
      <c r="N990" s="368"/>
      <c r="O990" s="368"/>
      <c r="P990" s="368"/>
      <c r="Q990" s="368"/>
      <c r="R990" s="368"/>
      <c r="S990" s="368"/>
      <c r="T990" s="368"/>
      <c r="U990" s="368"/>
      <c r="V990" s="368"/>
      <c r="W990" s="26"/>
      <c r="X990" s="26"/>
      <c r="Y990" s="26"/>
      <c r="Z990" s="26"/>
    </row>
    <row r="991">
      <c r="A991" s="368"/>
      <c r="B991" s="368"/>
      <c r="C991" s="368"/>
      <c r="D991" s="368"/>
      <c r="E991" s="368"/>
      <c r="F991" s="368"/>
      <c r="G991" s="368"/>
      <c r="H991" s="368"/>
      <c r="I991" s="368"/>
      <c r="J991" s="368"/>
      <c r="K991" s="368"/>
      <c r="L991" s="368"/>
      <c r="M991" s="368"/>
      <c r="N991" s="368"/>
      <c r="O991" s="368"/>
      <c r="P991" s="368"/>
      <c r="Q991" s="368"/>
      <c r="R991" s="368"/>
      <c r="S991" s="368"/>
      <c r="T991" s="368"/>
      <c r="U991" s="368"/>
      <c r="V991" s="368"/>
      <c r="W991" s="26"/>
      <c r="X991" s="26"/>
      <c r="Y991" s="26"/>
      <c r="Z991" s="26"/>
    </row>
    <row r="992">
      <c r="A992" s="368"/>
      <c r="B992" s="368"/>
      <c r="C992" s="368"/>
      <c r="D992" s="368"/>
      <c r="E992" s="368"/>
      <c r="F992" s="368"/>
      <c r="G992" s="368"/>
      <c r="H992" s="368"/>
      <c r="I992" s="368"/>
      <c r="J992" s="368"/>
      <c r="K992" s="368"/>
      <c r="L992" s="368"/>
      <c r="M992" s="368"/>
      <c r="N992" s="368"/>
      <c r="O992" s="368"/>
      <c r="P992" s="368"/>
      <c r="Q992" s="368"/>
      <c r="R992" s="368"/>
      <c r="S992" s="368"/>
      <c r="T992" s="368"/>
      <c r="U992" s="368"/>
      <c r="V992" s="368"/>
      <c r="W992" s="26"/>
      <c r="X992" s="26"/>
      <c r="Y992" s="26"/>
      <c r="Z992" s="26"/>
    </row>
    <row r="993">
      <c r="A993" s="368"/>
      <c r="B993" s="368"/>
      <c r="C993" s="368"/>
      <c r="D993" s="368"/>
      <c r="E993" s="368"/>
      <c r="F993" s="368"/>
      <c r="G993" s="368"/>
      <c r="H993" s="368"/>
      <c r="I993" s="368"/>
      <c r="J993" s="368"/>
      <c r="K993" s="368"/>
      <c r="L993" s="368"/>
      <c r="M993" s="368"/>
      <c r="N993" s="368"/>
      <c r="O993" s="368"/>
      <c r="P993" s="368"/>
      <c r="Q993" s="368"/>
      <c r="R993" s="368"/>
      <c r="S993" s="368"/>
      <c r="T993" s="368"/>
      <c r="U993" s="368"/>
      <c r="V993" s="368"/>
      <c r="W993" s="26"/>
      <c r="X993" s="26"/>
      <c r="Y993" s="26"/>
      <c r="Z993" s="26"/>
    </row>
    <row r="994">
      <c r="A994" s="368"/>
      <c r="B994" s="368"/>
      <c r="C994" s="368"/>
      <c r="D994" s="368"/>
      <c r="E994" s="368"/>
      <c r="F994" s="368"/>
      <c r="G994" s="368"/>
      <c r="H994" s="368"/>
      <c r="I994" s="368"/>
      <c r="J994" s="368"/>
      <c r="K994" s="368"/>
      <c r="L994" s="368"/>
      <c r="M994" s="368"/>
      <c r="N994" s="368"/>
      <c r="O994" s="368"/>
      <c r="P994" s="368"/>
      <c r="Q994" s="368"/>
      <c r="R994" s="368"/>
      <c r="S994" s="368"/>
      <c r="T994" s="368"/>
      <c r="U994" s="368"/>
      <c r="V994" s="368"/>
      <c r="W994" s="26"/>
      <c r="X994" s="26"/>
      <c r="Y994" s="26"/>
      <c r="Z994" s="26"/>
    </row>
    <row r="995">
      <c r="A995" s="368"/>
      <c r="B995" s="368"/>
      <c r="C995" s="368"/>
      <c r="D995" s="368"/>
      <c r="E995" s="368"/>
      <c r="F995" s="368"/>
      <c r="G995" s="368"/>
      <c r="H995" s="368"/>
      <c r="I995" s="368"/>
      <c r="J995" s="368"/>
      <c r="K995" s="368"/>
      <c r="L995" s="368"/>
      <c r="M995" s="368"/>
      <c r="N995" s="368"/>
      <c r="O995" s="368"/>
      <c r="P995" s="368"/>
      <c r="Q995" s="368"/>
      <c r="R995" s="368"/>
      <c r="S995" s="368"/>
      <c r="T995" s="368"/>
      <c r="U995" s="368"/>
      <c r="V995" s="368"/>
      <c r="W995" s="26"/>
      <c r="X995" s="26"/>
      <c r="Y995" s="26"/>
      <c r="Z995" s="26"/>
    </row>
  </sheetData>
  <mergeCells count="44">
    <mergeCell ref="H55:I55"/>
    <mergeCell ref="H56:I56"/>
    <mergeCell ref="H48:I48"/>
    <mergeCell ref="H49:I49"/>
    <mergeCell ref="H50:I50"/>
    <mergeCell ref="H51:I51"/>
    <mergeCell ref="H52:I52"/>
    <mergeCell ref="H53:I53"/>
    <mergeCell ref="H54:I54"/>
    <mergeCell ref="H2:I2"/>
    <mergeCell ref="J2:K2"/>
    <mergeCell ref="P2:Q2"/>
    <mergeCell ref="R2:S2"/>
    <mergeCell ref="B1:O1"/>
    <mergeCell ref="P1:Q1"/>
    <mergeCell ref="R1:S1"/>
    <mergeCell ref="T1:T2"/>
    <mergeCell ref="U1:U2"/>
    <mergeCell ref="V1:V3"/>
    <mergeCell ref="B2:C2"/>
    <mergeCell ref="B24:O24"/>
    <mergeCell ref="B25:C25"/>
    <mergeCell ref="D25:E25"/>
    <mergeCell ref="F25:G25"/>
    <mergeCell ref="H25:I25"/>
    <mergeCell ref="J25:K25"/>
    <mergeCell ref="L25:M25"/>
    <mergeCell ref="N25:O25"/>
    <mergeCell ref="P25:Q25"/>
    <mergeCell ref="R25:S25"/>
    <mergeCell ref="L2:M2"/>
    <mergeCell ref="N2:O2"/>
    <mergeCell ref="P24:Q24"/>
    <mergeCell ref="R24:S24"/>
    <mergeCell ref="T24:T26"/>
    <mergeCell ref="U24:U26"/>
    <mergeCell ref="V24:V26"/>
    <mergeCell ref="D2:E2"/>
    <mergeCell ref="F2:G2"/>
    <mergeCell ref="B46:C46"/>
    <mergeCell ref="H46:I46"/>
    <mergeCell ref="B47:C47"/>
    <mergeCell ref="H47:I47"/>
    <mergeCell ref="B48:C48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2.88"/>
    <col customWidth="1" min="26" max="26" width="22.88"/>
  </cols>
  <sheetData>
    <row r="1">
      <c r="A1" s="48" t="str">
        <f>IFERROR(__xludf.DUMMYFUNCTION("QUERY(IMPORTRANGE(""https://docs.google.com/spreadsheets/d/1Fint4c8RWHcfziIgMl-SRQ3DmPR7xmE2fwvCDcphU1Y/edit?gid=1949423866#gid=1949423866"",""Cảnh báo v2!A:G""),""SELECT * WHERE Col1 = 'TNG'"")"),"Vùng")</f>
        <v>Vùng</v>
      </c>
      <c r="B1" s="48" t="str">
        <f>IFERROR(__xludf.DUMMYFUNCTION("""COMPUTED_VALUE"""),"Tỉnh")</f>
        <v>Tỉnh</v>
      </c>
      <c r="C1" s="48" t="str">
        <f>IFERROR(__xludf.DUMMYFUNCTION("""COMPUTED_VALUE"""),"BC")</f>
        <v>BC</v>
      </c>
      <c r="D1" s="48" t="str">
        <f>IFERROR(__xludf.DUMMYFUNCTION("""COMPUTED_VALUE"""),"Tỷ lệ GTC 7 ngày gần nhất")</f>
        <v>Tỷ lệ GTC 7 ngày gần nhất</v>
      </c>
      <c r="E1" s="48" t="str">
        <f>IFERROR(__xludf.DUMMYFUNCTION("""COMPUTED_VALUE"""),"%GTC tốt nhất")</f>
        <v>%GTC tốt nhất</v>
      </c>
      <c r="F1" s="48" t="str">
        <f>IFERROR(__xludf.DUMMYFUNCTION("""COMPUTED_VALUE"""),"% cần đạt để không cảnh báo")</f>
        <v>% cần đạt để không cảnh báo</v>
      </c>
      <c r="G1" s="48" t="str">
        <f>IFERROR(__xludf.DUMMYFUNCTION("""COMPUTED_VALUE"""),"%GTC cần đạt")</f>
        <v>%GTC cần đạt</v>
      </c>
      <c r="H1" s="397" t="s">
        <v>48</v>
      </c>
      <c r="I1" s="397" t="s">
        <v>49</v>
      </c>
      <c r="M1" s="398">
        <v>-1.0</v>
      </c>
      <c r="N1" s="398">
        <v>0.0</v>
      </c>
      <c r="O1" s="397" t="s">
        <v>50</v>
      </c>
      <c r="R1" s="48" t="str">
        <f t="array" ref="R1:Z63">{A1:I1;SORT(A2:I63,8, TRUE)
}</f>
        <v>Vùng</v>
      </c>
      <c r="S1" s="48" t="s">
        <v>51</v>
      </c>
      <c r="T1" s="48" t="s">
        <v>16</v>
      </c>
      <c r="U1" s="48" t="s">
        <v>52</v>
      </c>
      <c r="V1" s="48" t="s">
        <v>53</v>
      </c>
      <c r="W1" s="48" t="s">
        <v>54</v>
      </c>
      <c r="X1" s="48" t="s">
        <v>55</v>
      </c>
      <c r="Y1" s="48" t="s">
        <v>48</v>
      </c>
      <c r="Z1" s="48" t="s">
        <v>49</v>
      </c>
    </row>
    <row r="2">
      <c r="A2" s="48" t="str">
        <f>IFERROR(__xludf.DUMMYFUNCTION("""COMPUTED_VALUE"""),"TNG")</f>
        <v>TNG</v>
      </c>
      <c r="B2" s="48" t="str">
        <f>IFERROR(__xludf.DUMMYFUNCTION("""COMPUTED_VALUE"""),"Đắk Lắk")</f>
        <v>Đắk Lắk</v>
      </c>
      <c r="C2" s="48" t="str">
        <f>IFERROR(__xludf.DUMMYFUNCTION("""COMPUTED_VALUE"""),"BC 01 An Bình-Ea KNốp-Ea Kar-Đắk Lắk")</f>
        <v>BC 01 An Bình-Ea KNốp-Ea Kar-Đắk Lắk</v>
      </c>
      <c r="D2" s="126">
        <f>IFERROR(__xludf.DUMMYFUNCTION("""COMPUTED_VALUE"""),0.5193945127719962)</f>
        <v>0.5193945128</v>
      </c>
      <c r="E2" s="126">
        <f>IFERROR(__xludf.DUMMYFUNCTION("""COMPUTED_VALUE"""),0.46186)</f>
        <v>0.46186</v>
      </c>
      <c r="F2" s="126">
        <f>IFERROR(__xludf.DUMMYFUNCTION("""COMPUTED_VALUE"""),0.45)</f>
        <v>0.45</v>
      </c>
      <c r="G2" s="126">
        <f>IFERROR(__xludf.DUMMYFUNCTION("""COMPUTED_VALUE"""),0.46186)</f>
        <v>0.46186</v>
      </c>
      <c r="H2" s="126">
        <f t="shared" ref="H2:H63" si="1">D2-G2</f>
        <v>0.05753451277</v>
      </c>
      <c r="I2" s="48" t="str">
        <f t="shared" ref="I2:I63" si="2">VLOOKUP(H2,M$1:O$4,3,1)</f>
        <v>3. Cảnh báo</v>
      </c>
      <c r="M2" s="398">
        <v>0.0</v>
      </c>
      <c r="N2" s="398">
        <v>0.05</v>
      </c>
      <c r="O2" s="397" t="s">
        <v>56</v>
      </c>
      <c r="R2" s="48" t="s">
        <v>57</v>
      </c>
      <c r="S2" s="48" t="s">
        <v>58</v>
      </c>
      <c r="T2" s="48" t="s">
        <v>59</v>
      </c>
      <c r="U2" s="126">
        <v>0.0</v>
      </c>
      <c r="V2" s="126">
        <v>0.4751599999999999</v>
      </c>
      <c r="W2" s="126">
        <v>0.45</v>
      </c>
      <c r="X2" s="126">
        <v>0.4751599999999999</v>
      </c>
      <c r="Y2" s="126">
        <v>-0.4751599999999999</v>
      </c>
      <c r="Z2" s="48" t="s">
        <v>50</v>
      </c>
    </row>
    <row r="3">
      <c r="A3" s="48" t="str">
        <f>IFERROR(__xludf.DUMMYFUNCTION("""COMPUTED_VALUE"""),"TNG")</f>
        <v>TNG</v>
      </c>
      <c r="B3" s="48" t="str">
        <f>IFERROR(__xludf.DUMMYFUNCTION("""COMPUTED_VALUE"""),"Đắk Lắk")</f>
        <v>Đắk Lắk</v>
      </c>
      <c r="C3" s="48" t="str">
        <f>IFERROR(__xludf.DUMMYFUNCTION("""COMPUTED_VALUE"""),"BC 03 Trần Hưng Đạo-Krông Pắc-Đắk Lắk")</f>
        <v>BC 03 Trần Hưng Đạo-Krông Pắc-Đắk Lắk</v>
      </c>
      <c r="D3" s="126">
        <f>IFERROR(__xludf.DUMMYFUNCTION("""COMPUTED_VALUE"""),0.7551288795370857)</f>
        <v>0.7551288795</v>
      </c>
      <c r="E3" s="126">
        <f>IFERROR(__xludf.DUMMYFUNCTION("""COMPUTED_VALUE"""),0.53739)</f>
        <v>0.53739</v>
      </c>
      <c r="F3" s="126">
        <f>IFERROR(__xludf.DUMMYFUNCTION("""COMPUTED_VALUE"""),0.45)</f>
        <v>0.45</v>
      </c>
      <c r="G3" s="126">
        <f>IFERROR(__xludf.DUMMYFUNCTION("""COMPUTED_VALUE"""),0.53739)</f>
        <v>0.53739</v>
      </c>
      <c r="H3" s="126">
        <f t="shared" si="1"/>
        <v>0.2177388795</v>
      </c>
      <c r="I3" s="48" t="str">
        <f t="shared" si="2"/>
        <v>4. An Toàn</v>
      </c>
      <c r="M3" s="398">
        <v>0.05</v>
      </c>
      <c r="N3" s="398">
        <v>0.1</v>
      </c>
      <c r="O3" s="397" t="s">
        <v>60</v>
      </c>
      <c r="R3" s="48" t="s">
        <v>57</v>
      </c>
      <c r="S3" s="48" t="s">
        <v>58</v>
      </c>
      <c r="T3" s="48" t="s">
        <v>61</v>
      </c>
      <c r="U3" s="126">
        <v>0.5118755118755118</v>
      </c>
      <c r="V3" s="126">
        <v>0.49916999999999995</v>
      </c>
      <c r="W3" s="126">
        <v>0.45</v>
      </c>
      <c r="X3" s="126">
        <v>0.49916999999999995</v>
      </c>
      <c r="Y3" s="126">
        <v>0.012705511875511888</v>
      </c>
      <c r="Z3" s="48" t="s">
        <v>56</v>
      </c>
    </row>
    <row r="4">
      <c r="A4" s="48" t="str">
        <f>IFERROR(__xludf.DUMMYFUNCTION("""COMPUTED_VALUE"""),"TNG")</f>
        <v>TNG</v>
      </c>
      <c r="B4" s="48" t="str">
        <f>IFERROR(__xludf.DUMMYFUNCTION("""COMPUTED_VALUE"""),"Đắk Lắk")</f>
        <v>Đắk Lắk</v>
      </c>
      <c r="C4" s="48" t="str">
        <f>IFERROR(__xludf.DUMMYFUNCTION("""COMPUTED_VALUE"""),"BC 09 Quốc Lộ 14-Hoà Phú-Đắk Lắk")</f>
        <v>BC 09 Quốc Lộ 14-Hoà Phú-Đắk Lắk</v>
      </c>
      <c r="D4" s="126">
        <f>IFERROR(__xludf.DUMMYFUNCTION("""COMPUTED_VALUE"""),0.5210569777043765)</f>
        <v>0.5210569777</v>
      </c>
      <c r="E4" s="126"/>
      <c r="F4" s="126">
        <f>IFERROR(__xludf.DUMMYFUNCTION("""COMPUTED_VALUE"""),0.45)</f>
        <v>0.45</v>
      </c>
      <c r="G4" s="126"/>
      <c r="H4" s="126">
        <f t="shared" si="1"/>
        <v>0.5210569777</v>
      </c>
      <c r="I4" s="48" t="str">
        <f t="shared" si="2"/>
        <v>4. An Toàn</v>
      </c>
      <c r="M4" s="398">
        <v>0.1</v>
      </c>
      <c r="N4" s="398">
        <v>1.0</v>
      </c>
      <c r="O4" s="397" t="s">
        <v>62</v>
      </c>
      <c r="R4" s="48" t="s">
        <v>57</v>
      </c>
      <c r="S4" s="48" t="s">
        <v>58</v>
      </c>
      <c r="T4" s="48" t="s">
        <v>63</v>
      </c>
      <c r="U4" s="126">
        <v>0.5187491718563668</v>
      </c>
      <c r="V4" s="126">
        <v>0.48041</v>
      </c>
      <c r="W4" s="126">
        <v>0.45</v>
      </c>
      <c r="X4" s="126">
        <v>0.48041</v>
      </c>
      <c r="Y4" s="126">
        <v>0.038339171856366816</v>
      </c>
      <c r="Z4" s="48" t="s">
        <v>56</v>
      </c>
    </row>
    <row r="5">
      <c r="A5" s="48" t="str">
        <f>IFERROR(__xludf.DUMMYFUNCTION("""COMPUTED_VALUE"""),"TNG")</f>
        <v>TNG</v>
      </c>
      <c r="B5" s="48" t="str">
        <f>IFERROR(__xludf.DUMMYFUNCTION("""COMPUTED_VALUE"""),"Đắk Lắk")</f>
        <v>Đắk Lắk</v>
      </c>
      <c r="C5" s="48" t="str">
        <f>IFERROR(__xludf.DUMMYFUNCTION("""COMPUTED_VALUE"""),"BC 125 Lý Chính Thắng-Buôn Ma Thuột-Đắk Lắk")</f>
        <v>BC 125 Lý Chính Thắng-Buôn Ma Thuột-Đắk Lắk</v>
      </c>
      <c r="D5" s="126">
        <f>IFERROR(__xludf.DUMMYFUNCTION("""COMPUTED_VALUE"""),0.6541301734501116)</f>
        <v>0.6541301735</v>
      </c>
      <c r="E5" s="126">
        <f>IFERROR(__xludf.DUMMYFUNCTION("""COMPUTED_VALUE"""),0.53123)</f>
        <v>0.53123</v>
      </c>
      <c r="F5" s="126">
        <f>IFERROR(__xludf.DUMMYFUNCTION("""COMPUTED_VALUE"""),0.45)</f>
        <v>0.45</v>
      </c>
      <c r="G5" s="126">
        <f>IFERROR(__xludf.DUMMYFUNCTION("""COMPUTED_VALUE"""),0.53123)</f>
        <v>0.53123</v>
      </c>
      <c r="H5" s="126">
        <f t="shared" si="1"/>
        <v>0.1229001735</v>
      </c>
      <c r="I5" s="48" t="str">
        <f t="shared" si="2"/>
        <v>4. An Toàn</v>
      </c>
      <c r="R5" s="48" t="s">
        <v>57</v>
      </c>
      <c r="S5" s="48" t="s">
        <v>58</v>
      </c>
      <c r="T5" s="48" t="s">
        <v>64</v>
      </c>
      <c r="U5" s="126">
        <v>0.5193945127719962</v>
      </c>
      <c r="V5" s="126">
        <v>0.46186</v>
      </c>
      <c r="W5" s="126">
        <v>0.45</v>
      </c>
      <c r="X5" s="126">
        <v>0.46186</v>
      </c>
      <c r="Y5" s="126">
        <v>0.05753451277199623</v>
      </c>
      <c r="Z5" s="48" t="s">
        <v>60</v>
      </c>
    </row>
    <row r="6">
      <c r="A6" s="48" t="str">
        <f>IFERROR(__xludf.DUMMYFUNCTION("""COMPUTED_VALUE"""),"TNG")</f>
        <v>TNG</v>
      </c>
      <c r="B6" s="48" t="str">
        <f>IFERROR(__xludf.DUMMYFUNCTION("""COMPUTED_VALUE"""),"Gia Lai")</f>
        <v>Gia Lai</v>
      </c>
      <c r="C6" s="48" t="str">
        <f>IFERROR(__xludf.DUMMYFUNCTION("""COMPUTED_VALUE"""),"BC 127B Lê Văn Tám-Thị Trấn Kbang-Huyện Kbang-Gia Lai")</f>
        <v>BC 127B Lê Văn Tám-Thị Trấn Kbang-Huyện Kbang-Gia Lai</v>
      </c>
      <c r="D6" s="126">
        <f>IFERROR(__xludf.DUMMYFUNCTION("""COMPUTED_VALUE"""),0.8478128797083839)</f>
        <v>0.8478128797</v>
      </c>
      <c r="E6" s="126">
        <f>IFERROR(__xludf.DUMMYFUNCTION("""COMPUTED_VALUE"""),0.6176799999999999)</f>
        <v>0.61768</v>
      </c>
      <c r="F6" s="126">
        <f>IFERROR(__xludf.DUMMYFUNCTION("""COMPUTED_VALUE"""),0.45)</f>
        <v>0.45</v>
      </c>
      <c r="G6" s="126">
        <f>IFERROR(__xludf.DUMMYFUNCTION("""COMPUTED_VALUE"""),0.6176799999999999)</f>
        <v>0.61768</v>
      </c>
      <c r="H6" s="126">
        <f t="shared" si="1"/>
        <v>0.2301328797</v>
      </c>
      <c r="I6" s="48" t="str">
        <f t="shared" si="2"/>
        <v>4. An Toàn</v>
      </c>
      <c r="R6" s="48" t="s">
        <v>57</v>
      </c>
      <c r="S6" s="48" t="s">
        <v>58</v>
      </c>
      <c r="T6" s="48" t="s">
        <v>65</v>
      </c>
      <c r="U6" s="126">
        <v>0.5819611698205948</v>
      </c>
      <c r="V6" s="126">
        <v>0.5088999999999999</v>
      </c>
      <c r="W6" s="126">
        <v>0.45</v>
      </c>
      <c r="X6" s="126">
        <v>0.5088999999999999</v>
      </c>
      <c r="Y6" s="126">
        <v>0.07306116982059485</v>
      </c>
      <c r="Z6" s="48" t="s">
        <v>60</v>
      </c>
    </row>
    <row r="7">
      <c r="A7" s="48" t="str">
        <f>IFERROR(__xludf.DUMMYFUNCTION("""COMPUTED_VALUE"""),"TNG")</f>
        <v>TNG</v>
      </c>
      <c r="B7" s="48" t="str">
        <f>IFERROR(__xludf.DUMMYFUNCTION("""COMPUTED_VALUE"""),"Đắk Lắk")</f>
        <v>Đắk Lắk</v>
      </c>
      <c r="C7" s="48" t="str">
        <f>IFERROR(__xludf.DUMMYFUNCTION("""COMPUTED_VALUE"""),"BC 132 Hoàng Hoa Thám-Buôn Ma Thuột-Đắk Lắk")</f>
        <v>BC 132 Hoàng Hoa Thám-Buôn Ma Thuột-Đắk Lắk</v>
      </c>
      <c r="D7" s="126">
        <f>IFERROR(__xludf.DUMMYFUNCTION("""COMPUTED_VALUE"""),0.7130727330983659)</f>
        <v>0.7130727331</v>
      </c>
      <c r="E7" s="126">
        <f>IFERROR(__xludf.DUMMYFUNCTION("""COMPUTED_VALUE"""),0.51576)</f>
        <v>0.51576</v>
      </c>
      <c r="F7" s="126">
        <f>IFERROR(__xludf.DUMMYFUNCTION("""COMPUTED_VALUE"""),0.45)</f>
        <v>0.45</v>
      </c>
      <c r="G7" s="126">
        <f>IFERROR(__xludf.DUMMYFUNCTION("""COMPUTED_VALUE"""),0.51576)</f>
        <v>0.51576</v>
      </c>
      <c r="H7" s="126">
        <f t="shared" si="1"/>
        <v>0.1973127331</v>
      </c>
      <c r="I7" s="48" t="str">
        <f t="shared" si="2"/>
        <v>4. An Toàn</v>
      </c>
      <c r="R7" s="48" t="s">
        <v>57</v>
      </c>
      <c r="S7" s="48" t="s">
        <v>58</v>
      </c>
      <c r="T7" s="48" t="s">
        <v>66</v>
      </c>
      <c r="U7" s="126">
        <v>0.5515454377197853</v>
      </c>
      <c r="V7" s="126">
        <v>0.4701199999999999</v>
      </c>
      <c r="W7" s="126">
        <v>0.45</v>
      </c>
      <c r="X7" s="126">
        <v>0.4701199999999999</v>
      </c>
      <c r="Y7" s="126">
        <v>0.08142543771978533</v>
      </c>
      <c r="Z7" s="48" t="s">
        <v>60</v>
      </c>
    </row>
    <row r="8">
      <c r="A8" s="48" t="str">
        <f>IFERROR(__xludf.DUMMYFUNCTION("""COMPUTED_VALUE"""),"TNG")</f>
        <v>TNG</v>
      </c>
      <c r="B8" s="48" t="str">
        <f>IFERROR(__xludf.DUMMYFUNCTION("""COMPUTED_VALUE"""),"Gia Lai")</f>
        <v>Gia Lai</v>
      </c>
      <c r="C8" s="48" t="str">
        <f>IFERROR(__xludf.DUMMYFUNCTION("""COMPUTED_VALUE"""),"BC 138 Hùng Vương-Phú Thiện-Gia Lai")</f>
        <v>BC 138 Hùng Vương-Phú Thiện-Gia Lai</v>
      </c>
      <c r="D8" s="126">
        <f>IFERROR(__xludf.DUMMYFUNCTION("""COMPUTED_VALUE"""),0.7451232977548767)</f>
        <v>0.7451232978</v>
      </c>
      <c r="E8" s="126">
        <f>IFERROR(__xludf.DUMMYFUNCTION("""COMPUTED_VALUE"""),0.5901)</f>
        <v>0.5901</v>
      </c>
      <c r="F8" s="126">
        <f>IFERROR(__xludf.DUMMYFUNCTION("""COMPUTED_VALUE"""),0.45)</f>
        <v>0.45</v>
      </c>
      <c r="G8" s="126">
        <f>IFERROR(__xludf.DUMMYFUNCTION("""COMPUTED_VALUE"""),0.5901)</f>
        <v>0.5901</v>
      </c>
      <c r="H8" s="126">
        <f t="shared" si="1"/>
        <v>0.1550232978</v>
      </c>
      <c r="I8" s="48" t="str">
        <f t="shared" si="2"/>
        <v>4. An Toàn</v>
      </c>
      <c r="R8" s="48" t="s">
        <v>57</v>
      </c>
      <c r="S8" s="48" t="s">
        <v>58</v>
      </c>
      <c r="T8" s="48" t="s">
        <v>67</v>
      </c>
      <c r="U8" s="126">
        <v>0.6191555097837281</v>
      </c>
      <c r="V8" s="126">
        <v>0.53249</v>
      </c>
      <c r="W8" s="126">
        <v>0.45</v>
      </c>
      <c r="X8" s="126">
        <v>0.53249</v>
      </c>
      <c r="Y8" s="126">
        <v>0.08666550978372811</v>
      </c>
      <c r="Z8" s="48" t="s">
        <v>60</v>
      </c>
    </row>
    <row r="9">
      <c r="A9" s="48" t="str">
        <f>IFERROR(__xludf.DUMMYFUNCTION("""COMPUTED_VALUE"""),"TNG")</f>
        <v>TNG</v>
      </c>
      <c r="B9" s="48" t="str">
        <f>IFERROR(__xludf.DUMMYFUNCTION("""COMPUTED_VALUE"""),"Phú Yên")</f>
        <v>Phú Yên</v>
      </c>
      <c r="C9" s="48" t="str">
        <f>IFERROR(__xludf.DUMMYFUNCTION("""COMPUTED_VALUE"""),"BC 138 Trần Phú- Đồng Xuân- Phú Yên")</f>
        <v>BC 138 Trần Phú- Đồng Xuân- Phú Yên</v>
      </c>
      <c r="D9" s="126">
        <f>IFERROR(__xludf.DUMMYFUNCTION("""COMPUTED_VALUE"""),0.7828225501324253)</f>
        <v>0.7828225501</v>
      </c>
      <c r="E9" s="126">
        <f>IFERROR(__xludf.DUMMYFUNCTION("""COMPUTED_VALUE"""),0.56931)</f>
        <v>0.56931</v>
      </c>
      <c r="F9" s="126">
        <f>IFERROR(__xludf.DUMMYFUNCTION("""COMPUTED_VALUE"""),0.45)</f>
        <v>0.45</v>
      </c>
      <c r="G9" s="126">
        <f>IFERROR(__xludf.DUMMYFUNCTION("""COMPUTED_VALUE"""),0.56931)</f>
        <v>0.56931</v>
      </c>
      <c r="H9" s="126">
        <f t="shared" si="1"/>
        <v>0.2135125501</v>
      </c>
      <c r="I9" s="48" t="str">
        <f t="shared" si="2"/>
        <v>4. An Toàn</v>
      </c>
      <c r="R9" s="48" t="s">
        <v>57</v>
      </c>
      <c r="S9" s="48" t="s">
        <v>68</v>
      </c>
      <c r="T9" s="48" t="s">
        <v>69</v>
      </c>
      <c r="U9" s="126">
        <v>0.6593839055502781</v>
      </c>
      <c r="V9" s="126">
        <v>0.56112</v>
      </c>
      <c r="W9" s="126">
        <v>0.45</v>
      </c>
      <c r="X9" s="126">
        <v>0.56112</v>
      </c>
      <c r="Y9" s="126">
        <v>0.0982639055502782</v>
      </c>
      <c r="Z9" s="48" t="s">
        <v>60</v>
      </c>
    </row>
    <row r="10">
      <c r="A10" s="48" t="str">
        <f>IFERROR(__xludf.DUMMYFUNCTION("""COMPUTED_VALUE"""),"TNG")</f>
        <v>TNG</v>
      </c>
      <c r="B10" s="48" t="str">
        <f>IFERROR(__xludf.DUMMYFUNCTION("""COMPUTED_VALUE"""),"Gia Lai")</f>
        <v>Gia Lai</v>
      </c>
      <c r="C10" s="48" t="str">
        <f>IFERROR(__xludf.DUMMYFUNCTION("""COMPUTED_VALUE"""),"BC 15 Hoàng Văn Thụ-An Khê-Gia Lai")</f>
        <v>BC 15 Hoàng Văn Thụ-An Khê-Gia Lai</v>
      </c>
      <c r="D10" s="126">
        <f>IFERROR(__xludf.DUMMYFUNCTION("""COMPUTED_VALUE"""),0.8208344695936733)</f>
        <v>0.8208344696</v>
      </c>
      <c r="E10" s="126">
        <f>IFERROR(__xludf.DUMMYFUNCTION("""COMPUTED_VALUE"""),0.6023499999999999)</f>
        <v>0.60235</v>
      </c>
      <c r="F10" s="126">
        <f>IFERROR(__xludf.DUMMYFUNCTION("""COMPUTED_VALUE"""),0.45)</f>
        <v>0.45</v>
      </c>
      <c r="G10" s="126">
        <f>IFERROR(__xludf.DUMMYFUNCTION("""COMPUTED_VALUE"""),0.6023499999999999)</f>
        <v>0.60235</v>
      </c>
      <c r="H10" s="126">
        <f t="shared" si="1"/>
        <v>0.2184844696</v>
      </c>
      <c r="I10" s="48" t="str">
        <f t="shared" si="2"/>
        <v>4. An Toàn</v>
      </c>
      <c r="R10" s="48" t="s">
        <v>57</v>
      </c>
      <c r="S10" s="48" t="s">
        <v>68</v>
      </c>
      <c r="T10" s="48" t="s">
        <v>70</v>
      </c>
      <c r="U10" s="126">
        <v>0.7093639575971732</v>
      </c>
      <c r="V10" s="126">
        <v>0.6096999999999999</v>
      </c>
      <c r="W10" s="126">
        <v>0.45</v>
      </c>
      <c r="X10" s="126">
        <v>0.6096999999999999</v>
      </c>
      <c r="Y10" s="126">
        <v>0.09966395759717328</v>
      </c>
      <c r="Z10" s="48" t="s">
        <v>60</v>
      </c>
    </row>
    <row r="11">
      <c r="A11" s="48" t="str">
        <f>IFERROR(__xludf.DUMMYFUNCTION("""COMPUTED_VALUE"""),"TNG")</f>
        <v>TNG</v>
      </c>
      <c r="B11" s="48" t="str">
        <f>IFERROR(__xludf.DUMMYFUNCTION("""COMPUTED_VALUE"""),"Gia Lai")</f>
        <v>Gia Lai</v>
      </c>
      <c r="C11" s="48" t="str">
        <f>IFERROR(__xludf.DUMMYFUNCTION("""COMPUTED_VALUE"""),"BC 153 Hùng Vương-Ia Grai-Gia Lai")</f>
        <v>BC 153 Hùng Vương-Ia Grai-Gia Lai</v>
      </c>
      <c r="D11" s="126">
        <f>IFERROR(__xludf.DUMMYFUNCTION("""COMPUTED_VALUE"""),0.7405289492494639)</f>
        <v>0.7405289492</v>
      </c>
      <c r="E11" s="126">
        <f>IFERROR(__xludf.DUMMYFUNCTION("""COMPUTED_VALUE"""),0.60613)</f>
        <v>0.60613</v>
      </c>
      <c r="F11" s="126">
        <f>IFERROR(__xludf.DUMMYFUNCTION("""COMPUTED_VALUE"""),0.45)</f>
        <v>0.45</v>
      </c>
      <c r="G11" s="126">
        <f>IFERROR(__xludf.DUMMYFUNCTION("""COMPUTED_VALUE"""),0.60613)</f>
        <v>0.60613</v>
      </c>
      <c r="H11" s="126">
        <f t="shared" si="1"/>
        <v>0.1343989492</v>
      </c>
      <c r="I11" s="48" t="str">
        <f t="shared" si="2"/>
        <v>4. An Toàn</v>
      </c>
      <c r="R11" s="48" t="s">
        <v>57</v>
      </c>
      <c r="S11" s="48" t="s">
        <v>68</v>
      </c>
      <c r="T11" s="48" t="s">
        <v>71</v>
      </c>
      <c r="U11" s="126">
        <v>0.634466198743997</v>
      </c>
      <c r="V11" s="126">
        <v>0.5326299999999999</v>
      </c>
      <c r="W11" s="126">
        <v>0.45</v>
      </c>
      <c r="X11" s="126">
        <v>0.5326299999999999</v>
      </c>
      <c r="Y11" s="126">
        <v>0.10183619874399708</v>
      </c>
      <c r="Z11" s="48" t="s">
        <v>62</v>
      </c>
    </row>
    <row r="12">
      <c r="A12" s="48" t="str">
        <f>IFERROR(__xludf.DUMMYFUNCTION("""COMPUTED_VALUE"""),"TNG")</f>
        <v>TNG</v>
      </c>
      <c r="B12" s="48" t="str">
        <f>IFERROR(__xludf.DUMMYFUNCTION("""COMPUTED_VALUE"""),"Đắk Lắk")</f>
        <v>Đắk Lắk</v>
      </c>
      <c r="C12" s="48" t="str">
        <f>IFERROR(__xludf.DUMMYFUNCTION("""COMPUTED_VALUE"""),"BC 159 Tân Quảng-EaTóh-Krông Năng-Đắk Lắk")</f>
        <v>BC 159 Tân Quảng-EaTóh-Krông Năng-Đắk Lắk</v>
      </c>
      <c r="D12" s="126">
        <f>IFERROR(__xludf.DUMMYFUNCTION("""COMPUTED_VALUE"""),0.66682156133829)</f>
        <v>0.6668215613</v>
      </c>
      <c r="E12" s="126">
        <f>IFERROR(__xludf.DUMMYFUNCTION("""COMPUTED_VALUE"""),0.50141)</f>
        <v>0.50141</v>
      </c>
      <c r="F12" s="126">
        <f>IFERROR(__xludf.DUMMYFUNCTION("""COMPUTED_VALUE"""),0.45)</f>
        <v>0.45</v>
      </c>
      <c r="G12" s="126">
        <f>IFERROR(__xludf.DUMMYFUNCTION("""COMPUTED_VALUE"""),0.50141)</f>
        <v>0.50141</v>
      </c>
      <c r="H12" s="126">
        <f t="shared" si="1"/>
        <v>0.1654115613</v>
      </c>
      <c r="I12" s="48" t="str">
        <f t="shared" si="2"/>
        <v>4. An Toàn</v>
      </c>
      <c r="R12" s="48" t="s">
        <v>57</v>
      </c>
      <c r="S12" s="48" t="s">
        <v>58</v>
      </c>
      <c r="T12" s="48" t="s">
        <v>72</v>
      </c>
      <c r="U12" s="126">
        <v>0.6956926658905704</v>
      </c>
      <c r="V12" s="126">
        <v>0.58394</v>
      </c>
      <c r="W12" s="126">
        <v>0.45</v>
      </c>
      <c r="X12" s="126">
        <v>0.58394</v>
      </c>
      <c r="Y12" s="126">
        <v>0.11175266589057042</v>
      </c>
      <c r="Z12" s="48" t="s">
        <v>62</v>
      </c>
    </row>
    <row r="13">
      <c r="A13" s="48" t="str">
        <f>IFERROR(__xludf.DUMMYFUNCTION("""COMPUTED_VALUE"""),"TNG")</f>
        <v>TNG</v>
      </c>
      <c r="B13" s="48" t="str">
        <f>IFERROR(__xludf.DUMMYFUNCTION("""COMPUTED_VALUE"""),"Gia Lai")</f>
        <v>Gia Lai</v>
      </c>
      <c r="C13" s="48" t="str">
        <f>IFERROR(__xludf.DUMMYFUNCTION("""COMPUTED_VALUE"""),"BC 172 Hùng Vương-Chư Prông-Gia Lai")</f>
        <v>BC 172 Hùng Vương-Chư Prông-Gia Lai</v>
      </c>
      <c r="D13" s="126">
        <f>IFERROR(__xludf.DUMMYFUNCTION("""COMPUTED_VALUE"""),0.8274787535410765)</f>
        <v>0.8274787535</v>
      </c>
      <c r="E13" s="126">
        <f>IFERROR(__xludf.DUMMYFUNCTION("""COMPUTED_VALUE"""),0.61908)</f>
        <v>0.61908</v>
      </c>
      <c r="F13" s="126">
        <f>IFERROR(__xludf.DUMMYFUNCTION("""COMPUTED_VALUE"""),0.45)</f>
        <v>0.45</v>
      </c>
      <c r="G13" s="126">
        <f>IFERROR(__xludf.DUMMYFUNCTION("""COMPUTED_VALUE"""),0.61908)</f>
        <v>0.61908</v>
      </c>
      <c r="H13" s="126">
        <f t="shared" si="1"/>
        <v>0.2083987535</v>
      </c>
      <c r="I13" s="48" t="str">
        <f t="shared" si="2"/>
        <v>4. An Toàn</v>
      </c>
      <c r="R13" s="48" t="s">
        <v>57</v>
      </c>
      <c r="S13" s="48" t="s">
        <v>58</v>
      </c>
      <c r="T13" s="48" t="s">
        <v>73</v>
      </c>
      <c r="U13" s="126">
        <v>0.6130718954248366</v>
      </c>
      <c r="V13" s="126">
        <v>0.49216999999999994</v>
      </c>
      <c r="W13" s="126">
        <v>0.45</v>
      </c>
      <c r="X13" s="126">
        <v>0.49216999999999994</v>
      </c>
      <c r="Y13" s="126">
        <v>0.1209018954248367</v>
      </c>
      <c r="Z13" s="48" t="s">
        <v>62</v>
      </c>
    </row>
    <row r="14">
      <c r="A14" s="48" t="str">
        <f>IFERROR(__xludf.DUMMYFUNCTION("""COMPUTED_VALUE"""),"TNG")</f>
        <v>TNG</v>
      </c>
      <c r="B14" s="48" t="str">
        <f>IFERROR(__xludf.DUMMYFUNCTION("""COMPUTED_VALUE"""),"Gia Lai")</f>
        <v>Gia Lai</v>
      </c>
      <c r="C14" s="48" t="str">
        <f>IFERROR(__xludf.DUMMYFUNCTION("""COMPUTED_VALUE"""),"BC 172 Quang Trung-Đức Cơ-Gia Lai")</f>
        <v>BC 172 Quang Trung-Đức Cơ-Gia Lai</v>
      </c>
      <c r="D14" s="126">
        <f>IFERROR(__xludf.DUMMYFUNCTION("""COMPUTED_VALUE"""),0.634466198743997)</f>
        <v>0.6344661987</v>
      </c>
      <c r="E14" s="126">
        <f>IFERROR(__xludf.DUMMYFUNCTION("""COMPUTED_VALUE"""),0.5326299999999999)</f>
        <v>0.53263</v>
      </c>
      <c r="F14" s="126">
        <f>IFERROR(__xludf.DUMMYFUNCTION("""COMPUTED_VALUE"""),0.45)</f>
        <v>0.45</v>
      </c>
      <c r="G14" s="126">
        <f>IFERROR(__xludf.DUMMYFUNCTION("""COMPUTED_VALUE"""),0.5326299999999999)</f>
        <v>0.53263</v>
      </c>
      <c r="H14" s="126">
        <f t="shared" si="1"/>
        <v>0.1018361987</v>
      </c>
      <c r="I14" s="48" t="str">
        <f t="shared" si="2"/>
        <v>4. An Toàn</v>
      </c>
      <c r="R14" s="48" t="s">
        <v>57</v>
      </c>
      <c r="S14" s="48" t="s">
        <v>58</v>
      </c>
      <c r="T14" s="48" t="s">
        <v>74</v>
      </c>
      <c r="U14" s="126">
        <v>0.6541301734501116</v>
      </c>
      <c r="V14" s="126">
        <v>0.53123</v>
      </c>
      <c r="W14" s="126">
        <v>0.45</v>
      </c>
      <c r="X14" s="126">
        <v>0.53123</v>
      </c>
      <c r="Y14" s="126">
        <v>0.12290017345011162</v>
      </c>
      <c r="Z14" s="48" t="s">
        <v>62</v>
      </c>
    </row>
    <row r="15">
      <c r="A15" s="48" t="str">
        <f>IFERROR(__xludf.DUMMYFUNCTION("""COMPUTED_VALUE"""),"TNG")</f>
        <v>TNG</v>
      </c>
      <c r="B15" s="48" t="str">
        <f>IFERROR(__xludf.DUMMYFUNCTION("""COMPUTED_VALUE"""),"Đắk Lắk")</f>
        <v>Đắk Lắk</v>
      </c>
      <c r="C15" s="48" t="str">
        <f>IFERROR(__xludf.DUMMYFUNCTION("""COMPUTED_VALUE"""),"BC 204 Trần Hưng Đạo-Buôn Hồ-Đắk Lắk")</f>
        <v>BC 204 Trần Hưng Đạo-Buôn Hồ-Đắk Lắk</v>
      </c>
      <c r="D15" s="126">
        <f>IFERROR(__xludf.DUMMYFUNCTION("""COMPUTED_VALUE"""),0.6130718954248366)</f>
        <v>0.6130718954</v>
      </c>
      <c r="E15" s="126">
        <f>IFERROR(__xludf.DUMMYFUNCTION("""COMPUTED_VALUE"""),0.49216999999999994)</f>
        <v>0.49217</v>
      </c>
      <c r="F15" s="126">
        <f>IFERROR(__xludf.DUMMYFUNCTION("""COMPUTED_VALUE"""),0.45)</f>
        <v>0.45</v>
      </c>
      <c r="G15" s="126">
        <f>IFERROR(__xludf.DUMMYFUNCTION("""COMPUTED_VALUE"""),0.49216999999999994)</f>
        <v>0.49217</v>
      </c>
      <c r="H15" s="126">
        <f t="shared" si="1"/>
        <v>0.1209018954</v>
      </c>
      <c r="I15" s="48" t="str">
        <f t="shared" si="2"/>
        <v>4. An Toàn</v>
      </c>
      <c r="R15" s="48" t="s">
        <v>57</v>
      </c>
      <c r="S15" s="48" t="s">
        <v>68</v>
      </c>
      <c r="T15" s="48" t="s">
        <v>75</v>
      </c>
      <c r="U15" s="126">
        <v>0.7405289492494639</v>
      </c>
      <c r="V15" s="126">
        <v>0.60613</v>
      </c>
      <c r="W15" s="126">
        <v>0.45</v>
      </c>
      <c r="X15" s="126">
        <v>0.60613</v>
      </c>
      <c r="Y15" s="126">
        <v>0.13439894924946394</v>
      </c>
      <c r="Z15" s="48" t="s">
        <v>62</v>
      </c>
    </row>
    <row r="16">
      <c r="A16" s="48" t="str">
        <f>IFERROR(__xludf.DUMMYFUNCTION("""COMPUTED_VALUE"""),"TNG")</f>
        <v>TNG</v>
      </c>
      <c r="B16" s="48" t="str">
        <f>IFERROR(__xludf.DUMMYFUNCTION("""COMPUTED_VALUE"""),"Bình Định")</f>
        <v>Bình Định</v>
      </c>
      <c r="C16" s="48" t="str">
        <f>IFERROR(__xludf.DUMMYFUNCTION("""COMPUTED_VALUE"""),"BC 21 Tây Sơn-Xã Phù Mỹ-Bình Định")</f>
        <v>BC 21 Tây Sơn-Xã Phù Mỹ-Bình Định</v>
      </c>
      <c r="D16" s="126">
        <f>IFERROR(__xludf.DUMMYFUNCTION("""COMPUTED_VALUE"""),0.7833402289339402)</f>
        <v>0.7833402289</v>
      </c>
      <c r="E16" s="126">
        <f>IFERROR(__xludf.DUMMYFUNCTION("""COMPUTED_VALUE"""),0.56007)</f>
        <v>0.56007</v>
      </c>
      <c r="F16" s="126">
        <f>IFERROR(__xludf.DUMMYFUNCTION("""COMPUTED_VALUE"""),0.45)</f>
        <v>0.45</v>
      </c>
      <c r="G16" s="126">
        <f>IFERROR(__xludf.DUMMYFUNCTION("""COMPUTED_VALUE"""),0.56007)</f>
        <v>0.56007</v>
      </c>
      <c r="H16" s="126">
        <f t="shared" si="1"/>
        <v>0.2232702289</v>
      </c>
      <c r="I16" s="48" t="str">
        <f t="shared" si="2"/>
        <v>4. An Toàn</v>
      </c>
      <c r="R16" s="48" t="s">
        <v>57</v>
      </c>
      <c r="S16" s="48" t="s">
        <v>68</v>
      </c>
      <c r="T16" s="48" t="s">
        <v>76</v>
      </c>
      <c r="U16" s="126">
        <v>0.7474273804871695</v>
      </c>
      <c r="V16" s="126">
        <v>0.59402</v>
      </c>
      <c r="W16" s="126">
        <v>0.45</v>
      </c>
      <c r="X16" s="126">
        <v>0.59402</v>
      </c>
      <c r="Y16" s="126">
        <v>0.1534073804871695</v>
      </c>
      <c r="Z16" s="48" t="s">
        <v>62</v>
      </c>
    </row>
    <row r="17">
      <c r="A17" s="48" t="str">
        <f>IFERROR(__xludf.DUMMYFUNCTION("""COMPUTED_VALUE"""),"TNG")</f>
        <v>TNG</v>
      </c>
      <c r="B17" s="48" t="str">
        <f>IFERROR(__xludf.DUMMYFUNCTION("""COMPUTED_VALUE"""),"Đắk Lắk")</f>
        <v>Đắk Lắk</v>
      </c>
      <c r="C17" s="48" t="str">
        <f>IFERROR(__xludf.DUMMYFUNCTION("""COMPUTED_VALUE"""),"BC 225 Phạm Văn Đồng-Buôn Ma Thuột-Đắk Lắk")</f>
        <v>BC 225 Phạm Văn Đồng-Buôn Ma Thuột-Đắk Lắk</v>
      </c>
      <c r="D17" s="126">
        <f>IFERROR(__xludf.DUMMYFUNCTION("""COMPUTED_VALUE"""),0.0)</f>
        <v>0</v>
      </c>
      <c r="E17" s="126">
        <f>IFERROR(__xludf.DUMMYFUNCTION("""COMPUTED_VALUE"""),0.4751599999999999)</f>
        <v>0.47516</v>
      </c>
      <c r="F17" s="126">
        <f>IFERROR(__xludf.DUMMYFUNCTION("""COMPUTED_VALUE"""),0.45)</f>
        <v>0.45</v>
      </c>
      <c r="G17" s="126">
        <f>IFERROR(__xludf.DUMMYFUNCTION("""COMPUTED_VALUE"""),0.4751599999999999)</f>
        <v>0.47516</v>
      </c>
      <c r="H17" s="126">
        <f t="shared" si="1"/>
        <v>-0.47516</v>
      </c>
      <c r="I17" s="48" t="str">
        <f t="shared" si="2"/>
        <v>1. Danh sách cảnh báo OE</v>
      </c>
      <c r="R17" s="48" t="s">
        <v>57</v>
      </c>
      <c r="S17" s="48" t="s">
        <v>68</v>
      </c>
      <c r="T17" s="48" t="s">
        <v>77</v>
      </c>
      <c r="U17" s="126">
        <v>0.7451232977548767</v>
      </c>
      <c r="V17" s="126">
        <v>0.5901</v>
      </c>
      <c r="W17" s="126">
        <v>0.45</v>
      </c>
      <c r="X17" s="126">
        <v>0.5901</v>
      </c>
      <c r="Y17" s="126">
        <v>0.15502329775487678</v>
      </c>
      <c r="Z17" s="48" t="s">
        <v>62</v>
      </c>
    </row>
    <row r="18">
      <c r="A18" s="48" t="str">
        <f>IFERROR(__xludf.DUMMYFUNCTION("""COMPUTED_VALUE"""),"TNG")</f>
        <v>TNG</v>
      </c>
      <c r="B18" s="48" t="str">
        <f>IFERROR(__xludf.DUMMYFUNCTION("""COMPUTED_VALUE"""),"Gia Lai")</f>
        <v>Gia Lai</v>
      </c>
      <c r="C18" s="48" t="str">
        <f>IFERROR(__xludf.DUMMYFUNCTION("""COMPUTED_VALUE"""),"BC 236A Nguyễn Huệ-Đak Đoa-Gia Lai")</f>
        <v>BC 236A Nguyễn Huệ-Đak Đoa-Gia Lai</v>
      </c>
      <c r="D18" s="126">
        <f>IFERROR(__xludf.DUMMYFUNCTION("""COMPUTED_VALUE"""),0.6593839055502781)</f>
        <v>0.6593839056</v>
      </c>
      <c r="E18" s="126">
        <f>IFERROR(__xludf.DUMMYFUNCTION("""COMPUTED_VALUE"""),0.56112)</f>
        <v>0.56112</v>
      </c>
      <c r="F18" s="126">
        <f>IFERROR(__xludf.DUMMYFUNCTION("""COMPUTED_VALUE"""),0.45)</f>
        <v>0.45</v>
      </c>
      <c r="G18" s="126">
        <f>IFERROR(__xludf.DUMMYFUNCTION("""COMPUTED_VALUE"""),0.56112)</f>
        <v>0.56112</v>
      </c>
      <c r="H18" s="126">
        <f t="shared" si="1"/>
        <v>0.09826390555</v>
      </c>
      <c r="I18" s="48" t="str">
        <f t="shared" si="2"/>
        <v>3. Cảnh báo</v>
      </c>
      <c r="R18" s="48" t="s">
        <v>57</v>
      </c>
      <c r="S18" s="48" t="s">
        <v>68</v>
      </c>
      <c r="T18" s="48" t="s">
        <v>78</v>
      </c>
      <c r="U18" s="126">
        <v>0.7647058823529411</v>
      </c>
      <c r="V18" s="126">
        <v>0.6085799999999999</v>
      </c>
      <c r="W18" s="126">
        <v>0.45</v>
      </c>
      <c r="X18" s="126">
        <v>0.6085799999999999</v>
      </c>
      <c r="Y18" s="126">
        <v>0.15612588235294123</v>
      </c>
      <c r="Z18" s="48" t="s">
        <v>62</v>
      </c>
    </row>
    <row r="19">
      <c r="A19" s="48" t="str">
        <f>IFERROR(__xludf.DUMMYFUNCTION("""COMPUTED_VALUE"""),"TNG")</f>
        <v>TNG</v>
      </c>
      <c r="B19" s="48" t="str">
        <f>IFERROR(__xludf.DUMMYFUNCTION("""COMPUTED_VALUE"""),"Đắk Lắk")</f>
        <v>Đắk Lắk</v>
      </c>
      <c r="C19" s="48" t="str">
        <f>IFERROR(__xludf.DUMMYFUNCTION("""COMPUTED_VALUE"""),"BC 245 Hùng Vương-Ea Súp-Đắk Lắk")</f>
        <v>BC 245 Hùng Vương-Ea Súp-Đắk Lắk</v>
      </c>
      <c r="D19" s="126">
        <f>IFERROR(__xludf.DUMMYFUNCTION("""COMPUTED_VALUE"""),0.6956926658905704)</f>
        <v>0.6956926659</v>
      </c>
      <c r="E19" s="126">
        <f>IFERROR(__xludf.DUMMYFUNCTION("""COMPUTED_VALUE"""),0.58394)</f>
        <v>0.58394</v>
      </c>
      <c r="F19" s="126">
        <f>IFERROR(__xludf.DUMMYFUNCTION("""COMPUTED_VALUE"""),0.45)</f>
        <v>0.45</v>
      </c>
      <c r="G19" s="126">
        <f>IFERROR(__xludf.DUMMYFUNCTION("""COMPUTED_VALUE"""),0.58394)</f>
        <v>0.58394</v>
      </c>
      <c r="H19" s="126">
        <f t="shared" si="1"/>
        <v>0.1117526659</v>
      </c>
      <c r="I19" s="48" t="str">
        <f t="shared" si="2"/>
        <v>4. An Toàn</v>
      </c>
      <c r="R19" s="48" t="s">
        <v>57</v>
      </c>
      <c r="S19" s="48" t="s">
        <v>68</v>
      </c>
      <c r="T19" s="48" t="s">
        <v>79</v>
      </c>
      <c r="U19" s="126">
        <v>0.7386018237082067</v>
      </c>
      <c r="V19" s="126">
        <v>0.5760299999999999</v>
      </c>
      <c r="W19" s="126">
        <v>0.45</v>
      </c>
      <c r="X19" s="126">
        <v>0.5760299999999999</v>
      </c>
      <c r="Y19" s="126">
        <v>0.16257182370820678</v>
      </c>
      <c r="Z19" s="48" t="s">
        <v>62</v>
      </c>
    </row>
    <row r="20">
      <c r="A20" s="48" t="str">
        <f>IFERROR(__xludf.DUMMYFUNCTION("""COMPUTED_VALUE"""),"TNG")</f>
        <v>TNG</v>
      </c>
      <c r="B20" s="48" t="str">
        <f>IFERROR(__xludf.DUMMYFUNCTION("""COMPUTED_VALUE"""),"Bình Định")</f>
        <v>Bình Định</v>
      </c>
      <c r="C20" s="48" t="str">
        <f>IFERROR(__xludf.DUMMYFUNCTION("""COMPUTED_VALUE"""),"BC 263 Đống Đa-Quy Nhơn-Bình Định")</f>
        <v>BC 263 Đống Đa-Quy Nhơn-Bình Định</v>
      </c>
      <c r="D20" s="126">
        <f>IFERROR(__xludf.DUMMYFUNCTION("""COMPUTED_VALUE"""),0.7797647058823529)</f>
        <v>0.7797647059</v>
      </c>
      <c r="E20" s="126">
        <f>IFERROR(__xludf.DUMMYFUNCTION("""COMPUTED_VALUE"""),0.5723199999999999)</f>
        <v>0.57232</v>
      </c>
      <c r="F20" s="126">
        <f>IFERROR(__xludf.DUMMYFUNCTION("""COMPUTED_VALUE"""),0.45)</f>
        <v>0.45</v>
      </c>
      <c r="G20" s="126">
        <f>IFERROR(__xludf.DUMMYFUNCTION("""COMPUTED_VALUE"""),0.5723199999999999)</f>
        <v>0.57232</v>
      </c>
      <c r="H20" s="126">
        <f t="shared" si="1"/>
        <v>0.2074447059</v>
      </c>
      <c r="I20" s="48" t="str">
        <f t="shared" si="2"/>
        <v>4. An Toàn</v>
      </c>
      <c r="R20" s="48" t="s">
        <v>57</v>
      </c>
      <c r="S20" s="48" t="s">
        <v>58</v>
      </c>
      <c r="T20" s="48" t="s">
        <v>80</v>
      </c>
      <c r="U20" s="126">
        <v>0.66682156133829</v>
      </c>
      <c r="V20" s="126">
        <v>0.50141</v>
      </c>
      <c r="W20" s="126">
        <v>0.45</v>
      </c>
      <c r="X20" s="126">
        <v>0.50141</v>
      </c>
      <c r="Y20" s="126">
        <v>0.16541156133828994</v>
      </c>
      <c r="Z20" s="48" t="s">
        <v>62</v>
      </c>
    </row>
    <row r="21">
      <c r="A21" s="48" t="str">
        <f>IFERROR(__xludf.DUMMYFUNCTION("""COMPUTED_VALUE"""),"TNG")</f>
        <v>TNG</v>
      </c>
      <c r="B21" s="48" t="str">
        <f>IFERROR(__xludf.DUMMYFUNCTION("""COMPUTED_VALUE"""),"Bình Định")</f>
        <v>Bình Định</v>
      </c>
      <c r="C21" s="48" t="str">
        <f>IFERROR(__xludf.DUMMYFUNCTION("""COMPUTED_VALUE"""),"BC 269 Tây Sơn-Quy Nhơn-Bình Định")</f>
        <v>BC 269 Tây Sơn-Quy Nhơn-Bình Định</v>
      </c>
      <c r="D21" s="126">
        <f>IFERROR(__xludf.DUMMYFUNCTION("""COMPUTED_VALUE"""),0.8537445936717505)</f>
        <v>0.8537445937</v>
      </c>
      <c r="E21" s="126">
        <f>IFERROR(__xludf.DUMMYFUNCTION("""COMPUTED_VALUE"""),0.60753)</f>
        <v>0.60753</v>
      </c>
      <c r="F21" s="126">
        <f>IFERROR(__xludf.DUMMYFUNCTION("""COMPUTED_VALUE"""),0.45)</f>
        <v>0.45</v>
      </c>
      <c r="G21" s="126">
        <f>IFERROR(__xludf.DUMMYFUNCTION("""COMPUTED_VALUE"""),0.60753)</f>
        <v>0.60753</v>
      </c>
      <c r="H21" s="126">
        <f t="shared" si="1"/>
        <v>0.2462145937</v>
      </c>
      <c r="I21" s="48" t="str">
        <f t="shared" si="2"/>
        <v>4. An Toàn</v>
      </c>
      <c r="R21" s="48" t="s">
        <v>57</v>
      </c>
      <c r="S21" s="48" t="s">
        <v>58</v>
      </c>
      <c r="T21" s="48" t="s">
        <v>81</v>
      </c>
      <c r="U21" s="126">
        <v>0.6618130577736027</v>
      </c>
      <c r="V21" s="126">
        <v>0.48488999999999993</v>
      </c>
      <c r="W21" s="126">
        <v>0.45</v>
      </c>
      <c r="X21" s="126">
        <v>0.48488999999999993</v>
      </c>
      <c r="Y21" s="126">
        <v>0.17692305777360273</v>
      </c>
      <c r="Z21" s="48" t="s">
        <v>62</v>
      </c>
    </row>
    <row r="22">
      <c r="A22" s="48" t="str">
        <f>IFERROR(__xludf.DUMMYFUNCTION("""COMPUTED_VALUE"""),"TNG")</f>
        <v>TNG</v>
      </c>
      <c r="B22" s="48" t="str">
        <f>IFERROR(__xludf.DUMMYFUNCTION("""COMPUTED_VALUE"""),"Phú Yên")</f>
        <v>Phú Yên</v>
      </c>
      <c r="C22" s="48" t="str">
        <f>IFERROR(__xludf.DUMMYFUNCTION("""COMPUTED_VALUE"""),"BC 27 Nguyễn Tất Thành-Tuy Hòa-Phú Yên")</f>
        <v>BC 27 Nguyễn Tất Thành-Tuy Hòa-Phú Yên</v>
      </c>
      <c r="D22" s="126">
        <f>IFERROR(__xludf.DUMMYFUNCTION("""COMPUTED_VALUE"""),0.8044412607449857)</f>
        <v>0.8044412607</v>
      </c>
      <c r="E22" s="126">
        <f>IFERROR(__xludf.DUMMYFUNCTION("""COMPUTED_VALUE"""),0.56812)</f>
        <v>0.56812</v>
      </c>
      <c r="F22" s="126">
        <f>IFERROR(__xludf.DUMMYFUNCTION("""COMPUTED_VALUE"""),0.45)</f>
        <v>0.45</v>
      </c>
      <c r="G22" s="126">
        <f>IFERROR(__xludf.DUMMYFUNCTION("""COMPUTED_VALUE"""),0.56812)</f>
        <v>0.56812</v>
      </c>
      <c r="H22" s="126">
        <f t="shared" si="1"/>
        <v>0.2363212607</v>
      </c>
      <c r="I22" s="48" t="str">
        <f t="shared" si="2"/>
        <v>4. An Toàn</v>
      </c>
      <c r="R22" s="48" t="s">
        <v>57</v>
      </c>
      <c r="S22" s="48" t="s">
        <v>68</v>
      </c>
      <c r="T22" s="48" t="s">
        <v>82</v>
      </c>
      <c r="U22" s="126">
        <v>0.7602961591855623</v>
      </c>
      <c r="V22" s="126">
        <v>0.58114</v>
      </c>
      <c r="W22" s="126">
        <v>0.45</v>
      </c>
      <c r="X22" s="126">
        <v>0.58114</v>
      </c>
      <c r="Y22" s="126">
        <v>0.17915615918556227</v>
      </c>
      <c r="Z22" s="48" t="s">
        <v>62</v>
      </c>
    </row>
    <row r="23">
      <c r="A23" s="48" t="str">
        <f>IFERROR(__xludf.DUMMYFUNCTION("""COMPUTED_VALUE"""),"TNG")</f>
        <v>TNG</v>
      </c>
      <c r="B23" s="48" t="str">
        <f>IFERROR(__xludf.DUMMYFUNCTION("""COMPUTED_VALUE"""),"Đắk Lắk")</f>
        <v>Đắk Lắk</v>
      </c>
      <c r="C23" s="48" t="str">
        <f>IFERROR(__xludf.DUMMYFUNCTION("""COMPUTED_VALUE"""),"BC 271 Nguyễn Văn Cừ-Tân Lập-Đắk Lắk")</f>
        <v>BC 271 Nguyễn Văn Cừ-Tân Lập-Đắk Lắk</v>
      </c>
      <c r="D23" s="126">
        <f>IFERROR(__xludf.DUMMYFUNCTION("""COMPUTED_VALUE"""),0.7589456869009584)</f>
        <v>0.7589456869</v>
      </c>
      <c r="E23" s="126"/>
      <c r="F23" s="126">
        <f>IFERROR(__xludf.DUMMYFUNCTION("""COMPUTED_VALUE"""),0.45)</f>
        <v>0.45</v>
      </c>
      <c r="G23" s="126"/>
      <c r="H23" s="126">
        <f t="shared" si="1"/>
        <v>0.7589456869</v>
      </c>
      <c r="I23" s="48" t="str">
        <f t="shared" si="2"/>
        <v>4. An Toàn</v>
      </c>
      <c r="R23" s="48" t="s">
        <v>57</v>
      </c>
      <c r="S23" s="48" t="s">
        <v>58</v>
      </c>
      <c r="T23" s="48" t="s">
        <v>83</v>
      </c>
      <c r="U23" s="126">
        <v>0.6537519142419602</v>
      </c>
      <c r="V23" s="126">
        <v>0.47445999999999994</v>
      </c>
      <c r="W23" s="126">
        <v>0.45</v>
      </c>
      <c r="X23" s="126">
        <v>0.47445999999999994</v>
      </c>
      <c r="Y23" s="126">
        <v>0.17929191424196028</v>
      </c>
      <c r="Z23" s="48" t="s">
        <v>62</v>
      </c>
    </row>
    <row r="24">
      <c r="A24" s="48" t="str">
        <f>IFERROR(__xludf.DUMMYFUNCTION("""COMPUTED_VALUE"""),"TNG")</f>
        <v>TNG</v>
      </c>
      <c r="B24" s="48" t="str">
        <f>IFERROR(__xludf.DUMMYFUNCTION("""COMPUTED_VALUE"""),"Gia Lai")</f>
        <v>Gia Lai</v>
      </c>
      <c r="C24" s="48" t="str">
        <f>IFERROR(__xludf.DUMMYFUNCTION("""COMPUTED_VALUE"""),"BC 274 Hùng Vương-Chư Pưh-Gia Lai")</f>
        <v>BC 274 Hùng Vương-Chư Pưh-Gia Lai</v>
      </c>
      <c r="D24" s="126">
        <f>IFERROR(__xludf.DUMMYFUNCTION("""COMPUTED_VALUE"""),0.7647058823529411)</f>
        <v>0.7647058824</v>
      </c>
      <c r="E24" s="126">
        <f>IFERROR(__xludf.DUMMYFUNCTION("""COMPUTED_VALUE"""),0.6085799999999999)</f>
        <v>0.60858</v>
      </c>
      <c r="F24" s="126">
        <f>IFERROR(__xludf.DUMMYFUNCTION("""COMPUTED_VALUE"""),0.45)</f>
        <v>0.45</v>
      </c>
      <c r="G24" s="126">
        <f>IFERROR(__xludf.DUMMYFUNCTION("""COMPUTED_VALUE"""),0.6085799999999999)</f>
        <v>0.60858</v>
      </c>
      <c r="H24" s="126">
        <f t="shared" si="1"/>
        <v>0.1561258824</v>
      </c>
      <c r="I24" s="48" t="str">
        <f t="shared" si="2"/>
        <v>4. An Toàn</v>
      </c>
      <c r="R24" s="48" t="s">
        <v>57</v>
      </c>
      <c r="S24" s="48" t="s">
        <v>58</v>
      </c>
      <c r="T24" s="48" t="s">
        <v>84</v>
      </c>
      <c r="U24" s="126">
        <v>0.6843455945252352</v>
      </c>
      <c r="V24" s="126">
        <v>0.5041399999999999</v>
      </c>
      <c r="W24" s="126">
        <v>0.45</v>
      </c>
      <c r="X24" s="126">
        <v>0.5041399999999999</v>
      </c>
      <c r="Y24" s="126">
        <v>0.18020559452523532</v>
      </c>
      <c r="Z24" s="48" t="s">
        <v>62</v>
      </c>
    </row>
    <row r="25">
      <c r="A25" s="48" t="str">
        <f>IFERROR(__xludf.DUMMYFUNCTION("""COMPUTED_VALUE"""),"TNG")</f>
        <v>TNG</v>
      </c>
      <c r="B25" s="48" t="str">
        <f>IFERROR(__xludf.DUMMYFUNCTION("""COMPUTED_VALUE"""),"Phú Yên")</f>
        <v>Phú Yên</v>
      </c>
      <c r="C25" s="48" t="str">
        <f>IFERROR(__xludf.DUMMYFUNCTION("""COMPUTED_VALUE"""),"BC 274 Hùng Vương-Tuy Hòa-Phú Yên")</f>
        <v>BC 274 Hùng Vương-Tuy Hòa-Phú Yên</v>
      </c>
      <c r="D25" s="126">
        <f>IFERROR(__xludf.DUMMYFUNCTION("""COMPUTED_VALUE"""),0.7645987616850796)</f>
        <v>0.7645987617</v>
      </c>
      <c r="E25" s="126">
        <f>IFERROR(__xludf.DUMMYFUNCTION("""COMPUTED_VALUE"""),0.54236)</f>
        <v>0.54236</v>
      </c>
      <c r="F25" s="126">
        <f>IFERROR(__xludf.DUMMYFUNCTION("""COMPUTED_VALUE"""),0.45)</f>
        <v>0.45</v>
      </c>
      <c r="G25" s="126">
        <f>IFERROR(__xludf.DUMMYFUNCTION("""COMPUTED_VALUE"""),0.54236)</f>
        <v>0.54236</v>
      </c>
      <c r="H25" s="126">
        <f t="shared" si="1"/>
        <v>0.2222387617</v>
      </c>
      <c r="I25" s="48" t="str">
        <f t="shared" si="2"/>
        <v>4. An Toàn</v>
      </c>
      <c r="R25" s="48" t="s">
        <v>57</v>
      </c>
      <c r="S25" s="48" t="s">
        <v>68</v>
      </c>
      <c r="T25" s="48" t="s">
        <v>85</v>
      </c>
      <c r="U25" s="126">
        <v>0.7578073089700996</v>
      </c>
      <c r="V25" s="126">
        <v>0.5719</v>
      </c>
      <c r="W25" s="126">
        <v>0.45</v>
      </c>
      <c r="X25" s="126">
        <v>0.5719</v>
      </c>
      <c r="Y25" s="126">
        <v>0.18590730897009966</v>
      </c>
      <c r="Z25" s="48" t="s">
        <v>62</v>
      </c>
    </row>
    <row r="26">
      <c r="A26" s="48" t="str">
        <f>IFERROR(__xludf.DUMMYFUNCTION("""COMPUTED_VALUE"""),"TNG")</f>
        <v>TNG</v>
      </c>
      <c r="B26" s="48" t="str">
        <f>IFERROR(__xludf.DUMMYFUNCTION("""COMPUTED_VALUE"""),"Đắk Lắk")</f>
        <v>Đắk Lắk</v>
      </c>
      <c r="C26" s="48" t="str">
        <f>IFERROR(__xludf.DUMMYFUNCTION("""COMPUTED_VALUE"""),"BC 297 Hùng Vương-CưMgar-Đắk Lắk")</f>
        <v>BC 297 Hùng Vương-CưMgar-Đắk Lắk</v>
      </c>
      <c r="D26" s="126">
        <f>IFERROR(__xludf.DUMMYFUNCTION("""COMPUTED_VALUE"""),0.7318196086638067)</f>
        <v>0.7318196087</v>
      </c>
      <c r="E26" s="126">
        <f>IFERROR(__xludf.DUMMYFUNCTION("""COMPUTED_VALUE"""),0.52073)</f>
        <v>0.52073</v>
      </c>
      <c r="F26" s="126">
        <f>IFERROR(__xludf.DUMMYFUNCTION("""COMPUTED_VALUE"""),0.45)</f>
        <v>0.45</v>
      </c>
      <c r="G26" s="126">
        <f>IFERROR(__xludf.DUMMYFUNCTION("""COMPUTED_VALUE"""),0.52073)</f>
        <v>0.52073</v>
      </c>
      <c r="H26" s="126">
        <f t="shared" si="1"/>
        <v>0.2110896087</v>
      </c>
      <c r="I26" s="48" t="str">
        <f t="shared" si="2"/>
        <v>4. An Toàn</v>
      </c>
      <c r="R26" s="48" t="s">
        <v>57</v>
      </c>
      <c r="S26" s="48" t="s">
        <v>86</v>
      </c>
      <c r="T26" s="48" t="s">
        <v>87</v>
      </c>
      <c r="U26" s="126">
        <v>0.7717883418222977</v>
      </c>
      <c r="V26" s="126">
        <v>0.57771</v>
      </c>
      <c r="W26" s="126">
        <v>0.45</v>
      </c>
      <c r="X26" s="126">
        <v>0.57771</v>
      </c>
      <c r="Y26" s="126">
        <v>0.19407834182229777</v>
      </c>
      <c r="Z26" s="48" t="s">
        <v>62</v>
      </c>
    </row>
    <row r="27">
      <c r="A27" s="48" t="str">
        <f>IFERROR(__xludf.DUMMYFUNCTION("""COMPUTED_VALUE"""),"TNG")</f>
        <v>TNG</v>
      </c>
      <c r="B27" s="48" t="str">
        <f>IFERROR(__xludf.DUMMYFUNCTION("""COMPUTED_VALUE"""),"Gia Lai")</f>
        <v>Gia Lai</v>
      </c>
      <c r="C27" s="48" t="str">
        <f>IFERROR(__xludf.DUMMYFUNCTION("""COMPUTED_VALUE"""),"BC 327A Cách Mạng Tháng 8-Pleiku-Gia Lai")</f>
        <v>BC 327A Cách Mạng Tháng 8-Pleiku-Gia Lai</v>
      </c>
      <c r="D27" s="126">
        <f>IFERROR(__xludf.DUMMYFUNCTION("""COMPUTED_VALUE"""),0.7602961591855623)</f>
        <v>0.7602961592</v>
      </c>
      <c r="E27" s="126">
        <f>IFERROR(__xludf.DUMMYFUNCTION("""COMPUTED_VALUE"""),0.58114)</f>
        <v>0.58114</v>
      </c>
      <c r="F27" s="126">
        <f>IFERROR(__xludf.DUMMYFUNCTION("""COMPUTED_VALUE"""),0.45)</f>
        <v>0.45</v>
      </c>
      <c r="G27" s="126">
        <f>IFERROR(__xludf.DUMMYFUNCTION("""COMPUTED_VALUE"""),0.58114)</f>
        <v>0.58114</v>
      </c>
      <c r="H27" s="126">
        <f t="shared" si="1"/>
        <v>0.1791561592</v>
      </c>
      <c r="I27" s="48" t="str">
        <f t="shared" si="2"/>
        <v>4. An Toàn</v>
      </c>
      <c r="R27" s="48" t="s">
        <v>57</v>
      </c>
      <c r="S27" s="48" t="s">
        <v>58</v>
      </c>
      <c r="T27" s="48" t="s">
        <v>88</v>
      </c>
      <c r="U27" s="126">
        <v>0.6541254125412541</v>
      </c>
      <c r="V27" s="126">
        <v>0.4582899999999999</v>
      </c>
      <c r="W27" s="126">
        <v>0.45</v>
      </c>
      <c r="X27" s="126">
        <v>0.4582899999999999</v>
      </c>
      <c r="Y27" s="126">
        <v>0.1958354125412542</v>
      </c>
      <c r="Z27" s="48" t="s">
        <v>62</v>
      </c>
    </row>
    <row r="28">
      <c r="A28" s="48" t="str">
        <f>IFERROR(__xludf.DUMMYFUNCTION("""COMPUTED_VALUE"""),"TNG")</f>
        <v>TNG</v>
      </c>
      <c r="B28" s="48" t="str">
        <f>IFERROR(__xludf.DUMMYFUNCTION("""COMPUTED_VALUE"""),"Đắk Lắk")</f>
        <v>Đắk Lắk</v>
      </c>
      <c r="C28" s="48" t="str">
        <f>IFERROR(__xludf.DUMMYFUNCTION("""COMPUTED_VALUE"""),"BC 34 Quang Trung-Eakar-Đắk Lắk")</f>
        <v>BC 34 Quang Trung-Eakar-Đắk Lắk</v>
      </c>
      <c r="D28" s="126">
        <f>IFERROR(__xludf.DUMMYFUNCTION("""COMPUTED_VALUE"""),0.5187491718563668)</f>
        <v>0.5187491719</v>
      </c>
      <c r="E28" s="126">
        <f>IFERROR(__xludf.DUMMYFUNCTION("""COMPUTED_VALUE"""),0.48041)</f>
        <v>0.48041</v>
      </c>
      <c r="F28" s="126">
        <f>IFERROR(__xludf.DUMMYFUNCTION("""COMPUTED_VALUE"""),0.45)</f>
        <v>0.45</v>
      </c>
      <c r="G28" s="126">
        <f>IFERROR(__xludf.DUMMYFUNCTION("""COMPUTED_VALUE"""),0.48041)</f>
        <v>0.48041</v>
      </c>
      <c r="H28" s="126">
        <f t="shared" si="1"/>
        <v>0.03833917186</v>
      </c>
      <c r="I28" s="48" t="str">
        <f t="shared" si="2"/>
        <v>2. Nguy hiểm</v>
      </c>
      <c r="R28" s="48" t="s">
        <v>57</v>
      </c>
      <c r="S28" s="48" t="s">
        <v>58</v>
      </c>
      <c r="T28" s="48" t="s">
        <v>89</v>
      </c>
      <c r="U28" s="126">
        <v>0.7037854889589905</v>
      </c>
      <c r="V28" s="126">
        <v>0.5068699999999999</v>
      </c>
      <c r="W28" s="126">
        <v>0.45</v>
      </c>
      <c r="X28" s="126">
        <v>0.5068699999999999</v>
      </c>
      <c r="Y28" s="126">
        <v>0.19691548895899058</v>
      </c>
      <c r="Z28" s="48" t="s">
        <v>62</v>
      </c>
    </row>
    <row r="29">
      <c r="A29" s="48" t="str">
        <f>IFERROR(__xludf.DUMMYFUNCTION("""COMPUTED_VALUE"""),"TNG")</f>
        <v>TNG</v>
      </c>
      <c r="B29" s="48" t="str">
        <f>IFERROR(__xludf.DUMMYFUNCTION("""COMPUTED_VALUE"""),"Gia Lai")</f>
        <v>Gia Lai</v>
      </c>
      <c r="C29" s="48" t="str">
        <f>IFERROR(__xludf.DUMMYFUNCTION("""COMPUTED_VALUE"""),"BC 39 Nguyễn Huệ-Ayun Pa-Gia Lai")</f>
        <v>BC 39 Nguyễn Huệ-Ayun Pa-Gia Lai</v>
      </c>
      <c r="D29" s="126">
        <f>IFERROR(__xludf.DUMMYFUNCTION("""COMPUTED_VALUE"""),0.7093639575971732)</f>
        <v>0.7093639576</v>
      </c>
      <c r="E29" s="126">
        <f>IFERROR(__xludf.DUMMYFUNCTION("""COMPUTED_VALUE"""),0.6096999999999999)</f>
        <v>0.6097</v>
      </c>
      <c r="F29" s="126">
        <f>IFERROR(__xludf.DUMMYFUNCTION("""COMPUTED_VALUE"""),0.45)</f>
        <v>0.45</v>
      </c>
      <c r="G29" s="126">
        <f>IFERROR(__xludf.DUMMYFUNCTION("""COMPUTED_VALUE"""),0.6096999999999999)</f>
        <v>0.6097</v>
      </c>
      <c r="H29" s="126">
        <f t="shared" si="1"/>
        <v>0.0996639576</v>
      </c>
      <c r="I29" s="48" t="str">
        <f t="shared" si="2"/>
        <v>3. Cảnh báo</v>
      </c>
      <c r="R29" s="48" t="s">
        <v>57</v>
      </c>
      <c r="S29" s="48" t="s">
        <v>58</v>
      </c>
      <c r="T29" s="48" t="s">
        <v>90</v>
      </c>
      <c r="U29" s="126">
        <v>0.7130727330983659</v>
      </c>
      <c r="V29" s="126">
        <v>0.51576</v>
      </c>
      <c r="W29" s="126">
        <v>0.45</v>
      </c>
      <c r="X29" s="126">
        <v>0.51576</v>
      </c>
      <c r="Y29" s="126">
        <v>0.19731273309836594</v>
      </c>
      <c r="Z29" s="48" t="s">
        <v>62</v>
      </c>
    </row>
    <row r="30">
      <c r="A30" s="48" t="str">
        <f>IFERROR(__xludf.DUMMYFUNCTION("""COMPUTED_VALUE"""),"TNG")</f>
        <v>TNG</v>
      </c>
      <c r="B30" s="48" t="str">
        <f>IFERROR(__xludf.DUMMYFUNCTION("""COMPUTED_VALUE"""),"Bình Định")</f>
        <v>Bình Định</v>
      </c>
      <c r="C30" s="48" t="str">
        <f>IFERROR(__xludf.DUMMYFUNCTION("""COMPUTED_VALUE"""),"BC 396 Âu Cơ-Bùi Thị Xuân-Quy Nhơn-Bình Định")</f>
        <v>BC 396 Âu Cơ-Bùi Thị Xuân-Quy Nhơn-Bình Định</v>
      </c>
      <c r="D30" s="126">
        <f>IFERROR(__xludf.DUMMYFUNCTION("""COMPUTED_VALUE"""),0.8107483386304536)</f>
        <v>0.8107483386</v>
      </c>
      <c r="E30" s="126">
        <f>IFERROR(__xludf.DUMMYFUNCTION("""COMPUTED_VALUE"""),0.59318)</f>
        <v>0.59318</v>
      </c>
      <c r="F30" s="126">
        <f>IFERROR(__xludf.DUMMYFUNCTION("""COMPUTED_VALUE"""),0.45)</f>
        <v>0.45</v>
      </c>
      <c r="G30" s="126">
        <f>IFERROR(__xludf.DUMMYFUNCTION("""COMPUTED_VALUE"""),0.59318)</f>
        <v>0.59318</v>
      </c>
      <c r="H30" s="126">
        <f t="shared" si="1"/>
        <v>0.2175683386</v>
      </c>
      <c r="I30" s="48" t="str">
        <f t="shared" si="2"/>
        <v>4. An Toàn</v>
      </c>
      <c r="R30" s="48" t="s">
        <v>57</v>
      </c>
      <c r="S30" s="48" t="s">
        <v>91</v>
      </c>
      <c r="T30" s="48" t="s">
        <v>92</v>
      </c>
      <c r="U30" s="126">
        <v>0.7714831317632082</v>
      </c>
      <c r="V30" s="126">
        <v>0.5701499999999999</v>
      </c>
      <c r="W30" s="126">
        <v>0.45</v>
      </c>
      <c r="X30" s="126">
        <v>0.5701499999999999</v>
      </c>
      <c r="Y30" s="126">
        <v>0.20133313176320822</v>
      </c>
      <c r="Z30" s="48" t="s">
        <v>62</v>
      </c>
    </row>
    <row r="31">
      <c r="A31" s="48" t="str">
        <f>IFERROR(__xludf.DUMMYFUNCTION("""COMPUTED_VALUE"""),"TNG")</f>
        <v>TNG</v>
      </c>
      <c r="B31" s="48" t="str">
        <f>IFERROR(__xludf.DUMMYFUNCTION("""COMPUTED_VALUE"""),"Gia Lai")</f>
        <v>Gia Lai</v>
      </c>
      <c r="C31" s="48" t="str">
        <f>IFERROR(__xludf.DUMMYFUNCTION("""COMPUTED_VALUE"""),"BC 414 Trần Hưng Đạo-Mang Yang-Gia Lai")</f>
        <v>BC 414 Trần Hưng Đạo-Mang Yang-Gia Lai</v>
      </c>
      <c r="D31" s="126">
        <f>IFERROR(__xludf.DUMMYFUNCTION("""COMPUTED_VALUE"""),0.7578073089700996)</f>
        <v>0.757807309</v>
      </c>
      <c r="E31" s="126">
        <f>IFERROR(__xludf.DUMMYFUNCTION("""COMPUTED_VALUE"""),0.5719)</f>
        <v>0.5719</v>
      </c>
      <c r="F31" s="126">
        <f>IFERROR(__xludf.DUMMYFUNCTION("""COMPUTED_VALUE"""),0.45)</f>
        <v>0.45</v>
      </c>
      <c r="G31" s="126">
        <f>IFERROR(__xludf.DUMMYFUNCTION("""COMPUTED_VALUE"""),0.5719)</f>
        <v>0.5719</v>
      </c>
      <c r="H31" s="126">
        <f t="shared" si="1"/>
        <v>0.185907309</v>
      </c>
      <c r="I31" s="48" t="str">
        <f t="shared" si="2"/>
        <v>4. An Toàn</v>
      </c>
      <c r="R31" s="48" t="s">
        <v>57</v>
      </c>
      <c r="S31" s="48" t="s">
        <v>58</v>
      </c>
      <c r="T31" s="48" t="s">
        <v>93</v>
      </c>
      <c r="U31" s="126">
        <v>0.731536189069424</v>
      </c>
      <c r="V31" s="126">
        <v>0.52731</v>
      </c>
      <c r="W31" s="126">
        <v>0.45</v>
      </c>
      <c r="X31" s="126">
        <v>0.52731</v>
      </c>
      <c r="Y31" s="126">
        <v>0.20422618906942402</v>
      </c>
      <c r="Z31" s="48" t="s">
        <v>62</v>
      </c>
    </row>
    <row r="32">
      <c r="A32" s="48" t="str">
        <f>IFERROR(__xludf.DUMMYFUNCTION("""COMPUTED_VALUE"""),"TNG")</f>
        <v>TNG</v>
      </c>
      <c r="B32" s="48" t="str">
        <f>IFERROR(__xludf.DUMMYFUNCTION("""COMPUTED_VALUE"""),"Bình Định")</f>
        <v>Bình Định</v>
      </c>
      <c r="C32" s="48" t="str">
        <f>IFERROR(__xludf.DUMMYFUNCTION("""COMPUTED_VALUE"""),"BC 44 Quang Trung-Tây Sơn-Bình Định")</f>
        <v>BC 44 Quang Trung-Tây Sơn-Bình Định</v>
      </c>
      <c r="D32" s="126">
        <f>IFERROR(__xludf.DUMMYFUNCTION("""COMPUTED_VALUE"""),0.7889510742011193)</f>
        <v>0.7889510742</v>
      </c>
      <c r="E32" s="126">
        <f>IFERROR(__xludf.DUMMYFUNCTION("""COMPUTED_VALUE"""),0.57134)</f>
        <v>0.57134</v>
      </c>
      <c r="F32" s="126">
        <f>IFERROR(__xludf.DUMMYFUNCTION("""COMPUTED_VALUE"""),0.45)</f>
        <v>0.45</v>
      </c>
      <c r="G32" s="126">
        <f>IFERROR(__xludf.DUMMYFUNCTION("""COMPUTED_VALUE"""),0.57134)</f>
        <v>0.57134</v>
      </c>
      <c r="H32" s="126">
        <f t="shared" si="1"/>
        <v>0.2176110742</v>
      </c>
      <c r="I32" s="48" t="str">
        <f t="shared" si="2"/>
        <v>4. An Toàn</v>
      </c>
      <c r="R32" s="48" t="s">
        <v>57</v>
      </c>
      <c r="S32" s="48" t="s">
        <v>91</v>
      </c>
      <c r="T32" s="48" t="s">
        <v>94</v>
      </c>
      <c r="U32" s="126">
        <v>0.8032972361402941</v>
      </c>
      <c r="V32" s="126">
        <v>0.59745</v>
      </c>
      <c r="W32" s="126">
        <v>0.45</v>
      </c>
      <c r="X32" s="126">
        <v>0.59745</v>
      </c>
      <c r="Y32" s="126">
        <v>0.2058472361402941</v>
      </c>
      <c r="Z32" s="48" t="s">
        <v>62</v>
      </c>
    </row>
    <row r="33">
      <c r="A33" s="48" t="str">
        <f>IFERROR(__xludf.DUMMYFUNCTION("""COMPUTED_VALUE"""),"TNG")</f>
        <v>TNG</v>
      </c>
      <c r="B33" s="48" t="str">
        <f>IFERROR(__xludf.DUMMYFUNCTION("""COMPUTED_VALUE"""),"Gia Lai")</f>
        <v>Gia Lai</v>
      </c>
      <c r="C33" s="48" t="str">
        <f>IFERROR(__xludf.DUMMYFUNCTION("""COMPUTED_VALUE"""),"BC 499 Phạm Văn Đồng-Pleiku-Gia Lai")</f>
        <v>BC 499 Phạm Văn Đồng-Pleiku-Gia Lai</v>
      </c>
      <c r="D33" s="126">
        <f>IFERROR(__xludf.DUMMYFUNCTION("""COMPUTED_VALUE"""),0.7474273804871695)</f>
        <v>0.7474273805</v>
      </c>
      <c r="E33" s="126">
        <f>IFERROR(__xludf.DUMMYFUNCTION("""COMPUTED_VALUE"""),0.59402)</f>
        <v>0.59402</v>
      </c>
      <c r="F33" s="126">
        <f>IFERROR(__xludf.DUMMYFUNCTION("""COMPUTED_VALUE"""),0.45)</f>
        <v>0.45</v>
      </c>
      <c r="G33" s="126">
        <f>IFERROR(__xludf.DUMMYFUNCTION("""COMPUTED_VALUE"""),0.59402)</f>
        <v>0.59402</v>
      </c>
      <c r="H33" s="126">
        <f t="shared" si="1"/>
        <v>0.1534073805</v>
      </c>
      <c r="I33" s="48" t="str">
        <f t="shared" si="2"/>
        <v>4. An Toàn</v>
      </c>
      <c r="R33" s="48" t="s">
        <v>57</v>
      </c>
      <c r="S33" s="48" t="s">
        <v>86</v>
      </c>
      <c r="T33" s="48" t="s">
        <v>95</v>
      </c>
      <c r="U33" s="126">
        <v>0.7797647058823529</v>
      </c>
      <c r="V33" s="126">
        <v>0.5723199999999999</v>
      </c>
      <c r="W33" s="126">
        <v>0.45</v>
      </c>
      <c r="X33" s="126">
        <v>0.5723199999999999</v>
      </c>
      <c r="Y33" s="126">
        <v>0.20744470588235298</v>
      </c>
      <c r="Z33" s="48" t="s">
        <v>62</v>
      </c>
    </row>
    <row r="34">
      <c r="A34" s="48" t="str">
        <f>IFERROR(__xludf.DUMMYFUNCTION("""COMPUTED_VALUE"""),"TNG")</f>
        <v>TNG</v>
      </c>
      <c r="B34" s="48" t="str">
        <f>IFERROR(__xludf.DUMMYFUNCTION("""COMPUTED_VALUE"""),"Gia Lai")</f>
        <v>Gia Lai</v>
      </c>
      <c r="C34" s="48" t="str">
        <f>IFERROR(__xludf.DUMMYFUNCTION("""COMPUTED_VALUE"""),"BC 56 Đường 17 Tháng 3-Chư Sê-Gia Lai")</f>
        <v>BC 56 Đường 17 Tháng 3-Chư Sê-Gia Lai</v>
      </c>
      <c r="D34" s="126">
        <f>IFERROR(__xludf.DUMMYFUNCTION("""COMPUTED_VALUE"""),0.7386018237082067)</f>
        <v>0.7386018237</v>
      </c>
      <c r="E34" s="126">
        <f>IFERROR(__xludf.DUMMYFUNCTION("""COMPUTED_VALUE"""),0.5760299999999999)</f>
        <v>0.57603</v>
      </c>
      <c r="F34" s="126">
        <f>IFERROR(__xludf.DUMMYFUNCTION("""COMPUTED_VALUE"""),0.45)</f>
        <v>0.45</v>
      </c>
      <c r="G34" s="126">
        <f>IFERROR(__xludf.DUMMYFUNCTION("""COMPUTED_VALUE"""),0.5760299999999999)</f>
        <v>0.57603</v>
      </c>
      <c r="H34" s="126">
        <f t="shared" si="1"/>
        <v>0.1625718237</v>
      </c>
      <c r="I34" s="48" t="str">
        <f t="shared" si="2"/>
        <v>4. An Toàn</v>
      </c>
      <c r="R34" s="48" t="s">
        <v>57</v>
      </c>
      <c r="S34" s="48" t="s">
        <v>68</v>
      </c>
      <c r="T34" s="48" t="s">
        <v>96</v>
      </c>
      <c r="U34" s="126">
        <v>0.7891663963671748</v>
      </c>
      <c r="V34" s="126">
        <v>0.58163</v>
      </c>
      <c r="W34" s="126">
        <v>0.45</v>
      </c>
      <c r="X34" s="126">
        <v>0.58163</v>
      </c>
      <c r="Y34" s="126">
        <v>0.2075363963671748</v>
      </c>
      <c r="Z34" s="48" t="s">
        <v>62</v>
      </c>
    </row>
    <row r="35">
      <c r="A35" s="48" t="str">
        <f>IFERROR(__xludf.DUMMYFUNCTION("""COMPUTED_VALUE"""),"TNG")</f>
        <v>TNG</v>
      </c>
      <c r="B35" s="48" t="str">
        <f>IFERROR(__xludf.DUMMYFUNCTION("""COMPUTED_VALUE"""),"Bình Định")</f>
        <v>Bình Định</v>
      </c>
      <c r="C35" s="48" t="str">
        <f>IFERROR(__xludf.DUMMYFUNCTION("""COMPUTED_VALUE"""),"BC 565 Trần Phú-Tuy Phước-Bình Định")</f>
        <v>BC 565 Trần Phú-Tuy Phước-Bình Định</v>
      </c>
      <c r="D35" s="126">
        <f>IFERROR(__xludf.DUMMYFUNCTION("""COMPUTED_VALUE"""),0.7717883418222977)</f>
        <v>0.7717883418</v>
      </c>
      <c r="E35" s="126">
        <f>IFERROR(__xludf.DUMMYFUNCTION("""COMPUTED_VALUE"""),0.57771)</f>
        <v>0.57771</v>
      </c>
      <c r="F35" s="126">
        <f>IFERROR(__xludf.DUMMYFUNCTION("""COMPUTED_VALUE"""),0.45)</f>
        <v>0.45</v>
      </c>
      <c r="G35" s="126">
        <f>IFERROR(__xludf.DUMMYFUNCTION("""COMPUTED_VALUE"""),0.57771)</f>
        <v>0.57771</v>
      </c>
      <c r="H35" s="126">
        <f t="shared" si="1"/>
        <v>0.1940783418</v>
      </c>
      <c r="I35" s="48" t="str">
        <f t="shared" si="2"/>
        <v>4. An Toàn</v>
      </c>
      <c r="R35" s="48" t="s">
        <v>57</v>
      </c>
      <c r="S35" s="48" t="s">
        <v>68</v>
      </c>
      <c r="T35" s="48" t="s">
        <v>97</v>
      </c>
      <c r="U35" s="126">
        <v>0.8274787535410765</v>
      </c>
      <c r="V35" s="126">
        <v>0.61908</v>
      </c>
      <c r="W35" s="126">
        <v>0.45</v>
      </c>
      <c r="X35" s="126">
        <v>0.61908</v>
      </c>
      <c r="Y35" s="126">
        <v>0.2083987535410765</v>
      </c>
      <c r="Z35" s="48" t="s">
        <v>62</v>
      </c>
    </row>
    <row r="36">
      <c r="A36" s="48" t="str">
        <f>IFERROR(__xludf.DUMMYFUNCTION("""COMPUTED_VALUE"""),"TNG")</f>
        <v>TNG</v>
      </c>
      <c r="B36" s="48" t="str">
        <f>IFERROR(__xludf.DUMMYFUNCTION("""COMPUTED_VALUE"""),"Gia Lai")</f>
        <v>Gia Lai</v>
      </c>
      <c r="C36" s="48" t="str">
        <f>IFERROR(__xludf.DUMMYFUNCTION("""COMPUTED_VALUE"""),"BC 569 Trường Chinh-Pleiku-Gia Lai")</f>
        <v>BC 569 Trường Chinh-Pleiku-Gia Lai</v>
      </c>
      <c r="D36" s="126">
        <f>IFERROR(__xludf.DUMMYFUNCTION("""COMPUTED_VALUE"""),0.7979623824451411)</f>
        <v>0.7979623824</v>
      </c>
      <c r="E36" s="126">
        <f>IFERROR(__xludf.DUMMYFUNCTION("""COMPUTED_VALUE"""),0.58114)</f>
        <v>0.58114</v>
      </c>
      <c r="F36" s="126">
        <f>IFERROR(__xludf.DUMMYFUNCTION("""COMPUTED_VALUE"""),0.45)</f>
        <v>0.45</v>
      </c>
      <c r="G36" s="126">
        <f>IFERROR(__xludf.DUMMYFUNCTION("""COMPUTED_VALUE"""),0.58114)</f>
        <v>0.58114</v>
      </c>
      <c r="H36" s="126">
        <f t="shared" si="1"/>
        <v>0.2168223824</v>
      </c>
      <c r="I36" s="48" t="str">
        <f t="shared" si="2"/>
        <v>4. An Toàn</v>
      </c>
      <c r="R36" s="48" t="s">
        <v>57</v>
      </c>
      <c r="S36" s="48" t="s">
        <v>58</v>
      </c>
      <c r="T36" s="48" t="s">
        <v>98</v>
      </c>
      <c r="U36" s="126">
        <v>0.7318196086638067</v>
      </c>
      <c r="V36" s="126">
        <v>0.52073</v>
      </c>
      <c r="W36" s="126">
        <v>0.45</v>
      </c>
      <c r="X36" s="126">
        <v>0.52073</v>
      </c>
      <c r="Y36" s="126">
        <v>0.21108960866380666</v>
      </c>
      <c r="Z36" s="48" t="s">
        <v>62</v>
      </c>
    </row>
    <row r="37">
      <c r="A37" s="48" t="str">
        <f>IFERROR(__xludf.DUMMYFUNCTION("""COMPUTED_VALUE"""),"TNG")</f>
        <v>TNG</v>
      </c>
      <c r="B37" s="48" t="str">
        <f>IFERROR(__xludf.DUMMYFUNCTION("""COMPUTED_VALUE"""),"Bình Định")</f>
        <v>Bình Định</v>
      </c>
      <c r="C37" s="48" t="str">
        <f>IFERROR(__xludf.DUMMYFUNCTION("""COMPUTED_VALUE"""),"BC 61 Quang Trung-Xã Vân Canh-Bình Định")</f>
        <v>BC 61 Quang Trung-Xã Vân Canh-Bình Định</v>
      </c>
      <c r="D37" s="126">
        <f>IFERROR(__xludf.DUMMYFUNCTION("""COMPUTED_VALUE"""),0.7736093143596378)</f>
        <v>0.7736093144</v>
      </c>
      <c r="E37" s="126">
        <f>IFERROR(__xludf.DUMMYFUNCTION("""COMPUTED_VALUE"""),0.5561499999999999)</f>
        <v>0.55615</v>
      </c>
      <c r="F37" s="126">
        <f>IFERROR(__xludf.DUMMYFUNCTION("""COMPUTED_VALUE"""),0.45)</f>
        <v>0.45</v>
      </c>
      <c r="G37" s="126">
        <f>IFERROR(__xludf.DUMMYFUNCTION("""COMPUTED_VALUE"""),0.5561499999999999)</f>
        <v>0.55615</v>
      </c>
      <c r="H37" s="126">
        <f t="shared" si="1"/>
        <v>0.2174593144</v>
      </c>
      <c r="I37" s="48" t="str">
        <f t="shared" si="2"/>
        <v>4. An Toàn</v>
      </c>
      <c r="R37" s="48" t="s">
        <v>57</v>
      </c>
      <c r="S37" s="48" t="s">
        <v>91</v>
      </c>
      <c r="T37" s="48" t="s">
        <v>99</v>
      </c>
      <c r="U37" s="126">
        <v>0.7828225501324253</v>
      </c>
      <c r="V37" s="126">
        <v>0.56931</v>
      </c>
      <c r="W37" s="126">
        <v>0.45</v>
      </c>
      <c r="X37" s="126">
        <v>0.56931</v>
      </c>
      <c r="Y37" s="126">
        <v>0.21351255013242532</v>
      </c>
      <c r="Z37" s="48" t="s">
        <v>62</v>
      </c>
    </row>
    <row r="38">
      <c r="A38" s="48" t="str">
        <f>IFERROR(__xludf.DUMMYFUNCTION("""COMPUTED_VALUE"""),"TNG")</f>
        <v>TNG</v>
      </c>
      <c r="B38" s="48" t="str">
        <f>IFERROR(__xludf.DUMMYFUNCTION("""COMPUTED_VALUE"""),"Đắk Lắk")</f>
        <v>Đắk Lắk</v>
      </c>
      <c r="C38" s="48" t="str">
        <f>IFERROR(__xludf.DUMMYFUNCTION("""COMPUTED_VALUE"""),"BC 64 Hùng Vương-Thị Trấn Krông Năng-Đắk Lắk")</f>
        <v>BC 64 Hùng Vương-Thị Trấn Krông Năng-Đắk Lắk</v>
      </c>
      <c r="D38" s="126">
        <f>IFERROR(__xludf.DUMMYFUNCTION("""COMPUTED_VALUE"""),0.6843455945252352)</f>
        <v>0.6843455945</v>
      </c>
      <c r="E38" s="126">
        <f>IFERROR(__xludf.DUMMYFUNCTION("""COMPUTED_VALUE"""),0.5041399999999999)</f>
        <v>0.50414</v>
      </c>
      <c r="F38" s="126">
        <f>IFERROR(__xludf.DUMMYFUNCTION("""COMPUTED_VALUE"""),0.45)</f>
        <v>0.45</v>
      </c>
      <c r="G38" s="126">
        <f>IFERROR(__xludf.DUMMYFUNCTION("""COMPUTED_VALUE"""),0.5041399999999999)</f>
        <v>0.50414</v>
      </c>
      <c r="H38" s="126">
        <f t="shared" si="1"/>
        <v>0.1802055945</v>
      </c>
      <c r="I38" s="48" t="str">
        <f t="shared" si="2"/>
        <v>4. An Toàn</v>
      </c>
      <c r="R38" s="48" t="s">
        <v>57</v>
      </c>
      <c r="S38" s="48" t="s">
        <v>68</v>
      </c>
      <c r="T38" s="48" t="s">
        <v>100</v>
      </c>
      <c r="U38" s="126">
        <v>0.7979623824451411</v>
      </c>
      <c r="V38" s="126">
        <v>0.58114</v>
      </c>
      <c r="W38" s="126">
        <v>0.45</v>
      </c>
      <c r="X38" s="126">
        <v>0.58114</v>
      </c>
      <c r="Y38" s="126">
        <v>0.21682238244514107</v>
      </c>
      <c r="Z38" s="48" t="s">
        <v>62</v>
      </c>
    </row>
    <row r="39">
      <c r="A39" s="48" t="str">
        <f>IFERROR(__xludf.DUMMYFUNCTION("""COMPUTED_VALUE"""),"TNG")</f>
        <v>TNG</v>
      </c>
      <c r="B39" s="48" t="str">
        <f>IFERROR(__xludf.DUMMYFUNCTION("""COMPUTED_VALUE"""),"Đắk Lắk")</f>
        <v>Đắk Lắk</v>
      </c>
      <c r="C39" s="48" t="str">
        <f>IFERROR(__xludf.DUMMYFUNCTION("""COMPUTED_VALUE"""),"BC 70 Đường 30/4-Ea Tam-Buôn Ma Thuột-Đắk Lắk")</f>
        <v>BC 70 Đường 30/4-Ea Tam-Buôn Ma Thuột-Đắk Lắk</v>
      </c>
      <c r="D39" s="126">
        <f>IFERROR(__xludf.DUMMYFUNCTION("""COMPUTED_VALUE"""),0.5118755118755118)</f>
        <v>0.5118755119</v>
      </c>
      <c r="E39" s="126">
        <f>IFERROR(__xludf.DUMMYFUNCTION("""COMPUTED_VALUE"""),0.49916999999999995)</f>
        <v>0.49917</v>
      </c>
      <c r="F39" s="126">
        <f>IFERROR(__xludf.DUMMYFUNCTION("""COMPUTED_VALUE"""),0.45)</f>
        <v>0.45</v>
      </c>
      <c r="G39" s="126">
        <f>IFERROR(__xludf.DUMMYFUNCTION("""COMPUTED_VALUE"""),0.49916999999999995)</f>
        <v>0.49917</v>
      </c>
      <c r="H39" s="126">
        <f t="shared" si="1"/>
        <v>0.01270551188</v>
      </c>
      <c r="I39" s="48" t="str">
        <f t="shared" si="2"/>
        <v>2. Nguy hiểm</v>
      </c>
      <c r="R39" s="48" t="s">
        <v>57</v>
      </c>
      <c r="S39" s="48" t="s">
        <v>86</v>
      </c>
      <c r="T39" s="48" t="s">
        <v>101</v>
      </c>
      <c r="U39" s="126">
        <v>0.7736093143596378</v>
      </c>
      <c r="V39" s="126">
        <v>0.5561499999999999</v>
      </c>
      <c r="W39" s="126">
        <v>0.45</v>
      </c>
      <c r="X39" s="126">
        <v>0.5561499999999999</v>
      </c>
      <c r="Y39" s="126">
        <v>0.21745931435963783</v>
      </c>
      <c r="Z39" s="48" t="s">
        <v>62</v>
      </c>
    </row>
    <row r="40">
      <c r="A40" s="48" t="str">
        <f>IFERROR(__xludf.DUMMYFUNCTION("""COMPUTED_VALUE"""),"TNG")</f>
        <v>TNG</v>
      </c>
      <c r="B40" s="48" t="str">
        <f>IFERROR(__xludf.DUMMYFUNCTION("""COMPUTED_VALUE"""),"Phú Yên")</f>
        <v>Phú Yên</v>
      </c>
      <c r="C40" s="48" t="str">
        <f>IFERROR(__xludf.DUMMYFUNCTION("""COMPUTED_VALUE"""),"BC 71 Quốc Lộ 1A-Xã Tuy An Bắc-Phú Yên")</f>
        <v>BC 71 Quốc Lộ 1A-Xã Tuy An Bắc-Phú Yên</v>
      </c>
      <c r="D40" s="126">
        <f>IFERROR(__xludf.DUMMYFUNCTION("""COMPUTED_VALUE"""),0.8758348512446873)</f>
        <v>0.8758348512</v>
      </c>
      <c r="E40" s="126">
        <f>IFERROR(__xludf.DUMMYFUNCTION("""COMPUTED_VALUE"""),0.6042399999999999)</f>
        <v>0.60424</v>
      </c>
      <c r="F40" s="126">
        <f>IFERROR(__xludf.DUMMYFUNCTION("""COMPUTED_VALUE"""),0.45)</f>
        <v>0.45</v>
      </c>
      <c r="G40" s="126">
        <f>IFERROR(__xludf.DUMMYFUNCTION("""COMPUTED_VALUE"""),0.6042399999999999)</f>
        <v>0.60424</v>
      </c>
      <c r="H40" s="126">
        <f t="shared" si="1"/>
        <v>0.2715948512</v>
      </c>
      <c r="I40" s="48" t="str">
        <f t="shared" si="2"/>
        <v>4. An Toàn</v>
      </c>
      <c r="R40" s="48" t="s">
        <v>57</v>
      </c>
      <c r="S40" s="48" t="s">
        <v>86</v>
      </c>
      <c r="T40" s="48" t="s">
        <v>102</v>
      </c>
      <c r="U40" s="126">
        <v>0.8107483386304536</v>
      </c>
      <c r="V40" s="126">
        <v>0.59318</v>
      </c>
      <c r="W40" s="126">
        <v>0.45</v>
      </c>
      <c r="X40" s="126">
        <v>0.59318</v>
      </c>
      <c r="Y40" s="126">
        <v>0.21756833863045355</v>
      </c>
      <c r="Z40" s="48" t="s">
        <v>62</v>
      </c>
    </row>
    <row r="41">
      <c r="A41" s="48" t="str">
        <f>IFERROR(__xludf.DUMMYFUNCTION("""COMPUTED_VALUE"""),"TNG")</f>
        <v>TNG</v>
      </c>
      <c r="B41" s="48" t="str">
        <f>IFERROR(__xludf.DUMMYFUNCTION("""COMPUTED_VALUE"""),"Gia Lai")</f>
        <v>Gia Lai</v>
      </c>
      <c r="C41" s="48" t="str">
        <f>IFERROR(__xludf.DUMMYFUNCTION("""COMPUTED_VALUE"""),"BC 73 Lê Lợi-Chư Pah-Gia Lai")</f>
        <v>BC 73 Lê Lợi-Chư Pah-Gia Lai</v>
      </c>
      <c r="D41" s="126">
        <f>IFERROR(__xludf.DUMMYFUNCTION("""COMPUTED_VALUE"""),0.7891663963671748)</f>
        <v>0.7891663964</v>
      </c>
      <c r="E41" s="126">
        <f>IFERROR(__xludf.DUMMYFUNCTION("""COMPUTED_VALUE"""),0.58163)</f>
        <v>0.58163</v>
      </c>
      <c r="F41" s="126">
        <f>IFERROR(__xludf.DUMMYFUNCTION("""COMPUTED_VALUE"""),0.45)</f>
        <v>0.45</v>
      </c>
      <c r="G41" s="126">
        <f>IFERROR(__xludf.DUMMYFUNCTION("""COMPUTED_VALUE"""),0.58163)</f>
        <v>0.58163</v>
      </c>
      <c r="H41" s="126">
        <f t="shared" si="1"/>
        <v>0.2075363964</v>
      </c>
      <c r="I41" s="48" t="str">
        <f t="shared" si="2"/>
        <v>4. An Toàn</v>
      </c>
      <c r="R41" s="48" t="s">
        <v>57</v>
      </c>
      <c r="S41" s="48" t="s">
        <v>86</v>
      </c>
      <c r="T41" s="48" t="s">
        <v>103</v>
      </c>
      <c r="U41" s="126">
        <v>0.7889510742011193</v>
      </c>
      <c r="V41" s="126">
        <v>0.57134</v>
      </c>
      <c r="W41" s="126">
        <v>0.45</v>
      </c>
      <c r="X41" s="126">
        <v>0.57134</v>
      </c>
      <c r="Y41" s="126">
        <v>0.21761107420111936</v>
      </c>
      <c r="Z41" s="48" t="s">
        <v>62</v>
      </c>
    </row>
    <row r="42">
      <c r="A42" s="48" t="str">
        <f>IFERROR(__xludf.DUMMYFUNCTION("""COMPUTED_VALUE"""),"TNG")</f>
        <v>TNG</v>
      </c>
      <c r="B42" s="48" t="str">
        <f>IFERROR(__xludf.DUMMYFUNCTION("""COMPUTED_VALUE"""),"Bình Định")</f>
        <v>Bình Định</v>
      </c>
      <c r="C42" s="48" t="str">
        <f>IFERROR(__xludf.DUMMYFUNCTION("""COMPUTED_VALUE"""),"BC 767 Hùng Vương-Quy Nhơn-Bình Định")</f>
        <v>BC 767 Hùng Vương-Quy Nhơn-Bình Định</v>
      </c>
      <c r="D42" s="126">
        <f>IFERROR(__xludf.DUMMYFUNCTION("""COMPUTED_VALUE"""),0.8546538285190279)</f>
        <v>0.8546538285</v>
      </c>
      <c r="E42" s="126">
        <f>IFERROR(__xludf.DUMMYFUNCTION("""COMPUTED_VALUE"""),0.60872)</f>
        <v>0.60872</v>
      </c>
      <c r="F42" s="126">
        <f>IFERROR(__xludf.DUMMYFUNCTION("""COMPUTED_VALUE"""),0.45)</f>
        <v>0.45</v>
      </c>
      <c r="G42" s="126">
        <f>IFERROR(__xludf.DUMMYFUNCTION("""COMPUTED_VALUE"""),0.60872)</f>
        <v>0.60872</v>
      </c>
      <c r="H42" s="126">
        <f t="shared" si="1"/>
        <v>0.2459338285</v>
      </c>
      <c r="I42" s="48" t="str">
        <f t="shared" si="2"/>
        <v>4. An Toàn</v>
      </c>
      <c r="R42" s="48" t="s">
        <v>57</v>
      </c>
      <c r="S42" s="48" t="s">
        <v>58</v>
      </c>
      <c r="T42" s="48" t="s">
        <v>104</v>
      </c>
      <c r="U42" s="126">
        <v>0.7551288795370857</v>
      </c>
      <c r="V42" s="126">
        <v>0.53739</v>
      </c>
      <c r="W42" s="126">
        <v>0.45</v>
      </c>
      <c r="X42" s="126">
        <v>0.53739</v>
      </c>
      <c r="Y42" s="126">
        <v>0.2177388795370857</v>
      </c>
      <c r="Z42" s="48" t="s">
        <v>62</v>
      </c>
    </row>
    <row r="43">
      <c r="A43" s="48" t="str">
        <f>IFERROR(__xludf.DUMMYFUNCTION("""COMPUTED_VALUE"""),"TNG")</f>
        <v>TNG</v>
      </c>
      <c r="B43" s="48" t="str">
        <f>IFERROR(__xludf.DUMMYFUNCTION("""COMPUTED_VALUE"""),"Bình Định")</f>
        <v>Bình Định</v>
      </c>
      <c r="C43" s="48" t="str">
        <f>IFERROR(__xludf.DUMMYFUNCTION("""COMPUTED_VALUE"""),"BC 838 Quang Trung-Phường Hoài Nhơn Tây-Bình Định")</f>
        <v>BC 838 Quang Trung-Phường Hoài Nhơn Tây-Bình Định</v>
      </c>
      <c r="D43" s="126">
        <f>IFERROR(__xludf.DUMMYFUNCTION("""COMPUTED_VALUE"""),0.820377038762974)</f>
        <v>0.8203770388</v>
      </c>
      <c r="E43" s="126">
        <f>IFERROR(__xludf.DUMMYFUNCTION("""COMPUTED_VALUE"""),0.58009)</f>
        <v>0.58009</v>
      </c>
      <c r="F43" s="126">
        <f>IFERROR(__xludf.DUMMYFUNCTION("""COMPUTED_VALUE"""),0.45)</f>
        <v>0.45</v>
      </c>
      <c r="G43" s="126">
        <f>IFERROR(__xludf.DUMMYFUNCTION("""COMPUTED_VALUE"""),0.58009)</f>
        <v>0.58009</v>
      </c>
      <c r="H43" s="126">
        <f t="shared" si="1"/>
        <v>0.2402870388</v>
      </c>
      <c r="I43" s="48" t="str">
        <f t="shared" si="2"/>
        <v>4. An Toàn</v>
      </c>
      <c r="R43" s="48" t="s">
        <v>57</v>
      </c>
      <c r="S43" s="48" t="s">
        <v>68</v>
      </c>
      <c r="T43" s="48" t="s">
        <v>105</v>
      </c>
      <c r="U43" s="126">
        <v>0.8208344695936733</v>
      </c>
      <c r="V43" s="126">
        <v>0.6023499999999999</v>
      </c>
      <c r="W43" s="126">
        <v>0.45</v>
      </c>
      <c r="X43" s="126">
        <v>0.6023499999999999</v>
      </c>
      <c r="Y43" s="126">
        <v>0.2184844695936734</v>
      </c>
      <c r="Z43" s="48" t="s">
        <v>62</v>
      </c>
    </row>
    <row r="44">
      <c r="A44" s="48" t="str">
        <f>IFERROR(__xludf.DUMMYFUNCTION("""COMPUTED_VALUE"""),"TNG")</f>
        <v>TNG</v>
      </c>
      <c r="B44" s="48" t="str">
        <f>IFERROR(__xludf.DUMMYFUNCTION("""COMPUTED_VALUE"""),"Đắk Lắk")</f>
        <v>Đắk Lắk</v>
      </c>
      <c r="C44" s="48" t="str">
        <f>IFERROR(__xludf.DUMMYFUNCTION("""COMPUTED_VALUE"""),"BC 941 Giải Phóng-Ea Đrăng-Ea H'Leo-Đắk Lắk")</f>
        <v>BC 941 Giải Phóng-Ea Đrăng-Ea H'Leo-Đắk Lắk</v>
      </c>
      <c r="D44" s="126">
        <f>IFERROR(__xludf.DUMMYFUNCTION("""COMPUTED_VALUE"""),0.6618130577736027)</f>
        <v>0.6618130578</v>
      </c>
      <c r="E44" s="126">
        <f>IFERROR(__xludf.DUMMYFUNCTION("""COMPUTED_VALUE"""),0.48488999999999993)</f>
        <v>0.48489</v>
      </c>
      <c r="F44" s="126">
        <f>IFERROR(__xludf.DUMMYFUNCTION("""COMPUTED_VALUE"""),0.45)</f>
        <v>0.45</v>
      </c>
      <c r="G44" s="126">
        <f>IFERROR(__xludf.DUMMYFUNCTION("""COMPUTED_VALUE"""),0.48488999999999993)</f>
        <v>0.48489</v>
      </c>
      <c r="H44" s="126">
        <f t="shared" si="1"/>
        <v>0.1769230578</v>
      </c>
      <c r="I44" s="48" t="str">
        <f t="shared" si="2"/>
        <v>4. An Toàn</v>
      </c>
      <c r="R44" s="48" t="s">
        <v>57</v>
      </c>
      <c r="S44" s="48" t="s">
        <v>86</v>
      </c>
      <c r="T44" s="48" t="s">
        <v>106</v>
      </c>
      <c r="U44" s="126">
        <v>0.7639093317633205</v>
      </c>
      <c r="V44" s="126">
        <v>0.5448799999999999</v>
      </c>
      <c r="W44" s="126">
        <v>0.45</v>
      </c>
      <c r="X44" s="126">
        <v>0.5448799999999999</v>
      </c>
      <c r="Y44" s="126">
        <v>0.21902933176332062</v>
      </c>
      <c r="Z44" s="48" t="s">
        <v>62</v>
      </c>
    </row>
    <row r="45">
      <c r="A45" s="48" t="str">
        <f>IFERROR(__xludf.DUMMYFUNCTION("""COMPUTED_VALUE"""),"TNG")</f>
        <v>TNG</v>
      </c>
      <c r="B45" s="48" t="str">
        <f>IFERROR(__xludf.DUMMYFUNCTION("""COMPUTED_VALUE"""),"Đắk Lắk")</f>
        <v>Đắk Lắk</v>
      </c>
      <c r="C45" s="48" t="str">
        <f>IFERROR(__xludf.DUMMYFUNCTION("""COMPUTED_VALUE"""),"BC 99 Nguyễn Khuyến-Buôn Ma Thuột-Đắk Lắk")</f>
        <v>BC 99 Nguyễn Khuyến-Buôn Ma Thuột-Đắk Lắk</v>
      </c>
      <c r="D45" s="126">
        <f>IFERROR(__xludf.DUMMYFUNCTION("""COMPUTED_VALUE"""),0.7037854889589905)</f>
        <v>0.703785489</v>
      </c>
      <c r="E45" s="126">
        <f>IFERROR(__xludf.DUMMYFUNCTION("""COMPUTED_VALUE"""),0.5068699999999999)</f>
        <v>0.50687</v>
      </c>
      <c r="F45" s="126">
        <f>IFERROR(__xludf.DUMMYFUNCTION("""COMPUTED_VALUE"""),0.45)</f>
        <v>0.45</v>
      </c>
      <c r="G45" s="126">
        <f>IFERROR(__xludf.DUMMYFUNCTION("""COMPUTED_VALUE"""),0.5068699999999999)</f>
        <v>0.50687</v>
      </c>
      <c r="H45" s="126">
        <f t="shared" si="1"/>
        <v>0.196915489</v>
      </c>
      <c r="I45" s="48" t="str">
        <f t="shared" si="2"/>
        <v>4. An Toàn</v>
      </c>
      <c r="R45" s="48" t="s">
        <v>57</v>
      </c>
      <c r="S45" s="48" t="s">
        <v>91</v>
      </c>
      <c r="T45" s="48" t="s">
        <v>107</v>
      </c>
      <c r="U45" s="126">
        <v>0.7645987616850796</v>
      </c>
      <c r="V45" s="126">
        <v>0.54236</v>
      </c>
      <c r="W45" s="126">
        <v>0.45</v>
      </c>
      <c r="X45" s="126">
        <v>0.54236</v>
      </c>
      <c r="Y45" s="126">
        <v>0.2222387616850796</v>
      </c>
      <c r="Z45" s="48" t="s">
        <v>62</v>
      </c>
    </row>
    <row r="46">
      <c r="A46" s="48" t="str">
        <f>IFERROR(__xludf.DUMMYFUNCTION("""COMPUTED_VALUE"""),"TNG")</f>
        <v>TNG</v>
      </c>
      <c r="B46" s="48" t="str">
        <f>IFERROR(__xludf.DUMMYFUNCTION("""COMPUTED_VALUE"""),"Phú Yên")</f>
        <v>Phú Yên</v>
      </c>
      <c r="C46" s="48" t="str">
        <f>IFERROR(__xludf.DUMMYFUNCTION("""COMPUTED_VALUE"""),"BC DT644-Sông Cầu-Phú Yên")</f>
        <v>BC DT644-Sông Cầu-Phú Yên</v>
      </c>
      <c r="D46" s="126">
        <f>IFERROR(__xludf.DUMMYFUNCTION("""COMPUTED_VALUE"""),0.8358186010760953)</f>
        <v>0.8358186011</v>
      </c>
      <c r="E46" s="126">
        <f>IFERROR(__xludf.DUMMYFUNCTION("""COMPUTED_VALUE"""),0.5958399999999999)</f>
        <v>0.59584</v>
      </c>
      <c r="F46" s="126">
        <f>IFERROR(__xludf.DUMMYFUNCTION("""COMPUTED_VALUE"""),0.45)</f>
        <v>0.45</v>
      </c>
      <c r="G46" s="126">
        <f>IFERROR(__xludf.DUMMYFUNCTION("""COMPUTED_VALUE"""),0.5958399999999999)</f>
        <v>0.59584</v>
      </c>
      <c r="H46" s="126">
        <f t="shared" si="1"/>
        <v>0.2399786011</v>
      </c>
      <c r="I46" s="48" t="str">
        <f t="shared" si="2"/>
        <v>4. An Toàn</v>
      </c>
      <c r="R46" s="48" t="s">
        <v>57</v>
      </c>
      <c r="S46" s="48" t="s">
        <v>86</v>
      </c>
      <c r="T46" s="48" t="s">
        <v>108</v>
      </c>
      <c r="U46" s="126">
        <v>0.7833402289339402</v>
      </c>
      <c r="V46" s="126">
        <v>0.56007</v>
      </c>
      <c r="W46" s="126">
        <v>0.45</v>
      </c>
      <c r="X46" s="126">
        <v>0.56007</v>
      </c>
      <c r="Y46" s="126">
        <v>0.22327022893394022</v>
      </c>
      <c r="Z46" s="48" t="s">
        <v>62</v>
      </c>
    </row>
    <row r="47">
      <c r="A47" s="48" t="str">
        <f>IFERROR(__xludf.DUMMYFUNCTION("""COMPUTED_VALUE"""),"TNG")</f>
        <v>TNG</v>
      </c>
      <c r="B47" s="48" t="str">
        <f>IFERROR(__xludf.DUMMYFUNCTION("""COMPUTED_VALUE"""),"Bình Định")</f>
        <v>Bình Định</v>
      </c>
      <c r="C47" s="48" t="str">
        <f>IFERROR(__xludf.DUMMYFUNCTION("""COMPUTED_VALUE"""),"BC Đường 3 Tháng 2-Xã Phù Cát-Bình Định")</f>
        <v>BC Đường 3 Tháng 2-Xã Phù Cát-Bình Định</v>
      </c>
      <c r="D47" s="126">
        <f>IFERROR(__xludf.DUMMYFUNCTION("""COMPUTED_VALUE"""),0.779223125564589)</f>
        <v>0.7792231256</v>
      </c>
      <c r="E47" s="126">
        <f>IFERROR(__xludf.DUMMYFUNCTION("""COMPUTED_VALUE"""),0.5467)</f>
        <v>0.5467</v>
      </c>
      <c r="F47" s="126">
        <f>IFERROR(__xludf.DUMMYFUNCTION("""COMPUTED_VALUE"""),0.45)</f>
        <v>0.45</v>
      </c>
      <c r="G47" s="126">
        <f>IFERROR(__xludf.DUMMYFUNCTION("""COMPUTED_VALUE"""),0.5467)</f>
        <v>0.5467</v>
      </c>
      <c r="H47" s="126">
        <f t="shared" si="1"/>
        <v>0.2325231256</v>
      </c>
      <c r="I47" s="48" t="str">
        <f t="shared" si="2"/>
        <v>4. An Toàn</v>
      </c>
      <c r="R47" s="48" t="s">
        <v>57</v>
      </c>
      <c r="S47" s="48" t="s">
        <v>58</v>
      </c>
      <c r="T47" s="48" t="s">
        <v>109</v>
      </c>
      <c r="U47" s="126">
        <v>0.7310431503979891</v>
      </c>
      <c r="V47" s="126">
        <v>0.5073599999999999</v>
      </c>
      <c r="W47" s="126">
        <v>0.45</v>
      </c>
      <c r="X47" s="126">
        <v>0.5073599999999999</v>
      </c>
      <c r="Y47" s="126">
        <v>0.22368315039798914</v>
      </c>
      <c r="Z47" s="48" t="s">
        <v>62</v>
      </c>
    </row>
    <row r="48">
      <c r="A48" s="48" t="str">
        <f>IFERROR(__xludf.DUMMYFUNCTION("""COMPUTED_VALUE"""),"TNG")</f>
        <v>TNG</v>
      </c>
      <c r="B48" s="48" t="str">
        <f>IFERROR(__xludf.DUMMYFUNCTION("""COMPUTED_VALUE"""),"Phú Yên")</f>
        <v>Phú Yên</v>
      </c>
      <c r="C48" s="48" t="str">
        <f>IFERROR(__xludf.DUMMYFUNCTION("""COMPUTED_VALUE"""),"BC Đường Tỉnh 643-Xã Tuy An Nam-Phú Yên")</f>
        <v>BC Đường Tỉnh 643-Xã Tuy An Nam-Phú Yên</v>
      </c>
      <c r="D48" s="126">
        <f>IFERROR(__xludf.DUMMYFUNCTION("""COMPUTED_VALUE"""),0.9009227780475959)</f>
        <v>0.900922778</v>
      </c>
      <c r="E48" s="126">
        <f>IFERROR(__xludf.DUMMYFUNCTION("""COMPUTED_VALUE"""),0.6275499999999999)</f>
        <v>0.62755</v>
      </c>
      <c r="F48" s="126">
        <f>IFERROR(__xludf.DUMMYFUNCTION("""COMPUTED_VALUE"""),0.45)</f>
        <v>0.45</v>
      </c>
      <c r="G48" s="126">
        <f>IFERROR(__xludf.DUMMYFUNCTION("""COMPUTED_VALUE"""),0.6275499999999999)</f>
        <v>0.62755</v>
      </c>
      <c r="H48" s="126">
        <f t="shared" si="1"/>
        <v>0.273372778</v>
      </c>
      <c r="I48" s="48" t="str">
        <f t="shared" si="2"/>
        <v>4. An Toàn</v>
      </c>
      <c r="R48" s="48" t="s">
        <v>57</v>
      </c>
      <c r="S48" s="48" t="s">
        <v>86</v>
      </c>
      <c r="T48" s="48" t="s">
        <v>110</v>
      </c>
      <c r="U48" s="126">
        <v>0.7980854853072128</v>
      </c>
      <c r="V48" s="126">
        <v>0.57428</v>
      </c>
      <c r="W48" s="126">
        <v>0.45</v>
      </c>
      <c r="X48" s="126">
        <v>0.57428</v>
      </c>
      <c r="Y48" s="126">
        <v>0.22380548530721278</v>
      </c>
      <c r="Z48" s="48" t="s">
        <v>62</v>
      </c>
    </row>
    <row r="49">
      <c r="A49" s="48" t="str">
        <f>IFERROR(__xludf.DUMMYFUNCTION("""COMPUTED_VALUE"""),"TNG")</f>
        <v>TNG</v>
      </c>
      <c r="B49" s="48" t="str">
        <f>IFERROR(__xludf.DUMMYFUNCTION("""COMPUTED_VALUE"""),"Đắk Lắk")</f>
        <v>Đắk Lắk</v>
      </c>
      <c r="C49" s="48" t="str">
        <f>IFERROR(__xludf.DUMMYFUNCTION("""COMPUTED_VALUE"""),"BC Ea Phê-Krông Pắk-Đắk Lắk")</f>
        <v>BC Ea Phê-Krông Pắk-Đắk Lắk</v>
      </c>
      <c r="D49" s="126">
        <f>IFERROR(__xludf.DUMMYFUNCTION("""COMPUTED_VALUE"""),0.6191555097837281)</f>
        <v>0.6191555098</v>
      </c>
      <c r="E49" s="126">
        <f>IFERROR(__xludf.DUMMYFUNCTION("""COMPUTED_VALUE"""),0.53249)</f>
        <v>0.53249</v>
      </c>
      <c r="F49" s="126">
        <f>IFERROR(__xludf.DUMMYFUNCTION("""COMPUTED_VALUE"""),0.45)</f>
        <v>0.45</v>
      </c>
      <c r="G49" s="126">
        <f>IFERROR(__xludf.DUMMYFUNCTION("""COMPUTED_VALUE"""),0.53249)</f>
        <v>0.53249</v>
      </c>
      <c r="H49" s="126">
        <f t="shared" si="1"/>
        <v>0.08666550978</v>
      </c>
      <c r="I49" s="48" t="str">
        <f t="shared" si="2"/>
        <v>3. Cảnh báo</v>
      </c>
      <c r="R49" s="48" t="s">
        <v>57</v>
      </c>
      <c r="S49" s="48" t="s">
        <v>58</v>
      </c>
      <c r="T49" s="48" t="s">
        <v>111</v>
      </c>
      <c r="U49" s="126">
        <v>0.7500575373993096</v>
      </c>
      <c r="V49" s="126">
        <v>0.5236</v>
      </c>
      <c r="W49" s="126">
        <v>0.45</v>
      </c>
      <c r="X49" s="126">
        <v>0.5236</v>
      </c>
      <c r="Y49" s="126">
        <v>0.22645753739930963</v>
      </c>
      <c r="Z49" s="48" t="s">
        <v>62</v>
      </c>
    </row>
    <row r="50">
      <c r="A50" s="48" t="str">
        <f>IFERROR(__xludf.DUMMYFUNCTION("""COMPUTED_VALUE"""),"TNG")</f>
        <v>TNG</v>
      </c>
      <c r="B50" s="48" t="str">
        <f>IFERROR(__xludf.DUMMYFUNCTION("""COMPUTED_VALUE"""),"Bình Định")</f>
        <v>Bình Định</v>
      </c>
      <c r="C50" s="48" t="str">
        <f>IFERROR(__xludf.DUMMYFUNCTION("""COMPUTED_VALUE"""),"BC Hoài Nhơn-Bình Định")</f>
        <v>BC Hoài Nhơn-Bình Định</v>
      </c>
      <c r="D50" s="126">
        <f>IFERROR(__xludf.DUMMYFUNCTION("""COMPUTED_VALUE"""),0.7980854853072128)</f>
        <v>0.7980854853</v>
      </c>
      <c r="E50" s="126">
        <f>IFERROR(__xludf.DUMMYFUNCTION("""COMPUTED_VALUE"""),0.57428)</f>
        <v>0.57428</v>
      </c>
      <c r="F50" s="126">
        <f>IFERROR(__xludf.DUMMYFUNCTION("""COMPUTED_VALUE"""),0.45)</f>
        <v>0.45</v>
      </c>
      <c r="G50" s="126">
        <f>IFERROR(__xludf.DUMMYFUNCTION("""COMPUTED_VALUE"""),0.57428)</f>
        <v>0.57428</v>
      </c>
      <c r="H50" s="126">
        <f t="shared" si="1"/>
        <v>0.2238054853</v>
      </c>
      <c r="I50" s="48" t="str">
        <f t="shared" si="2"/>
        <v>4. An Toàn</v>
      </c>
      <c r="R50" s="48" t="s">
        <v>57</v>
      </c>
      <c r="S50" s="48" t="s">
        <v>68</v>
      </c>
      <c r="T50" s="48" t="s">
        <v>112</v>
      </c>
      <c r="U50" s="126">
        <v>0.8478128797083839</v>
      </c>
      <c r="V50" s="126">
        <v>0.6176799999999999</v>
      </c>
      <c r="W50" s="126">
        <v>0.45</v>
      </c>
      <c r="X50" s="126">
        <v>0.6176799999999999</v>
      </c>
      <c r="Y50" s="126">
        <v>0.23013287970838403</v>
      </c>
      <c r="Z50" s="48" t="s">
        <v>62</v>
      </c>
    </row>
    <row r="51">
      <c r="A51" s="48" t="str">
        <f>IFERROR(__xludf.DUMMYFUNCTION("""COMPUTED_VALUE"""),"TNG")</f>
        <v>TNG</v>
      </c>
      <c r="B51" s="48" t="str">
        <f>IFERROR(__xludf.DUMMYFUNCTION("""COMPUTED_VALUE"""),"Bình Định")</f>
        <v>Bình Định</v>
      </c>
      <c r="C51" s="48" t="str">
        <f>IFERROR(__xludf.DUMMYFUNCTION("""COMPUTED_VALUE"""),"BC Khu Vực Kim Châu-An Nhơn-Bình Định")</f>
        <v>BC Khu Vực Kim Châu-An Nhơn-Bình Định</v>
      </c>
      <c r="D51" s="126">
        <f>IFERROR(__xludf.DUMMYFUNCTION("""COMPUTED_VALUE"""),0.7639093317633205)</f>
        <v>0.7639093318</v>
      </c>
      <c r="E51" s="126">
        <f>IFERROR(__xludf.DUMMYFUNCTION("""COMPUTED_VALUE"""),0.5448799999999999)</f>
        <v>0.54488</v>
      </c>
      <c r="F51" s="126">
        <f>IFERROR(__xludf.DUMMYFUNCTION("""COMPUTED_VALUE"""),0.45)</f>
        <v>0.45</v>
      </c>
      <c r="G51" s="126">
        <f>IFERROR(__xludf.DUMMYFUNCTION("""COMPUTED_VALUE"""),0.5448799999999999)</f>
        <v>0.54488</v>
      </c>
      <c r="H51" s="126">
        <f t="shared" si="1"/>
        <v>0.2190293318</v>
      </c>
      <c r="I51" s="48" t="str">
        <f t="shared" si="2"/>
        <v>4. An Toàn</v>
      </c>
      <c r="R51" s="48" t="s">
        <v>57</v>
      </c>
      <c r="S51" s="48" t="s">
        <v>86</v>
      </c>
      <c r="T51" s="48" t="s">
        <v>113</v>
      </c>
      <c r="U51" s="126">
        <v>0.779223125564589</v>
      </c>
      <c r="V51" s="126">
        <v>0.5467</v>
      </c>
      <c r="W51" s="126">
        <v>0.45</v>
      </c>
      <c r="X51" s="126">
        <v>0.5467</v>
      </c>
      <c r="Y51" s="126">
        <v>0.23252312556458898</v>
      </c>
      <c r="Z51" s="48" t="s">
        <v>62</v>
      </c>
    </row>
    <row r="52">
      <c r="A52" s="48" t="str">
        <f>IFERROR(__xludf.DUMMYFUNCTION("""COMPUTED_VALUE"""),"TNG")</f>
        <v>TNG</v>
      </c>
      <c r="B52" s="48" t="str">
        <f>IFERROR(__xludf.DUMMYFUNCTION("""COMPUTED_VALUE"""),"Đắk Lắk")</f>
        <v>Đắk Lắk</v>
      </c>
      <c r="C52" s="48" t="str">
        <f>IFERROR(__xludf.DUMMYFUNCTION("""COMPUTED_VALUE"""),"BC Km 30 Tân Hòa-Buôn Đôn-Đắk Lắk")</f>
        <v>BC Km 30 Tân Hòa-Buôn Đôn-Đắk Lắk</v>
      </c>
      <c r="D52" s="126">
        <f>IFERROR(__xludf.DUMMYFUNCTION("""COMPUTED_VALUE"""),0.731536189069424)</f>
        <v>0.7315361891</v>
      </c>
      <c r="E52" s="126">
        <f>IFERROR(__xludf.DUMMYFUNCTION("""COMPUTED_VALUE"""),0.52731)</f>
        <v>0.52731</v>
      </c>
      <c r="F52" s="126">
        <f>IFERROR(__xludf.DUMMYFUNCTION("""COMPUTED_VALUE"""),0.45)</f>
        <v>0.45</v>
      </c>
      <c r="G52" s="126">
        <f>IFERROR(__xludf.DUMMYFUNCTION("""COMPUTED_VALUE"""),0.52731)</f>
        <v>0.52731</v>
      </c>
      <c r="H52" s="126">
        <f t="shared" si="1"/>
        <v>0.2042261891</v>
      </c>
      <c r="I52" s="48" t="str">
        <f t="shared" si="2"/>
        <v>4. An Toàn</v>
      </c>
      <c r="R52" s="48" t="s">
        <v>57</v>
      </c>
      <c r="S52" s="48" t="s">
        <v>91</v>
      </c>
      <c r="T52" s="48" t="s">
        <v>114</v>
      </c>
      <c r="U52" s="126">
        <v>0.8044412607449857</v>
      </c>
      <c r="V52" s="126">
        <v>0.56812</v>
      </c>
      <c r="W52" s="126">
        <v>0.45</v>
      </c>
      <c r="X52" s="126">
        <v>0.56812</v>
      </c>
      <c r="Y52" s="126">
        <v>0.23632126074498572</v>
      </c>
      <c r="Z52" s="48" t="s">
        <v>62</v>
      </c>
    </row>
    <row r="53">
      <c r="A53" s="48" t="str">
        <f>IFERROR(__xludf.DUMMYFUNCTION("""COMPUTED_VALUE"""),"TNG")</f>
        <v>TNG</v>
      </c>
      <c r="B53" s="48" t="str">
        <f>IFERROR(__xludf.DUMMYFUNCTION("""COMPUTED_VALUE"""),"Đắk Lắk")</f>
        <v>Đắk Lắk</v>
      </c>
      <c r="C53" s="48" t="str">
        <f>IFERROR(__xludf.DUMMYFUNCTION("""COMPUTED_VALUE"""),"BC Km18-Cư Kuin-Đắk Lắk")</f>
        <v>BC Km18-Cư Kuin-Đắk Lắk</v>
      </c>
      <c r="D53" s="126">
        <f>IFERROR(__xludf.DUMMYFUNCTION("""COMPUTED_VALUE"""),0.6537519142419602)</f>
        <v>0.6537519142</v>
      </c>
      <c r="E53" s="126">
        <f>IFERROR(__xludf.DUMMYFUNCTION("""COMPUTED_VALUE"""),0.47445999999999994)</f>
        <v>0.47446</v>
      </c>
      <c r="F53" s="126">
        <f>IFERROR(__xludf.DUMMYFUNCTION("""COMPUTED_VALUE"""),0.45)</f>
        <v>0.45</v>
      </c>
      <c r="G53" s="126">
        <f>IFERROR(__xludf.DUMMYFUNCTION("""COMPUTED_VALUE"""),0.47445999999999994)</f>
        <v>0.47446</v>
      </c>
      <c r="H53" s="126">
        <f t="shared" si="1"/>
        <v>0.1792919142</v>
      </c>
      <c r="I53" s="48" t="str">
        <f t="shared" si="2"/>
        <v>4. An Toàn</v>
      </c>
      <c r="R53" s="48" t="s">
        <v>57</v>
      </c>
      <c r="S53" s="48" t="s">
        <v>91</v>
      </c>
      <c r="T53" s="48" t="s">
        <v>115</v>
      </c>
      <c r="U53" s="126">
        <v>0.8358186010760953</v>
      </c>
      <c r="V53" s="126">
        <v>0.5958399999999999</v>
      </c>
      <c r="W53" s="126">
        <v>0.45</v>
      </c>
      <c r="X53" s="126">
        <v>0.5958399999999999</v>
      </c>
      <c r="Y53" s="126">
        <v>0.23997860107609537</v>
      </c>
      <c r="Z53" s="48" t="s">
        <v>62</v>
      </c>
    </row>
    <row r="54">
      <c r="A54" s="48" t="str">
        <f>IFERROR(__xludf.DUMMYFUNCTION("""COMPUTED_VALUE"""),"TNG")</f>
        <v>TNG</v>
      </c>
      <c r="B54" s="48" t="str">
        <f>IFERROR(__xludf.DUMMYFUNCTION("""COMPUTED_VALUE"""),"Đắk Lắk")</f>
        <v>Đắk Lắk</v>
      </c>
      <c r="C54" s="48" t="str">
        <f>IFERROR(__xludf.DUMMYFUNCTION("""COMPUTED_VALUE"""),"BC KM92 QL14-Xã Ea Drăng-Đắk Lắk")</f>
        <v>BC KM92 QL14-Xã Ea Drăng-Đắk Lắk</v>
      </c>
      <c r="D54" s="126">
        <f>IFERROR(__xludf.DUMMYFUNCTION("""COMPUTED_VALUE"""),0.6541254125412541)</f>
        <v>0.6541254125</v>
      </c>
      <c r="E54" s="126">
        <f>IFERROR(__xludf.DUMMYFUNCTION("""COMPUTED_VALUE"""),0.4582899999999999)</f>
        <v>0.45829</v>
      </c>
      <c r="F54" s="126">
        <f>IFERROR(__xludf.DUMMYFUNCTION("""COMPUTED_VALUE"""),0.45)</f>
        <v>0.45</v>
      </c>
      <c r="G54" s="126">
        <f>IFERROR(__xludf.DUMMYFUNCTION("""COMPUTED_VALUE"""),0.4582899999999999)</f>
        <v>0.45829</v>
      </c>
      <c r="H54" s="126">
        <f t="shared" si="1"/>
        <v>0.1958354125</v>
      </c>
      <c r="I54" s="48" t="str">
        <f t="shared" si="2"/>
        <v>4. An Toàn</v>
      </c>
      <c r="R54" s="48" t="s">
        <v>57</v>
      </c>
      <c r="S54" s="48" t="s">
        <v>86</v>
      </c>
      <c r="T54" s="48" t="s">
        <v>116</v>
      </c>
      <c r="U54" s="126">
        <v>0.820377038762974</v>
      </c>
      <c r="V54" s="126">
        <v>0.58009</v>
      </c>
      <c r="W54" s="126">
        <v>0.45</v>
      </c>
      <c r="X54" s="126">
        <v>0.58009</v>
      </c>
      <c r="Y54" s="126">
        <v>0.24028703876297397</v>
      </c>
      <c r="Z54" s="48" t="s">
        <v>62</v>
      </c>
    </row>
    <row r="55">
      <c r="A55" s="48" t="str">
        <f>IFERROR(__xludf.DUMMYFUNCTION("""COMPUTED_VALUE"""),"TNG")</f>
        <v>TNG</v>
      </c>
      <c r="B55" s="48" t="str">
        <f>IFERROR(__xludf.DUMMYFUNCTION("""COMPUTED_VALUE"""),"Phú Yên")</f>
        <v>Phú Yên</v>
      </c>
      <c r="C55" s="48" t="str">
        <f>IFERROR(__xludf.DUMMYFUNCTION("""COMPUTED_VALUE"""),"BC KP3 TT Hai Riềng-Sông Hinh-Phú Yên")</f>
        <v>BC KP3 TT Hai Riềng-Sông Hinh-Phú Yên</v>
      </c>
      <c r="D55" s="126">
        <f>IFERROR(__xludf.DUMMYFUNCTION("""COMPUTED_VALUE"""),0.7714831317632082)</f>
        <v>0.7714831318</v>
      </c>
      <c r="E55" s="126">
        <f>IFERROR(__xludf.DUMMYFUNCTION("""COMPUTED_VALUE"""),0.5701499999999999)</f>
        <v>0.57015</v>
      </c>
      <c r="F55" s="126">
        <f>IFERROR(__xludf.DUMMYFUNCTION("""COMPUTED_VALUE"""),0.45)</f>
        <v>0.45</v>
      </c>
      <c r="G55" s="126">
        <f>IFERROR(__xludf.DUMMYFUNCTION("""COMPUTED_VALUE"""),0.5701499999999999)</f>
        <v>0.57015</v>
      </c>
      <c r="H55" s="126">
        <f t="shared" si="1"/>
        <v>0.2013331318</v>
      </c>
      <c r="I55" s="48" t="str">
        <f t="shared" si="2"/>
        <v>4. An Toàn</v>
      </c>
      <c r="R55" s="48" t="s">
        <v>57</v>
      </c>
      <c r="S55" s="48" t="s">
        <v>91</v>
      </c>
      <c r="T55" s="48" t="s">
        <v>117</v>
      </c>
      <c r="U55" s="126">
        <v>0.8115546218487395</v>
      </c>
      <c r="V55" s="126">
        <v>0.5711999999999999</v>
      </c>
      <c r="W55" s="126">
        <v>0.45</v>
      </c>
      <c r="X55" s="126">
        <v>0.5711999999999999</v>
      </c>
      <c r="Y55" s="126">
        <v>0.24035462184873957</v>
      </c>
      <c r="Z55" s="48" t="s">
        <v>62</v>
      </c>
    </row>
    <row r="56">
      <c r="A56" s="48" t="str">
        <f>IFERROR(__xludf.DUMMYFUNCTION("""COMPUTED_VALUE"""),"TNG")</f>
        <v>TNG</v>
      </c>
      <c r="B56" s="48" t="str">
        <f>IFERROR(__xludf.DUMMYFUNCTION("""COMPUTED_VALUE"""),"Phú Yên")</f>
        <v>Phú Yên</v>
      </c>
      <c r="C56" s="48" t="str">
        <f>IFERROR(__xludf.DUMMYFUNCTION("""COMPUTED_VALUE"""),"BC KP4 Hòa Vinh- Đông Hòa- Phú Yên")</f>
        <v>BC KP4 Hòa Vinh- Đông Hòa- Phú Yên</v>
      </c>
      <c r="D56" s="126">
        <f>IFERROR(__xludf.DUMMYFUNCTION("""COMPUTED_VALUE"""),0.8032972361402941)</f>
        <v>0.8032972361</v>
      </c>
      <c r="E56" s="126">
        <f>IFERROR(__xludf.DUMMYFUNCTION("""COMPUTED_VALUE"""),0.59745)</f>
        <v>0.59745</v>
      </c>
      <c r="F56" s="126">
        <f>IFERROR(__xludf.DUMMYFUNCTION("""COMPUTED_VALUE"""),0.45)</f>
        <v>0.45</v>
      </c>
      <c r="G56" s="126">
        <f>IFERROR(__xludf.DUMMYFUNCTION("""COMPUTED_VALUE"""),0.59745)</f>
        <v>0.59745</v>
      </c>
      <c r="H56" s="126">
        <f t="shared" si="1"/>
        <v>0.2058472361</v>
      </c>
      <c r="I56" s="48" t="str">
        <f t="shared" si="2"/>
        <v>4. An Toàn</v>
      </c>
      <c r="R56" s="48" t="s">
        <v>57</v>
      </c>
      <c r="S56" s="48" t="s">
        <v>86</v>
      </c>
      <c r="T56" s="48" t="s">
        <v>118</v>
      </c>
      <c r="U56" s="126">
        <v>0.8142857142857143</v>
      </c>
      <c r="V56" s="126">
        <v>0.56847</v>
      </c>
      <c r="W56" s="126">
        <v>0.45</v>
      </c>
      <c r="X56" s="126">
        <v>0.56847</v>
      </c>
      <c r="Y56" s="126">
        <v>0.24581571428571425</v>
      </c>
      <c r="Z56" s="48" t="s">
        <v>62</v>
      </c>
    </row>
    <row r="57">
      <c r="A57" s="48" t="str">
        <f>IFERROR(__xludf.DUMMYFUNCTION("""COMPUTED_VALUE"""),"TNG")</f>
        <v>TNG</v>
      </c>
      <c r="B57" s="48" t="str">
        <f>IFERROR(__xludf.DUMMYFUNCTION("""COMPUTED_VALUE"""),"Đắk Lắk")</f>
        <v>Đắk Lắk</v>
      </c>
      <c r="C57" s="48" t="str">
        <f>IFERROR(__xludf.DUMMYFUNCTION("""COMPUTED_VALUE"""),"BC Ngã Ba Đắk Liêng-Huyện Lắk-Đắk Lắk")</f>
        <v>BC Ngã Ba Đắk Liêng-Huyện Lắk-Đắk Lắk</v>
      </c>
      <c r="D57" s="126">
        <f>IFERROR(__xludf.DUMMYFUNCTION("""COMPUTED_VALUE"""),0.5819611698205948)</f>
        <v>0.5819611698</v>
      </c>
      <c r="E57" s="126">
        <f>IFERROR(__xludf.DUMMYFUNCTION("""COMPUTED_VALUE"""),0.5088999999999999)</f>
        <v>0.5089</v>
      </c>
      <c r="F57" s="126">
        <f>IFERROR(__xludf.DUMMYFUNCTION("""COMPUTED_VALUE"""),0.45)</f>
        <v>0.45</v>
      </c>
      <c r="G57" s="126">
        <f>IFERROR(__xludf.DUMMYFUNCTION("""COMPUTED_VALUE"""),0.5088999999999999)</f>
        <v>0.5089</v>
      </c>
      <c r="H57" s="126">
        <f t="shared" si="1"/>
        <v>0.07306116982</v>
      </c>
      <c r="I57" s="48" t="str">
        <f t="shared" si="2"/>
        <v>3. Cảnh báo</v>
      </c>
      <c r="R57" s="48" t="s">
        <v>57</v>
      </c>
      <c r="S57" s="48" t="s">
        <v>86</v>
      </c>
      <c r="T57" s="48" t="s">
        <v>119</v>
      </c>
      <c r="U57" s="126">
        <v>0.8546538285190279</v>
      </c>
      <c r="V57" s="126">
        <v>0.60872</v>
      </c>
      <c r="W57" s="126">
        <v>0.45</v>
      </c>
      <c r="X57" s="126">
        <v>0.60872</v>
      </c>
      <c r="Y57" s="126">
        <v>0.2459338285190279</v>
      </c>
      <c r="Z57" s="48" t="s">
        <v>62</v>
      </c>
    </row>
    <row r="58">
      <c r="A58" s="48" t="str">
        <f>IFERROR(__xludf.DUMMYFUNCTION("""COMPUTED_VALUE"""),"TNG")</f>
        <v>TNG</v>
      </c>
      <c r="B58" s="48" t="str">
        <f>IFERROR(__xludf.DUMMYFUNCTION("""COMPUTED_VALUE"""),"Đắk Lắk")</f>
        <v>Đắk Lắk</v>
      </c>
      <c r="C58" s="48" t="str">
        <f>IFERROR(__xludf.DUMMYFUNCTION("""COMPUTED_VALUE"""),"BC Phạm Văn Đồng-Pơng Đrang-Krông Búk-Đắk Lắk")</f>
        <v>BC Phạm Văn Đồng-Pơng Đrang-Krông Búk-Đắk Lắk</v>
      </c>
      <c r="D58" s="126">
        <f>IFERROR(__xludf.DUMMYFUNCTION("""COMPUTED_VALUE"""),0.5515454377197853)</f>
        <v>0.5515454377</v>
      </c>
      <c r="E58" s="126">
        <f>IFERROR(__xludf.DUMMYFUNCTION("""COMPUTED_VALUE"""),0.4701199999999999)</f>
        <v>0.47012</v>
      </c>
      <c r="F58" s="126">
        <f>IFERROR(__xludf.DUMMYFUNCTION("""COMPUTED_VALUE"""),0.45)</f>
        <v>0.45</v>
      </c>
      <c r="G58" s="126">
        <f>IFERROR(__xludf.DUMMYFUNCTION("""COMPUTED_VALUE"""),0.4701199999999999)</f>
        <v>0.47012</v>
      </c>
      <c r="H58" s="126">
        <f t="shared" si="1"/>
        <v>0.08142543772</v>
      </c>
      <c r="I58" s="48" t="str">
        <f t="shared" si="2"/>
        <v>3. Cảnh báo</v>
      </c>
      <c r="R58" s="48" t="s">
        <v>57</v>
      </c>
      <c r="S58" s="48" t="s">
        <v>86</v>
      </c>
      <c r="T58" s="48" t="s">
        <v>120</v>
      </c>
      <c r="U58" s="126">
        <v>0.8537445936717505</v>
      </c>
      <c r="V58" s="126">
        <v>0.60753</v>
      </c>
      <c r="W58" s="126">
        <v>0.45</v>
      </c>
      <c r="X58" s="126">
        <v>0.60753</v>
      </c>
      <c r="Y58" s="126">
        <v>0.24621459367175047</v>
      </c>
      <c r="Z58" s="48" t="s">
        <v>62</v>
      </c>
    </row>
    <row r="59">
      <c r="A59" s="48" t="str">
        <f>IFERROR(__xludf.DUMMYFUNCTION("""COMPUTED_VALUE"""),"TNG")</f>
        <v>TNG</v>
      </c>
      <c r="B59" s="48" t="str">
        <f>IFERROR(__xludf.DUMMYFUNCTION("""COMPUTED_VALUE"""),"Bình Định")</f>
        <v>Bình Định</v>
      </c>
      <c r="C59" s="48" t="str">
        <f>IFERROR(__xludf.DUMMYFUNCTION("""COMPUTED_VALUE"""),"BC Số 35 Phạm Văn Đồng-Tăng Bạt Hổ-Hoài Ân-Bình Định")</f>
        <v>BC Số 35 Phạm Văn Đồng-Tăng Bạt Hổ-Hoài Ân-Bình Định</v>
      </c>
      <c r="D59" s="126">
        <f>IFERROR(__xludf.DUMMYFUNCTION("""COMPUTED_VALUE"""),0.8712609970674486)</f>
        <v>0.8712609971</v>
      </c>
      <c r="E59" s="126">
        <f>IFERROR(__xludf.DUMMYFUNCTION("""COMPUTED_VALUE"""),0.59885)</f>
        <v>0.59885</v>
      </c>
      <c r="F59" s="126">
        <f>IFERROR(__xludf.DUMMYFUNCTION("""COMPUTED_VALUE"""),0.45)</f>
        <v>0.45</v>
      </c>
      <c r="G59" s="126">
        <f>IFERROR(__xludf.DUMMYFUNCTION("""COMPUTED_VALUE"""),0.59885)</f>
        <v>0.59885</v>
      </c>
      <c r="H59" s="126">
        <f t="shared" si="1"/>
        <v>0.2724109971</v>
      </c>
      <c r="I59" s="48" t="str">
        <f t="shared" si="2"/>
        <v>4. An Toàn</v>
      </c>
      <c r="R59" s="48" t="s">
        <v>57</v>
      </c>
      <c r="S59" s="48" t="s">
        <v>91</v>
      </c>
      <c r="T59" s="48" t="s">
        <v>121</v>
      </c>
      <c r="U59" s="126">
        <v>0.8758348512446873</v>
      </c>
      <c r="V59" s="126">
        <v>0.6042399999999999</v>
      </c>
      <c r="W59" s="126">
        <v>0.45</v>
      </c>
      <c r="X59" s="126">
        <v>0.6042399999999999</v>
      </c>
      <c r="Y59" s="126">
        <v>0.2715948512446874</v>
      </c>
      <c r="Z59" s="48" t="s">
        <v>62</v>
      </c>
    </row>
    <row r="60">
      <c r="A60" s="48" t="str">
        <f>IFERROR(__xludf.DUMMYFUNCTION("""COMPUTED_VALUE"""),"TNG")</f>
        <v>TNG</v>
      </c>
      <c r="B60" s="48" t="str">
        <f>IFERROR(__xludf.DUMMYFUNCTION("""COMPUTED_VALUE"""),"Đắk Lắk")</f>
        <v>Đắk Lắk</v>
      </c>
      <c r="C60" s="48" t="str">
        <f>IFERROR(__xludf.DUMMYFUNCTION("""COMPUTED_VALUE"""),"BC TDP3 Thị Trấn Krông Kmart-Krông Bông-Đắk Lắk")</f>
        <v>BC TDP3 Thị Trấn Krông Kmart-Krông Bông-Đắk Lắk</v>
      </c>
      <c r="D60" s="126">
        <f>IFERROR(__xludf.DUMMYFUNCTION("""COMPUTED_VALUE"""),0.7500575373993096)</f>
        <v>0.7500575374</v>
      </c>
      <c r="E60" s="126">
        <f>IFERROR(__xludf.DUMMYFUNCTION("""COMPUTED_VALUE"""),0.5236)</f>
        <v>0.5236</v>
      </c>
      <c r="F60" s="126">
        <f>IFERROR(__xludf.DUMMYFUNCTION("""COMPUTED_VALUE"""),0.45)</f>
        <v>0.45</v>
      </c>
      <c r="G60" s="126">
        <f>IFERROR(__xludf.DUMMYFUNCTION("""COMPUTED_VALUE"""),0.5236)</f>
        <v>0.5236</v>
      </c>
      <c r="H60" s="126">
        <f t="shared" si="1"/>
        <v>0.2264575374</v>
      </c>
      <c r="I60" s="48" t="str">
        <f t="shared" si="2"/>
        <v>4. An Toàn</v>
      </c>
      <c r="R60" s="48" t="s">
        <v>57</v>
      </c>
      <c r="S60" s="48" t="s">
        <v>86</v>
      </c>
      <c r="T60" s="48" t="s">
        <v>122</v>
      </c>
      <c r="U60" s="126">
        <v>0.8712609970674486</v>
      </c>
      <c r="V60" s="126">
        <v>0.59885</v>
      </c>
      <c r="W60" s="126">
        <v>0.45</v>
      </c>
      <c r="X60" s="126">
        <v>0.59885</v>
      </c>
      <c r="Y60" s="126">
        <v>0.27241099706744865</v>
      </c>
      <c r="Z60" s="48" t="s">
        <v>62</v>
      </c>
    </row>
    <row r="61">
      <c r="A61" s="48" t="str">
        <f>IFERROR(__xludf.DUMMYFUNCTION("""COMPUTED_VALUE"""),"TNG")</f>
        <v>TNG</v>
      </c>
      <c r="B61" s="48" t="str">
        <f>IFERROR(__xludf.DUMMYFUNCTION("""COMPUTED_VALUE"""),"Đắk Lắk")</f>
        <v>Đắk Lắk</v>
      </c>
      <c r="C61" s="48" t="str">
        <f>IFERROR(__xludf.DUMMYFUNCTION("""COMPUTED_VALUE"""),"BC Thị Trấn Buôn Trấp-Krông A Na-Đắk Lắk")</f>
        <v>BC Thị Trấn Buôn Trấp-Krông A Na-Đắk Lắk</v>
      </c>
      <c r="D61" s="126">
        <f>IFERROR(__xludf.DUMMYFUNCTION("""COMPUTED_VALUE"""),0.7310431503979891)</f>
        <v>0.7310431504</v>
      </c>
      <c r="E61" s="126">
        <f>IFERROR(__xludf.DUMMYFUNCTION("""COMPUTED_VALUE"""),0.5073599999999999)</f>
        <v>0.50736</v>
      </c>
      <c r="F61" s="126">
        <f>IFERROR(__xludf.DUMMYFUNCTION("""COMPUTED_VALUE"""),0.45)</f>
        <v>0.45</v>
      </c>
      <c r="G61" s="126">
        <f>IFERROR(__xludf.DUMMYFUNCTION("""COMPUTED_VALUE"""),0.5073599999999999)</f>
        <v>0.50736</v>
      </c>
      <c r="H61" s="126">
        <f t="shared" si="1"/>
        <v>0.2236831504</v>
      </c>
      <c r="I61" s="48" t="str">
        <f t="shared" si="2"/>
        <v>4. An Toàn</v>
      </c>
      <c r="R61" s="48" t="s">
        <v>57</v>
      </c>
      <c r="S61" s="48" t="s">
        <v>91</v>
      </c>
      <c r="T61" s="48" t="s">
        <v>123</v>
      </c>
      <c r="U61" s="126">
        <v>0.9009227780475959</v>
      </c>
      <c r="V61" s="126">
        <v>0.6275499999999999</v>
      </c>
      <c r="W61" s="126">
        <v>0.45</v>
      </c>
      <c r="X61" s="126">
        <v>0.6275499999999999</v>
      </c>
      <c r="Y61" s="126">
        <v>0.27337277804759597</v>
      </c>
      <c r="Z61" s="48" t="s">
        <v>62</v>
      </c>
    </row>
    <row r="62">
      <c r="A62" s="48" t="str">
        <f>IFERROR(__xludf.DUMMYFUNCTION("""COMPUTED_VALUE"""),"TNG")</f>
        <v>TNG</v>
      </c>
      <c r="B62" s="48" t="str">
        <f>IFERROR(__xludf.DUMMYFUNCTION("""COMPUTED_VALUE"""),"Phú Yên")</f>
        <v>Phú Yên</v>
      </c>
      <c r="C62" s="48" t="str">
        <f>IFERROR(__xludf.DUMMYFUNCTION("""COMPUTED_VALUE"""),"BC Thị Trấn Phú Thứ-Tây Hoà-Phú Yên")</f>
        <v>BC Thị Trấn Phú Thứ-Tây Hoà-Phú Yên</v>
      </c>
      <c r="D62" s="126">
        <f>IFERROR(__xludf.DUMMYFUNCTION("""COMPUTED_VALUE"""),0.8115546218487395)</f>
        <v>0.8115546218</v>
      </c>
      <c r="E62" s="126">
        <f>IFERROR(__xludf.DUMMYFUNCTION("""COMPUTED_VALUE"""),0.5711999999999999)</f>
        <v>0.5712</v>
      </c>
      <c r="F62" s="126">
        <f>IFERROR(__xludf.DUMMYFUNCTION("""COMPUTED_VALUE"""),0.45)</f>
        <v>0.45</v>
      </c>
      <c r="G62" s="126">
        <f>IFERROR(__xludf.DUMMYFUNCTION("""COMPUTED_VALUE"""),0.5711999999999999)</f>
        <v>0.5712</v>
      </c>
      <c r="H62" s="126">
        <f t="shared" si="1"/>
        <v>0.2403546218</v>
      </c>
      <c r="I62" s="48" t="str">
        <f t="shared" si="2"/>
        <v>4. An Toàn</v>
      </c>
      <c r="R62" s="48" t="s">
        <v>57</v>
      </c>
      <c r="S62" s="48" t="s">
        <v>58</v>
      </c>
      <c r="T62" s="48" t="s">
        <v>124</v>
      </c>
      <c r="U62" s="126">
        <v>0.5210569777043765</v>
      </c>
      <c r="V62" s="126"/>
      <c r="W62" s="126">
        <v>0.45</v>
      </c>
      <c r="X62" s="126"/>
      <c r="Y62" s="126">
        <v>0.5210569777043765</v>
      </c>
      <c r="Z62" s="48" t="s">
        <v>62</v>
      </c>
    </row>
    <row r="63">
      <c r="A63" s="48" t="str">
        <f>IFERROR(__xludf.DUMMYFUNCTION("""COMPUTED_VALUE"""),"TNG")</f>
        <v>TNG</v>
      </c>
      <c r="B63" s="48" t="str">
        <f>IFERROR(__xludf.DUMMYFUNCTION("""COMPUTED_VALUE"""),"Bình Định")</f>
        <v>Bình Định</v>
      </c>
      <c r="C63" s="48" t="str">
        <f>IFERROR(__xludf.DUMMYFUNCTION("""COMPUTED_VALUE"""),"BC Thôn Chánh Hóa-Xã Cát Tiến-Bình Định")</f>
        <v>BC Thôn Chánh Hóa-Xã Cát Tiến-Bình Định</v>
      </c>
      <c r="D63" s="126">
        <f>IFERROR(__xludf.DUMMYFUNCTION("""COMPUTED_VALUE"""),0.8142857142857143)</f>
        <v>0.8142857143</v>
      </c>
      <c r="E63" s="126">
        <f>IFERROR(__xludf.DUMMYFUNCTION("""COMPUTED_VALUE"""),0.56847)</f>
        <v>0.56847</v>
      </c>
      <c r="F63" s="126">
        <f>IFERROR(__xludf.DUMMYFUNCTION("""COMPUTED_VALUE"""),0.45)</f>
        <v>0.45</v>
      </c>
      <c r="G63" s="126">
        <f>IFERROR(__xludf.DUMMYFUNCTION("""COMPUTED_VALUE"""),0.56847)</f>
        <v>0.56847</v>
      </c>
      <c r="H63" s="126">
        <f t="shared" si="1"/>
        <v>0.2458157143</v>
      </c>
      <c r="I63" s="48" t="str">
        <f t="shared" si="2"/>
        <v>4. An Toàn</v>
      </c>
      <c r="R63" s="48" t="s">
        <v>57</v>
      </c>
      <c r="S63" s="48" t="s">
        <v>58</v>
      </c>
      <c r="T63" s="48" t="s">
        <v>125</v>
      </c>
      <c r="U63" s="126">
        <v>0.7589456869009584</v>
      </c>
      <c r="V63" s="126"/>
      <c r="W63" s="126">
        <v>0.45</v>
      </c>
      <c r="X63" s="126"/>
      <c r="Y63" s="126">
        <v>0.7589456869009584</v>
      </c>
      <c r="Z63" s="48" t="s">
        <v>62</v>
      </c>
    </row>
    <row r="64">
      <c r="A64" s="48" t="str">
        <f>IFERROR(__xludf.DUMMYFUNCTION("""COMPUTED_VALUE"""),"TNG")</f>
        <v>TNG</v>
      </c>
      <c r="B64" s="48" t="str">
        <f>IFERROR(__xludf.DUMMYFUNCTION("""COMPUTED_VALUE"""),"Phú Yên")</f>
        <v>Phú Yên</v>
      </c>
      <c r="C64" s="48" t="str">
        <f>IFERROR(__xludf.DUMMYFUNCTION("""COMPUTED_VALUE"""),"BC Thôn Đông Phước-Phú Hòa-Phú Yên")</f>
        <v>BC Thôn Đông Phước-Phú Hòa-Phú Yên</v>
      </c>
      <c r="D64" s="126">
        <f>IFERROR(__xludf.DUMMYFUNCTION("""COMPUTED_VALUE"""),0.7729561256293455)</f>
        <v>0.7729561256</v>
      </c>
      <c r="E64" s="126">
        <f>IFERROR(__xludf.DUMMYFUNCTION("""COMPUTED_VALUE"""),0.5556599999999999)</f>
        <v>0.55566</v>
      </c>
      <c r="F64" s="126">
        <f>IFERROR(__xludf.DUMMYFUNCTION("""COMPUTED_VALUE"""),0.45)</f>
        <v>0.45</v>
      </c>
      <c r="G64" s="126">
        <f>IFERROR(__xludf.DUMMYFUNCTION("""COMPUTED_VALUE"""),0.5556599999999999)</f>
        <v>0.55566</v>
      </c>
    </row>
    <row r="65">
      <c r="A65" s="48" t="str">
        <f>IFERROR(__xludf.DUMMYFUNCTION("""COMPUTED_VALUE"""),"TNG")</f>
        <v>TNG</v>
      </c>
      <c r="B65" s="48" t="str">
        <f>IFERROR(__xludf.DUMMYFUNCTION("""COMPUTED_VALUE"""),"Đắk Lắk")</f>
        <v>Đắk Lắk</v>
      </c>
      <c r="C65" s="48" t="str">
        <f>IFERROR(__xludf.DUMMYFUNCTION("""COMPUTED_VALUE"""),"BC Thôn Tân Lập Quốc Lộ 26-Xã Cư M'ta-M'Đrắk-Đăk Lắk")</f>
        <v>BC Thôn Tân Lập Quốc Lộ 26-Xã Cư M'ta-M'Đrắk-Đăk Lắk</v>
      </c>
      <c r="D65" s="126">
        <f>IFERROR(__xludf.DUMMYFUNCTION("""COMPUTED_VALUE"""),0.6963116166839021)</f>
        <v>0.6963116167</v>
      </c>
      <c r="E65" s="126">
        <f>IFERROR(__xludf.DUMMYFUNCTION("""COMPUTED_VALUE"""),0.5047699999999999)</f>
        <v>0.50477</v>
      </c>
      <c r="F65" s="126">
        <f>IFERROR(__xludf.DUMMYFUNCTION("""COMPUTED_VALUE"""),0.45)</f>
        <v>0.45</v>
      </c>
      <c r="G65" s="126">
        <f>IFERROR(__xludf.DUMMYFUNCTION("""COMPUTED_VALUE"""),0.5047699999999999)</f>
        <v>0.50477</v>
      </c>
    </row>
    <row r="66">
      <c r="A66" s="48" t="str">
        <f>IFERROR(__xludf.DUMMYFUNCTION("""COMPUTED_VALUE"""),"TNG")</f>
        <v>TNG</v>
      </c>
      <c r="B66" s="48" t="str">
        <f>IFERROR(__xludf.DUMMYFUNCTION("""COMPUTED_VALUE"""),"Bình Định")</f>
        <v>Bình Định</v>
      </c>
      <c r="C66" s="48" t="str">
        <f>IFERROR(__xludf.DUMMYFUNCTION("""COMPUTED_VALUE"""),"BC Vận Hành Thôn Định Trị-Xã Vĩnh Thạnh-Bình Định")</f>
        <v>BC Vận Hành Thôn Định Trị-Xã Vĩnh Thạnh-Bình Định</v>
      </c>
      <c r="D66" s="126">
        <f>IFERROR(__xludf.DUMMYFUNCTION("""COMPUTED_VALUE"""),0.8094218415417559)</f>
        <v>0.8094218415</v>
      </c>
      <c r="E66" s="126">
        <f>IFERROR(__xludf.DUMMYFUNCTION("""COMPUTED_VALUE"""),0.61159)</f>
        <v>0.61159</v>
      </c>
      <c r="F66" s="126">
        <f>IFERROR(__xludf.DUMMYFUNCTION("""COMPUTED_VALUE"""),0.45)</f>
        <v>0.45</v>
      </c>
      <c r="G66" s="126">
        <f>IFERROR(__xludf.DUMMYFUNCTION("""COMPUTED_VALUE"""),0.61159)</f>
        <v>0.61159</v>
      </c>
    </row>
    <row r="67">
      <c r="A67" s="48" t="str">
        <f>IFERROR(__xludf.DUMMYFUNCTION("""COMPUTED_VALUE"""),"TNG")</f>
        <v>TNG</v>
      </c>
      <c r="B67" s="48" t="str">
        <f>IFERROR(__xludf.DUMMYFUNCTION("""COMPUTED_VALUE"""),"Bình Định")</f>
        <v>Bình Định</v>
      </c>
      <c r="C67" s="48" t="str">
        <f>IFERROR(__xludf.DUMMYFUNCTION("""COMPUTED_VALUE"""),"Điểm xử lý hàng Thôn Xuân Phong Nam-An Lão-Bình Định")</f>
        <v>Điểm xử lý hàng Thôn Xuân Phong Nam-An Lão-Bình Định</v>
      </c>
      <c r="D67" s="126">
        <f>IFERROR(__xludf.DUMMYFUNCTION("""COMPUTED_VALUE"""),0.8419881305637982)</f>
        <v>0.8419881306</v>
      </c>
      <c r="E67" s="126">
        <f>IFERROR(__xludf.DUMMYFUNCTION("""COMPUTED_VALUE"""),0.5978)</f>
        <v>0.5978</v>
      </c>
      <c r="F67" s="126">
        <f>IFERROR(__xludf.DUMMYFUNCTION("""COMPUTED_VALUE"""),0.45)</f>
        <v>0.45</v>
      </c>
      <c r="G67" s="126">
        <f>IFERROR(__xludf.DUMMYFUNCTION("""COMPUTED_VALUE"""),0.5978)</f>
        <v>0.5978</v>
      </c>
    </row>
    <row r="68">
      <c r="A68" s="48" t="str">
        <f>IFERROR(__xludf.DUMMYFUNCTION("""COMPUTED_VALUE"""),"TNG")</f>
        <v>TNG</v>
      </c>
      <c r="B68" s="48" t="str">
        <f>IFERROR(__xludf.DUMMYFUNCTION("""COMPUTED_VALUE"""),"Đắk Lắk")</f>
        <v>Đắk Lắk</v>
      </c>
      <c r="C68" s="48" t="str">
        <f>IFERROR(__xludf.DUMMYFUNCTION("""COMPUTED_VALUE"""),"Kho Giao Hàng Nặng - Buôn Hồ - Đắk Lắk")</f>
        <v>Kho Giao Hàng Nặng - Buôn Hồ - Đắk Lắk</v>
      </c>
      <c r="D68" s="126">
        <f>IFERROR(__xludf.DUMMYFUNCTION("""COMPUTED_VALUE"""),0.6720647773279352)</f>
        <v>0.6720647773</v>
      </c>
      <c r="E68" s="126">
        <f>IFERROR(__xludf.DUMMYFUNCTION("""COMPUTED_VALUE"""),0.48649999999999993)</f>
        <v>0.4865</v>
      </c>
      <c r="F68" s="126">
        <f>IFERROR(__xludf.DUMMYFUNCTION("""COMPUTED_VALUE"""),0.45)</f>
        <v>0.45</v>
      </c>
      <c r="G68" s="126">
        <f>IFERROR(__xludf.DUMMYFUNCTION("""COMPUTED_VALUE"""),0.48649999999999993)</f>
        <v>0.4865</v>
      </c>
    </row>
    <row r="69">
      <c r="A69" s="48" t="str">
        <f>IFERROR(__xludf.DUMMYFUNCTION("""COMPUTED_VALUE"""),"TNG")</f>
        <v>TNG</v>
      </c>
      <c r="B69" s="48" t="str">
        <f>IFERROR(__xludf.DUMMYFUNCTION("""COMPUTED_VALUE"""),"Đắk Lắk")</f>
        <v>Đắk Lắk</v>
      </c>
      <c r="C69" s="48" t="str">
        <f>IFERROR(__xludf.DUMMYFUNCTION("""COMPUTED_VALUE"""),"Kho Giao Hàng Nặng - Buôn Ma Thuột - Đắk Lắk")</f>
        <v>Kho Giao Hàng Nặng - Buôn Ma Thuột - Đắk Lắk</v>
      </c>
      <c r="D69" s="126">
        <f>IFERROR(__xludf.DUMMYFUNCTION("""COMPUTED_VALUE"""),0.7602739726027398)</f>
        <v>0.7602739726</v>
      </c>
      <c r="E69" s="126">
        <f>IFERROR(__xludf.DUMMYFUNCTION("""COMPUTED_VALUE"""),0.5406099999999999)</f>
        <v>0.54061</v>
      </c>
      <c r="F69" s="126">
        <f>IFERROR(__xludf.DUMMYFUNCTION("""COMPUTED_VALUE"""),0.45)</f>
        <v>0.45</v>
      </c>
      <c r="G69" s="126">
        <f>IFERROR(__xludf.DUMMYFUNCTION("""COMPUTED_VALUE"""),0.5406099999999999)</f>
        <v>0.54061</v>
      </c>
    </row>
    <row r="70">
      <c r="A70" s="48" t="str">
        <f>IFERROR(__xludf.DUMMYFUNCTION("""COMPUTED_VALUE"""),"TNG")</f>
        <v>TNG</v>
      </c>
      <c r="B70" s="48" t="str">
        <f>IFERROR(__xludf.DUMMYFUNCTION("""COMPUTED_VALUE"""),"Bình Định")</f>
        <v>Bình Định</v>
      </c>
      <c r="C70" s="48" t="str">
        <f>IFERROR(__xludf.DUMMYFUNCTION("""COMPUTED_VALUE"""),"Kho Giao Hàng Nặng - Hoài Nhơn - Bình Định")</f>
        <v>Kho Giao Hàng Nặng - Hoài Nhơn - Bình Định</v>
      </c>
      <c r="D70" s="126">
        <f>IFERROR(__xludf.DUMMYFUNCTION("""COMPUTED_VALUE"""),0.763458401305057)</f>
        <v>0.7634584013</v>
      </c>
      <c r="E70" s="126">
        <f>IFERROR(__xludf.DUMMYFUNCTION("""COMPUTED_VALUE"""),0.49091)</f>
        <v>0.49091</v>
      </c>
      <c r="F70" s="126">
        <f>IFERROR(__xludf.DUMMYFUNCTION("""COMPUTED_VALUE"""),0.45)</f>
        <v>0.45</v>
      </c>
      <c r="G70" s="126">
        <f>IFERROR(__xludf.DUMMYFUNCTION("""COMPUTED_VALUE"""),0.49091)</f>
        <v>0.49091</v>
      </c>
    </row>
    <row r="71">
      <c r="A71" s="48" t="str">
        <f>IFERROR(__xludf.DUMMYFUNCTION("""COMPUTED_VALUE"""),"TNG")</f>
        <v>TNG</v>
      </c>
      <c r="B71" s="48" t="str">
        <f>IFERROR(__xludf.DUMMYFUNCTION("""COMPUTED_VALUE"""),"Gia Lai")</f>
        <v>Gia Lai</v>
      </c>
      <c r="C71" s="48" t="str">
        <f>IFERROR(__xludf.DUMMYFUNCTION("""COMPUTED_VALUE"""),"Kho Giao Hàng Nặng - Pleiku - Gia Lai")</f>
        <v>Kho Giao Hàng Nặng - Pleiku - Gia Lai</v>
      </c>
      <c r="D71" s="126">
        <f>IFERROR(__xludf.DUMMYFUNCTION("""COMPUTED_VALUE"""),0.8492647058823529)</f>
        <v>0.8492647059</v>
      </c>
      <c r="E71" s="126">
        <f>IFERROR(__xludf.DUMMYFUNCTION("""COMPUTED_VALUE"""),0.60753)</f>
        <v>0.60753</v>
      </c>
      <c r="F71" s="126">
        <f>IFERROR(__xludf.DUMMYFUNCTION("""COMPUTED_VALUE"""),0.45)</f>
        <v>0.45</v>
      </c>
      <c r="G71" s="126">
        <f>IFERROR(__xludf.DUMMYFUNCTION("""COMPUTED_VALUE"""),0.60753)</f>
        <v>0.60753</v>
      </c>
    </row>
    <row r="72">
      <c r="A72" s="48" t="str">
        <f>IFERROR(__xludf.DUMMYFUNCTION("""COMPUTED_VALUE"""),"TNG")</f>
        <v>TNG</v>
      </c>
      <c r="B72" s="48" t="str">
        <f>IFERROR(__xludf.DUMMYFUNCTION("""COMPUTED_VALUE"""),"Bình Định")</f>
        <v>Bình Định</v>
      </c>
      <c r="C72" s="48" t="str">
        <f>IFERROR(__xludf.DUMMYFUNCTION("""COMPUTED_VALUE"""),"Kho Giao Hàng Nặng - Quy Nhơn - Bình Định")</f>
        <v>Kho Giao Hàng Nặng - Quy Nhơn - Bình Định</v>
      </c>
      <c r="D72" s="126">
        <f>IFERROR(__xludf.DUMMYFUNCTION("""COMPUTED_VALUE"""),0.8370607028753994)</f>
        <v>0.8370607029</v>
      </c>
      <c r="E72" s="126">
        <f>IFERROR(__xludf.DUMMYFUNCTION("""COMPUTED_VALUE"""),0.6091399999999999)</f>
        <v>0.60914</v>
      </c>
      <c r="F72" s="126">
        <f>IFERROR(__xludf.DUMMYFUNCTION("""COMPUTED_VALUE"""),0.45)</f>
        <v>0.45</v>
      </c>
      <c r="G72" s="126">
        <f>IFERROR(__xludf.DUMMYFUNCTION("""COMPUTED_VALUE"""),0.6091399999999999)</f>
        <v>0.60914</v>
      </c>
    </row>
    <row r="73">
      <c r="A73" s="48" t="str">
        <f>IFERROR(__xludf.DUMMYFUNCTION("""COMPUTED_VALUE"""),"TNG")</f>
        <v>TNG</v>
      </c>
      <c r="B73" s="48" t="str">
        <f>IFERROR(__xludf.DUMMYFUNCTION("""COMPUTED_VALUE"""),"Phú Yên")</f>
        <v>Phú Yên</v>
      </c>
      <c r="C73" s="48" t="str">
        <f>IFERROR(__xludf.DUMMYFUNCTION("""COMPUTED_VALUE"""),"Kho Giao Hàng Nặng - Tuy Hoà - Phú Yên")</f>
        <v>Kho Giao Hàng Nặng - Tuy Hoà - Phú Yên</v>
      </c>
      <c r="D73" s="126">
        <f>IFERROR(__xludf.DUMMYFUNCTION("""COMPUTED_VALUE"""),0.8232758620689655)</f>
        <v>0.8232758621</v>
      </c>
      <c r="E73" s="126">
        <f>IFERROR(__xludf.DUMMYFUNCTION("""COMPUTED_VALUE"""),0.58821)</f>
        <v>0.58821</v>
      </c>
      <c r="F73" s="126">
        <f>IFERROR(__xludf.DUMMYFUNCTION("""COMPUTED_VALUE"""),0.45)</f>
        <v>0.45</v>
      </c>
      <c r="G73" s="126">
        <f>IFERROR(__xludf.DUMMYFUNCTION("""COMPUTED_VALUE"""),0.58821)</f>
        <v>0.58821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7.75"/>
    <col customWidth="1" min="9" max="9" width="15.25"/>
  </cols>
  <sheetData>
    <row r="1" ht="23.25" customHeight="1">
      <c r="A1" s="399" t="s">
        <v>126</v>
      </c>
      <c r="B1" s="400" t="s">
        <v>34</v>
      </c>
      <c r="C1" s="218"/>
      <c r="D1" s="218"/>
      <c r="E1" s="218"/>
      <c r="F1" s="218"/>
      <c r="G1" s="218"/>
      <c r="H1" s="234"/>
      <c r="I1" s="401" t="s">
        <v>127</v>
      </c>
      <c r="J1" s="402" t="s">
        <v>36</v>
      </c>
      <c r="K1" s="218"/>
      <c r="L1" s="224" t="s">
        <v>128</v>
      </c>
      <c r="M1" s="403" t="s">
        <v>129</v>
      </c>
      <c r="N1" s="220"/>
      <c r="O1" s="220"/>
    </row>
    <row r="2" ht="22.5" customHeight="1">
      <c r="A2" s="404" t="s">
        <v>15</v>
      </c>
      <c r="B2" s="405">
        <v>45716.0</v>
      </c>
      <c r="C2" s="405">
        <v>45717.0</v>
      </c>
      <c r="D2" s="405">
        <v>45718.0</v>
      </c>
      <c r="E2" s="405">
        <v>45719.0</v>
      </c>
      <c r="F2" s="405">
        <v>45720.0</v>
      </c>
      <c r="G2" s="405">
        <v>45721.0</v>
      </c>
      <c r="H2" s="405">
        <v>45722.0</v>
      </c>
      <c r="I2" s="406">
        <v>45723.0</v>
      </c>
      <c r="J2" s="407" t="s">
        <v>37</v>
      </c>
      <c r="K2" s="407" t="s">
        <v>38</v>
      </c>
      <c r="L2" s="408"/>
      <c r="M2" s="146"/>
    </row>
    <row r="3">
      <c r="A3" s="247" t="s">
        <v>130</v>
      </c>
      <c r="B3" s="409">
        <v>2117363.0</v>
      </c>
      <c r="C3" s="409">
        <v>354615.0</v>
      </c>
      <c r="D3" s="259"/>
      <c r="E3" s="409">
        <v>229627.0</v>
      </c>
      <c r="F3" s="409">
        <v>222206.0</v>
      </c>
      <c r="G3" s="409">
        <v>50463.0</v>
      </c>
      <c r="H3" s="409">
        <v>292582.0</v>
      </c>
      <c r="I3" s="409">
        <v>46296.0</v>
      </c>
      <c r="J3" s="409">
        <v>-2071067.0</v>
      </c>
      <c r="K3" s="409">
        <v>-246286.0</v>
      </c>
      <c r="L3" s="410">
        <v>1195789.0</v>
      </c>
      <c r="M3" s="162">
        <v>9201177.0</v>
      </c>
    </row>
    <row r="4">
      <c r="A4" s="247" t="s">
        <v>131</v>
      </c>
      <c r="B4" s="409">
        <v>1.03162506E8</v>
      </c>
      <c r="C4" s="409">
        <v>1.15252692E8</v>
      </c>
      <c r="D4" s="259"/>
      <c r="E4" s="409">
        <v>1.20012384E8</v>
      </c>
      <c r="F4" s="409">
        <v>1.15670084E8</v>
      </c>
      <c r="G4" s="409">
        <v>1.23739294E8</v>
      </c>
      <c r="H4" s="409">
        <v>1.18840034E8</v>
      </c>
      <c r="I4" s="409">
        <v>1.17274362E8</v>
      </c>
      <c r="J4" s="409">
        <v>1.4111856E7</v>
      </c>
      <c r="K4" s="409">
        <v>-1565672.0</v>
      </c>
      <c r="L4" s="411">
        <v>5.95536158E8</v>
      </c>
      <c r="M4" s="162">
        <v>1.6217679E8</v>
      </c>
    </row>
    <row r="5">
      <c r="A5" s="247" t="s">
        <v>132</v>
      </c>
      <c r="B5" s="409">
        <v>5.44391E7</v>
      </c>
      <c r="C5" s="409">
        <v>7.5778523E7</v>
      </c>
      <c r="D5" s="259"/>
      <c r="E5" s="409">
        <v>8.050017E7</v>
      </c>
      <c r="F5" s="409">
        <v>6.9971984E7</v>
      </c>
      <c r="G5" s="409">
        <v>9.5253332E7</v>
      </c>
      <c r="H5" s="409">
        <v>7.1165562E7</v>
      </c>
      <c r="I5" s="409">
        <v>6.9589855E7</v>
      </c>
      <c r="J5" s="409">
        <v>1.5150755E7</v>
      </c>
      <c r="K5" s="409">
        <v>-1575707.0</v>
      </c>
      <c r="L5" s="411">
        <v>3.86480903E8</v>
      </c>
      <c r="M5" s="162">
        <v>1.19212373E8</v>
      </c>
    </row>
    <row r="6">
      <c r="A6" s="247" t="s">
        <v>133</v>
      </c>
      <c r="B6" s="409">
        <v>2.8212621E7</v>
      </c>
      <c r="C6" s="409">
        <v>3.0459183E7</v>
      </c>
      <c r="D6" s="259"/>
      <c r="E6" s="409">
        <v>2.3931517E7</v>
      </c>
      <c r="F6" s="409">
        <v>3.5996248E7</v>
      </c>
      <c r="G6" s="409">
        <v>3.3738642E7</v>
      </c>
      <c r="H6" s="409">
        <v>2.5861978E7</v>
      </c>
      <c r="I6" s="409">
        <v>2.5938603E7</v>
      </c>
      <c r="J6" s="409">
        <v>-2274018.0</v>
      </c>
      <c r="K6" s="409">
        <v>76625.0</v>
      </c>
      <c r="L6" s="411">
        <v>1.45466988E8</v>
      </c>
      <c r="M6" s="162">
        <v>3.8453299E7</v>
      </c>
    </row>
    <row r="7">
      <c r="A7" s="247" t="s">
        <v>134</v>
      </c>
      <c r="B7" s="409">
        <v>4.6154747E7</v>
      </c>
      <c r="C7" s="409">
        <v>4.787757E7</v>
      </c>
      <c r="D7" s="409">
        <v>3.4026865E7</v>
      </c>
      <c r="E7" s="409">
        <v>4.3138803E7</v>
      </c>
      <c r="F7" s="409">
        <v>4.0331684E7</v>
      </c>
      <c r="G7" s="409">
        <v>5.0782849E7</v>
      </c>
      <c r="H7" s="409">
        <v>4.1820013E7</v>
      </c>
      <c r="I7" s="409">
        <v>3.7968262E7</v>
      </c>
      <c r="J7" s="409">
        <v>-8186485.0</v>
      </c>
      <c r="K7" s="409">
        <v>-3851751.0</v>
      </c>
      <c r="L7" s="410">
        <v>2.48068476E8</v>
      </c>
      <c r="M7" s="162">
        <v>5.0600262E7</v>
      </c>
    </row>
    <row r="8">
      <c r="A8" s="247" t="s">
        <v>135</v>
      </c>
      <c r="B8" s="409">
        <v>2.0877837E7</v>
      </c>
      <c r="C8" s="409">
        <v>1.755797E7</v>
      </c>
      <c r="D8" s="259"/>
      <c r="E8" s="409">
        <v>2.0726462E7</v>
      </c>
      <c r="F8" s="409">
        <v>2.0913571E7</v>
      </c>
      <c r="G8" s="409">
        <v>1.9844933E7</v>
      </c>
      <c r="H8" s="409">
        <v>1.9230592E7</v>
      </c>
      <c r="I8" s="409">
        <v>1.7065762E7</v>
      </c>
      <c r="J8" s="409">
        <v>-3812075.0</v>
      </c>
      <c r="K8" s="409">
        <v>-2164830.0</v>
      </c>
      <c r="L8" s="411">
        <v>9.778132E7</v>
      </c>
      <c r="M8" s="162">
        <v>2.5836909E7</v>
      </c>
    </row>
    <row r="9">
      <c r="A9" s="247" t="s">
        <v>136</v>
      </c>
      <c r="B9" s="409">
        <v>2613814.0</v>
      </c>
      <c r="C9" s="409">
        <v>1.5768123E7</v>
      </c>
      <c r="D9" s="409">
        <v>1.333691E7</v>
      </c>
      <c r="E9" s="409">
        <v>1.6140683E7</v>
      </c>
      <c r="F9" s="409">
        <v>1.806461E7</v>
      </c>
      <c r="G9" s="409">
        <v>1.3906001E7</v>
      </c>
      <c r="H9" s="409">
        <v>1.4314859E7</v>
      </c>
      <c r="I9" s="409">
        <v>1.2874107E7</v>
      </c>
      <c r="J9" s="409">
        <v>1.0260293E7</v>
      </c>
      <c r="K9" s="409">
        <v>-1440752.0</v>
      </c>
      <c r="L9" s="410">
        <v>8.863717E7</v>
      </c>
      <c r="M9" s="412">
        <v>0.0</v>
      </c>
    </row>
    <row r="10">
      <c r="A10" s="247" t="s">
        <v>137</v>
      </c>
      <c r="B10" s="409">
        <v>4.9261205E7</v>
      </c>
      <c r="C10" s="409">
        <v>2.92807E7</v>
      </c>
      <c r="D10" s="409">
        <v>2.4882521E7</v>
      </c>
      <c r="E10" s="409">
        <v>3.5951077E7</v>
      </c>
      <c r="F10" s="409">
        <v>3.8509847E7</v>
      </c>
      <c r="G10" s="409">
        <v>3.3825886E7</v>
      </c>
      <c r="H10" s="409">
        <v>3.6373861E7</v>
      </c>
      <c r="I10" s="409">
        <v>3.6095982E7</v>
      </c>
      <c r="J10" s="409">
        <v>-1.3165223E7</v>
      </c>
      <c r="K10" s="409">
        <v>-277879.0</v>
      </c>
      <c r="L10" s="410">
        <v>2.05639174E8</v>
      </c>
      <c r="M10" s="162">
        <v>7.5513052E7</v>
      </c>
    </row>
    <row r="11">
      <c r="A11" s="247" t="s">
        <v>138</v>
      </c>
      <c r="B11" s="409">
        <v>2.2741893E7</v>
      </c>
      <c r="C11" s="409">
        <v>2.5215228E7</v>
      </c>
      <c r="D11" s="259"/>
      <c r="E11" s="409">
        <v>2.2875757E7</v>
      </c>
      <c r="F11" s="409">
        <v>2.9858276E7</v>
      </c>
      <c r="G11" s="409">
        <v>2.6061203E7</v>
      </c>
      <c r="H11" s="409">
        <v>2.3580449E7</v>
      </c>
      <c r="I11" s="409">
        <v>2.0388713E7</v>
      </c>
      <c r="J11" s="409">
        <v>-2353180.0</v>
      </c>
      <c r="K11" s="409">
        <v>-3191736.0</v>
      </c>
      <c r="L11" s="411">
        <v>1.22764398E8</v>
      </c>
      <c r="M11" s="162">
        <v>3.2407093E7</v>
      </c>
    </row>
    <row r="12">
      <c r="A12" s="247" t="s">
        <v>139</v>
      </c>
      <c r="B12" s="409">
        <v>2.9707281E7</v>
      </c>
      <c r="C12" s="409">
        <v>3.0454403E7</v>
      </c>
      <c r="D12" s="259"/>
      <c r="E12" s="409">
        <v>2.7517291E7</v>
      </c>
      <c r="F12" s="409">
        <v>3.4526632E7</v>
      </c>
      <c r="G12" s="409">
        <v>3.5980809E7</v>
      </c>
      <c r="H12" s="409">
        <v>2.9811761E7</v>
      </c>
      <c r="I12" s="409">
        <v>3.6713178E7</v>
      </c>
      <c r="J12" s="409">
        <v>7005897.0</v>
      </c>
      <c r="K12" s="409">
        <v>6901417.0</v>
      </c>
      <c r="L12" s="411">
        <v>1.64549671E8</v>
      </c>
      <c r="M12" s="162">
        <v>5.2092664E7</v>
      </c>
    </row>
    <row r="13">
      <c r="A13" s="247" t="s">
        <v>140</v>
      </c>
      <c r="B13" s="409">
        <v>2.6820638E7</v>
      </c>
      <c r="C13" s="409">
        <v>2.1948934E7</v>
      </c>
      <c r="D13" s="259"/>
      <c r="E13" s="409">
        <v>2.5880934E7</v>
      </c>
      <c r="F13" s="409">
        <v>2.7416494E7</v>
      </c>
      <c r="G13" s="409">
        <v>2.4532075E7</v>
      </c>
      <c r="H13" s="409">
        <v>2.9772498E7</v>
      </c>
      <c r="I13" s="409">
        <v>2.1336641E7</v>
      </c>
      <c r="J13" s="409">
        <v>-5483997.0</v>
      </c>
      <c r="K13" s="409">
        <v>-8435857.0</v>
      </c>
      <c r="L13" s="411">
        <v>1.28938642E8</v>
      </c>
      <c r="M13" s="162">
        <v>3.8169568E7</v>
      </c>
    </row>
    <row r="14">
      <c r="A14" s="247" t="s">
        <v>141</v>
      </c>
      <c r="B14" s="409">
        <v>6249740.0</v>
      </c>
      <c r="C14" s="409">
        <v>6864774.0</v>
      </c>
      <c r="D14" s="259"/>
      <c r="E14" s="409">
        <v>6422708.0</v>
      </c>
      <c r="F14" s="409">
        <v>7209072.0</v>
      </c>
      <c r="G14" s="409">
        <v>5844501.0</v>
      </c>
      <c r="H14" s="409">
        <v>6485839.0</v>
      </c>
      <c r="I14" s="409">
        <v>8232780.0</v>
      </c>
      <c r="J14" s="409">
        <v>1983040.0</v>
      </c>
      <c r="K14" s="409">
        <v>1746941.0</v>
      </c>
      <c r="L14" s="411">
        <v>3.41949E7</v>
      </c>
      <c r="M14" s="162">
        <v>1.0972173E7</v>
      </c>
    </row>
    <row r="15">
      <c r="A15" s="247" t="s">
        <v>142</v>
      </c>
      <c r="B15" s="409">
        <v>5608183.0</v>
      </c>
      <c r="C15" s="409">
        <v>4805782.0</v>
      </c>
      <c r="D15" s="259"/>
      <c r="E15" s="409">
        <v>9593646.0</v>
      </c>
      <c r="F15" s="409">
        <v>7876306.0</v>
      </c>
      <c r="G15" s="409">
        <v>1.0267354E7</v>
      </c>
      <c r="H15" s="409">
        <v>8876444.0</v>
      </c>
      <c r="I15" s="409">
        <v>8442345.0</v>
      </c>
      <c r="J15" s="409">
        <v>2834162.0</v>
      </c>
      <c r="K15" s="409">
        <v>-434099.0</v>
      </c>
      <c r="L15" s="411">
        <v>4.5056095E7</v>
      </c>
      <c r="M15" s="162">
        <v>6231644.0</v>
      </c>
    </row>
    <row r="16">
      <c r="A16" s="413" t="s">
        <v>143</v>
      </c>
      <c r="B16" s="414"/>
      <c r="C16" s="415">
        <v>1835485.0</v>
      </c>
      <c r="D16" s="414"/>
      <c r="E16" s="415">
        <v>3331588.0</v>
      </c>
      <c r="F16" s="415">
        <v>2249907.0</v>
      </c>
      <c r="G16" s="415">
        <v>882105.0</v>
      </c>
      <c r="H16" s="415">
        <v>2067340.0</v>
      </c>
      <c r="I16" s="415">
        <v>2194782.0</v>
      </c>
      <c r="J16" s="415">
        <v>2194782.0</v>
      </c>
      <c r="K16" s="415">
        <v>127442.0</v>
      </c>
      <c r="L16" s="411">
        <v>1.0725722E7</v>
      </c>
      <c r="M16" s="162">
        <v>3906955.0</v>
      </c>
      <c r="N16" s="197"/>
      <c r="O16" s="197"/>
    </row>
    <row r="17">
      <c r="A17" s="416" t="s">
        <v>144</v>
      </c>
      <c r="B17" s="417">
        <v>7003604.0</v>
      </c>
      <c r="C17" s="417">
        <v>1.0078438E7</v>
      </c>
      <c r="D17" s="417">
        <v>3494892.0</v>
      </c>
      <c r="E17" s="417">
        <v>8164856.0</v>
      </c>
      <c r="F17" s="417">
        <v>9537326.0</v>
      </c>
      <c r="G17" s="417">
        <v>8944952.0</v>
      </c>
      <c r="H17" s="417">
        <v>1.1929494E7</v>
      </c>
      <c r="I17" s="417">
        <v>8010615.0</v>
      </c>
      <c r="J17" s="418">
        <v>1007011.0</v>
      </c>
      <c r="K17" s="418">
        <v>-3918879.0</v>
      </c>
      <c r="L17" s="419">
        <v>2.275035406E9</v>
      </c>
      <c r="M17" s="417">
        <v>6.24773959E8</v>
      </c>
    </row>
    <row r="19" ht="23.25" customHeight="1">
      <c r="A19" s="399" t="s">
        <v>145</v>
      </c>
      <c r="B19" s="400" t="s">
        <v>34</v>
      </c>
      <c r="C19" s="218"/>
      <c r="D19" s="218"/>
      <c r="E19" s="218"/>
      <c r="F19" s="218"/>
      <c r="G19" s="218"/>
      <c r="H19" s="234"/>
      <c r="I19" s="401" t="s">
        <v>127</v>
      </c>
      <c r="J19" s="402" t="s">
        <v>36</v>
      </c>
      <c r="K19" s="218"/>
      <c r="L19" s="264" t="s">
        <v>128</v>
      </c>
      <c r="M19" s="403" t="s">
        <v>146</v>
      </c>
      <c r="N19" s="403" t="s">
        <v>147</v>
      </c>
      <c r="O19" s="219"/>
    </row>
    <row r="20" ht="22.5" customHeight="1">
      <c r="A20" s="404" t="s">
        <v>15</v>
      </c>
      <c r="B20" s="405">
        <v>45715.0</v>
      </c>
      <c r="C20" s="405">
        <v>45716.0</v>
      </c>
      <c r="D20" s="405">
        <v>45717.0</v>
      </c>
      <c r="E20" s="405">
        <v>45718.0</v>
      </c>
      <c r="F20" s="405">
        <v>45719.0</v>
      </c>
      <c r="G20" s="405">
        <v>45720.0</v>
      </c>
      <c r="H20" s="405">
        <v>45721.0</v>
      </c>
      <c r="I20" s="406">
        <v>45722.0</v>
      </c>
      <c r="J20" s="407" t="s">
        <v>37</v>
      </c>
      <c r="K20" s="407" t="s">
        <v>38</v>
      </c>
      <c r="L20" s="420"/>
      <c r="M20" s="146"/>
      <c r="N20" s="146"/>
    </row>
    <row r="21">
      <c r="A21" s="247" t="s">
        <v>130</v>
      </c>
      <c r="B21" s="409">
        <v>2721191.0</v>
      </c>
      <c r="C21" s="409">
        <v>3352335.0</v>
      </c>
      <c r="D21" s="409">
        <v>5780136.0</v>
      </c>
      <c r="E21" s="409">
        <v>4693946.0</v>
      </c>
      <c r="F21" s="409">
        <v>5908939.0</v>
      </c>
      <c r="G21" s="409">
        <v>5818089.0</v>
      </c>
      <c r="H21" s="409">
        <v>6333586.0</v>
      </c>
      <c r="I21" s="409">
        <v>5556916.0</v>
      </c>
      <c r="J21" s="409">
        <v>2835725.0</v>
      </c>
      <c r="K21" s="409">
        <v>-776670.0</v>
      </c>
      <c r="L21" s="410">
        <v>3.4091612E7</v>
      </c>
      <c r="M21" s="421">
        <v>3.0E8</v>
      </c>
      <c r="N21" s="163">
        <v>0.11363870666666667</v>
      </c>
    </row>
    <row r="22">
      <c r="A22" s="247" t="s">
        <v>131</v>
      </c>
      <c r="B22" s="409">
        <v>1.13823139E8</v>
      </c>
      <c r="C22" s="409">
        <v>1.251743E8</v>
      </c>
      <c r="D22" s="409">
        <v>1.16546953E8</v>
      </c>
      <c r="E22" s="409">
        <v>9.0824455E7</v>
      </c>
      <c r="F22" s="409">
        <v>1.19565019E8</v>
      </c>
      <c r="G22" s="409">
        <v>9.7920134E7</v>
      </c>
      <c r="H22" s="409">
        <v>9.5021648E7</v>
      </c>
      <c r="I22" s="409">
        <v>1.13401677E8</v>
      </c>
      <c r="J22" s="409">
        <v>-421462.0</v>
      </c>
      <c r="K22" s="409">
        <v>1.8380029E7</v>
      </c>
      <c r="L22" s="410">
        <v>6.33279886E8</v>
      </c>
      <c r="M22" s="421">
        <v>3.3E9</v>
      </c>
      <c r="N22" s="163">
        <v>0.19190299575757575</v>
      </c>
    </row>
    <row r="23">
      <c r="A23" s="247" t="s">
        <v>132</v>
      </c>
      <c r="B23" s="409">
        <v>6.8990699E7</v>
      </c>
      <c r="C23" s="409">
        <v>8.0318269E7</v>
      </c>
      <c r="D23" s="409">
        <v>8.0463537E7</v>
      </c>
      <c r="E23" s="409">
        <v>5.4842872E7</v>
      </c>
      <c r="F23" s="409">
        <v>8.6337282E7</v>
      </c>
      <c r="G23" s="409">
        <v>7.3761639E7</v>
      </c>
      <c r="H23" s="409">
        <v>7.0416577E7</v>
      </c>
      <c r="I23" s="409">
        <v>7.8154423E7</v>
      </c>
      <c r="J23" s="409">
        <v>9163724.0</v>
      </c>
      <c r="K23" s="409">
        <v>7737846.0</v>
      </c>
      <c r="L23" s="410">
        <v>4.4397633E8</v>
      </c>
      <c r="M23" s="421">
        <v>2.5E9</v>
      </c>
      <c r="N23" s="163">
        <v>0.177590532</v>
      </c>
    </row>
    <row r="24">
      <c r="A24" s="247" t="s">
        <v>133</v>
      </c>
      <c r="B24" s="409">
        <v>3.3895454E7</v>
      </c>
      <c r="C24" s="409">
        <v>3.3508062E7</v>
      </c>
      <c r="D24" s="409">
        <v>2.7517319E7</v>
      </c>
      <c r="E24" s="409">
        <v>2.594638E7</v>
      </c>
      <c r="F24" s="409">
        <v>3.6276868E7</v>
      </c>
      <c r="G24" s="409">
        <v>2.2438059E7</v>
      </c>
      <c r="H24" s="409">
        <v>2.2633379E7</v>
      </c>
      <c r="I24" s="409">
        <v>3.5052872E7</v>
      </c>
      <c r="J24" s="409">
        <v>1157418.0</v>
      </c>
      <c r="K24" s="409">
        <v>1.2419493E7</v>
      </c>
      <c r="L24" s="410">
        <v>1.69864877E8</v>
      </c>
      <c r="M24" s="421">
        <v>1.0E9</v>
      </c>
      <c r="N24" s="163">
        <v>0.169864877</v>
      </c>
    </row>
    <row r="25">
      <c r="A25" s="247" t="s">
        <v>134</v>
      </c>
      <c r="B25" s="409">
        <v>5.5078327E7</v>
      </c>
      <c r="C25" s="409">
        <v>4.1429191E7</v>
      </c>
      <c r="D25" s="409">
        <v>5.4175579E7</v>
      </c>
      <c r="E25" s="409">
        <v>4.9654214E7</v>
      </c>
      <c r="F25" s="409">
        <v>4.7199832E7</v>
      </c>
      <c r="G25" s="409">
        <v>4.6593266E7</v>
      </c>
      <c r="H25" s="409">
        <v>4.1805483E7</v>
      </c>
      <c r="I25" s="409">
        <v>4.2790891E7</v>
      </c>
      <c r="J25" s="409">
        <v>-1.2287436E7</v>
      </c>
      <c r="K25" s="409">
        <v>985408.0</v>
      </c>
      <c r="L25" s="410">
        <v>2.82219265E8</v>
      </c>
      <c r="M25" s="421">
        <v>1.25E9</v>
      </c>
      <c r="N25" s="163">
        <v>0.225775412</v>
      </c>
    </row>
    <row r="26">
      <c r="A26" s="247" t="s">
        <v>135</v>
      </c>
      <c r="B26" s="409">
        <v>2.3422601E7</v>
      </c>
      <c r="C26" s="409">
        <v>2.1134075E7</v>
      </c>
      <c r="D26" s="409">
        <v>2.102434E7</v>
      </c>
      <c r="E26" s="409">
        <v>1.7484046E7</v>
      </c>
      <c r="F26" s="409">
        <v>2.1596143E7</v>
      </c>
      <c r="G26" s="409">
        <v>1.8200001E7</v>
      </c>
      <c r="H26" s="409">
        <v>1.7718405E7</v>
      </c>
      <c r="I26" s="409">
        <v>2.0723439E7</v>
      </c>
      <c r="J26" s="409">
        <v>-2699162.0</v>
      </c>
      <c r="K26" s="409">
        <v>3005034.0</v>
      </c>
      <c r="L26" s="410">
        <v>1.16746374E8</v>
      </c>
      <c r="M26" s="421">
        <v>7.0E8</v>
      </c>
      <c r="N26" s="163">
        <v>0.1667805342857143</v>
      </c>
    </row>
    <row r="27">
      <c r="A27" s="247" t="s">
        <v>136</v>
      </c>
      <c r="B27" s="409">
        <v>2911765.0</v>
      </c>
      <c r="C27" s="409">
        <v>2681480.0</v>
      </c>
      <c r="D27" s="409">
        <v>1.7017017E7</v>
      </c>
      <c r="E27" s="409">
        <v>1.3479527E7</v>
      </c>
      <c r="F27" s="409">
        <v>1.8325226E7</v>
      </c>
      <c r="G27" s="409">
        <v>1.5858824E7</v>
      </c>
      <c r="H27" s="409">
        <v>1.5776284E7</v>
      </c>
      <c r="I27" s="409">
        <v>1.6743964E7</v>
      </c>
      <c r="J27" s="409">
        <v>1.3832199E7</v>
      </c>
      <c r="K27" s="409">
        <v>967680.0</v>
      </c>
      <c r="L27" s="410">
        <v>9.7200842E7</v>
      </c>
      <c r="M27" s="421">
        <v>6.0E8</v>
      </c>
      <c r="N27" s="163">
        <v>0.16200140333333332</v>
      </c>
    </row>
    <row r="28">
      <c r="A28" s="247" t="s">
        <v>137</v>
      </c>
      <c r="B28" s="409">
        <v>4.8288047E7</v>
      </c>
      <c r="C28" s="409">
        <v>4.8525803E7</v>
      </c>
      <c r="D28" s="409">
        <v>4.1129576E7</v>
      </c>
      <c r="E28" s="409">
        <v>2.730266E7</v>
      </c>
      <c r="F28" s="409">
        <v>3.7902106E7</v>
      </c>
      <c r="G28" s="409">
        <v>3.1979222E7</v>
      </c>
      <c r="H28" s="409">
        <v>3.0850097E7</v>
      </c>
      <c r="I28" s="409">
        <v>3.2652963E7</v>
      </c>
      <c r="J28" s="409">
        <v>-1.5635084E7</v>
      </c>
      <c r="K28" s="409">
        <v>1802866.0</v>
      </c>
      <c r="L28" s="410">
        <v>2.01816624E8</v>
      </c>
      <c r="M28" s="421">
        <v>1.1E9</v>
      </c>
      <c r="N28" s="163">
        <v>0.18346965818181818</v>
      </c>
    </row>
    <row r="29">
      <c r="A29" s="247" t="s">
        <v>138</v>
      </c>
      <c r="B29" s="409">
        <v>2.8182581E7</v>
      </c>
      <c r="C29" s="409">
        <v>2.6559146E7</v>
      </c>
      <c r="D29" s="409">
        <v>2.6144537E7</v>
      </c>
      <c r="E29" s="409">
        <v>1.8686394E7</v>
      </c>
      <c r="F29" s="409">
        <v>2.6909192E7</v>
      </c>
      <c r="G29" s="409">
        <v>2.1679251E7</v>
      </c>
      <c r="H29" s="409">
        <v>2.295818E7</v>
      </c>
      <c r="I29" s="409">
        <v>2.820885E7</v>
      </c>
      <c r="J29" s="409">
        <v>26269.0</v>
      </c>
      <c r="K29" s="409">
        <v>5250670.0</v>
      </c>
      <c r="L29" s="410">
        <v>1.44586404E8</v>
      </c>
      <c r="M29" s="421">
        <v>9.0E8</v>
      </c>
      <c r="N29" s="163">
        <v>0.16065156</v>
      </c>
    </row>
    <row r="30">
      <c r="A30" s="247" t="s">
        <v>139</v>
      </c>
      <c r="B30" s="409">
        <v>3.4206268E7</v>
      </c>
      <c r="C30" s="409">
        <v>3.2711835E7</v>
      </c>
      <c r="D30" s="409">
        <v>3.327753E7</v>
      </c>
      <c r="E30" s="409">
        <v>2.8069058E7</v>
      </c>
      <c r="F30" s="409">
        <v>3.7582607E7</v>
      </c>
      <c r="G30" s="409">
        <v>3.2359443E7</v>
      </c>
      <c r="H30" s="409">
        <v>3.029635E7</v>
      </c>
      <c r="I30" s="409">
        <v>3.491155E7</v>
      </c>
      <c r="J30" s="409">
        <v>705282.0</v>
      </c>
      <c r="K30" s="409">
        <v>4615200.0</v>
      </c>
      <c r="L30" s="410">
        <v>1.96496538E8</v>
      </c>
      <c r="M30" s="421">
        <v>1.4E9</v>
      </c>
      <c r="N30" s="163">
        <v>0.14035467</v>
      </c>
    </row>
    <row r="31">
      <c r="A31" s="247" t="s">
        <v>140</v>
      </c>
      <c r="B31" s="409">
        <v>1.967439E7</v>
      </c>
      <c r="C31" s="409">
        <v>1.8906144E7</v>
      </c>
      <c r="D31" s="409">
        <v>2.3194591E7</v>
      </c>
      <c r="E31" s="409">
        <v>2.13433E7</v>
      </c>
      <c r="F31" s="409">
        <v>2.666916E7</v>
      </c>
      <c r="G31" s="409">
        <v>2.0345424E7</v>
      </c>
      <c r="H31" s="409">
        <v>2.5086427E7</v>
      </c>
      <c r="I31" s="409">
        <v>2.6902215E7</v>
      </c>
      <c r="J31" s="409">
        <v>7227825.0</v>
      </c>
      <c r="K31" s="409">
        <v>1815788.0</v>
      </c>
      <c r="L31" s="410">
        <v>1.43541117E8</v>
      </c>
      <c r="M31" s="421">
        <v>9.0E8</v>
      </c>
      <c r="N31" s="163">
        <v>0.15949013</v>
      </c>
    </row>
    <row r="32">
      <c r="A32" s="247" t="s">
        <v>141</v>
      </c>
      <c r="B32" s="409">
        <v>6977817.0</v>
      </c>
      <c r="C32" s="409">
        <v>7216387.0</v>
      </c>
      <c r="D32" s="409">
        <v>7676829.0</v>
      </c>
      <c r="E32" s="409">
        <v>5986273.0</v>
      </c>
      <c r="F32" s="409">
        <v>6600966.0</v>
      </c>
      <c r="G32" s="409">
        <v>7030709.0</v>
      </c>
      <c r="H32" s="409">
        <v>7941565.0</v>
      </c>
      <c r="I32" s="409">
        <v>7666245.0</v>
      </c>
      <c r="J32" s="409">
        <v>688428.0</v>
      </c>
      <c r="K32" s="409">
        <v>-275320.0</v>
      </c>
      <c r="L32" s="410">
        <v>4.2902587E7</v>
      </c>
      <c r="M32" s="421">
        <v>3.0E8</v>
      </c>
      <c r="N32" s="163">
        <v>0.14300862333333333</v>
      </c>
    </row>
    <row r="33">
      <c r="A33" s="247" t="s">
        <v>142</v>
      </c>
      <c r="B33" s="409">
        <v>9594783.0</v>
      </c>
      <c r="C33" s="409">
        <v>7345994.0</v>
      </c>
      <c r="D33" s="409">
        <v>7358228.0</v>
      </c>
      <c r="E33" s="409">
        <v>6776751.0</v>
      </c>
      <c r="F33" s="409">
        <v>7304838.0</v>
      </c>
      <c r="G33" s="409">
        <v>7172107.0</v>
      </c>
      <c r="H33" s="409">
        <v>8935238.0</v>
      </c>
      <c r="I33" s="409">
        <v>8934727.0</v>
      </c>
      <c r="J33" s="409">
        <v>-660056.0</v>
      </c>
      <c r="K33" s="409">
        <v>-511.0</v>
      </c>
      <c r="L33" s="410">
        <v>4.6481889E7</v>
      </c>
      <c r="M33" s="421">
        <v>2.5E8</v>
      </c>
      <c r="N33" s="163">
        <v>0.185927556</v>
      </c>
    </row>
    <row r="34">
      <c r="A34" s="413" t="s">
        <v>144</v>
      </c>
      <c r="B34" s="415">
        <v>8446205.0</v>
      </c>
      <c r="C34" s="415">
        <v>7726793.0</v>
      </c>
      <c r="D34" s="415">
        <v>5766795.0</v>
      </c>
      <c r="E34" s="415">
        <v>5158798.0</v>
      </c>
      <c r="F34" s="415">
        <v>8213243.0</v>
      </c>
      <c r="G34" s="415">
        <v>6794151.0</v>
      </c>
      <c r="H34" s="415">
        <v>5999531.0</v>
      </c>
      <c r="I34" s="415">
        <v>5504129.0</v>
      </c>
      <c r="J34" s="409">
        <v>-2942076.0</v>
      </c>
      <c r="K34" s="415">
        <v>-495402.0</v>
      </c>
      <c r="L34" s="410">
        <v>3.7436647E7</v>
      </c>
      <c r="M34" s="155"/>
      <c r="N34" s="163"/>
      <c r="O34" s="197"/>
    </row>
    <row r="35">
      <c r="A35" s="417" t="s">
        <v>148</v>
      </c>
      <c r="B35" s="417">
        <v>4.56213267E8</v>
      </c>
      <c r="C35" s="417">
        <v>4.56589814E8</v>
      </c>
      <c r="D35" s="417">
        <v>4.67072967E8</v>
      </c>
      <c r="E35" s="417">
        <v>3.70248674E8</v>
      </c>
      <c r="F35" s="417">
        <v>4.86391421E8</v>
      </c>
      <c r="G35" s="417">
        <v>4.07950319E8</v>
      </c>
      <c r="H35" s="417">
        <v>4.0177275E8</v>
      </c>
      <c r="I35" s="417">
        <v>4.57204861E8</v>
      </c>
      <c r="J35" s="417">
        <v>-2942076.0</v>
      </c>
      <c r="K35" s="417">
        <v>-1.0668869E7</v>
      </c>
      <c r="L35" s="422">
        <v>2.590640992E9</v>
      </c>
      <c r="M35" s="423">
        <v>1.45E10</v>
      </c>
      <c r="N35" s="424">
        <v>0.178664896</v>
      </c>
    </row>
  </sheetData>
  <mergeCells count="9">
    <mergeCell ref="M19:M20"/>
    <mergeCell ref="N19:N20"/>
    <mergeCell ref="B1:H1"/>
    <mergeCell ref="J1:K1"/>
    <mergeCell ref="L1:L2"/>
    <mergeCell ref="M1:M2"/>
    <mergeCell ref="B19:H19"/>
    <mergeCell ref="J19:K19"/>
    <mergeCell ref="L19:L20"/>
  </mergeCells>
  <conditionalFormatting sqref="J3:J15">
    <cfRule type="cellIs" dxfId="7" priority="1" operator="lessThan">
      <formula>0</formula>
    </cfRule>
  </conditionalFormatting>
  <conditionalFormatting sqref="J21:K34">
    <cfRule type="cellIs" dxfId="2" priority="2" operator="lessThan">
      <formula>0</formula>
    </cfRule>
  </conditionalFormatting>
  <conditionalFormatting sqref="K3:K16">
    <cfRule type="cellIs" dxfId="2" priority="3" operator="lessThan">
      <formula>0</formula>
    </cfRule>
  </conditionalFormatting>
  <drawing r:id="rId1"/>
</worksheet>
</file>